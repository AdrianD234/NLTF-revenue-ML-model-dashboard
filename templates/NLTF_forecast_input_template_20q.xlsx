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ED Inputs" sheetId="2" state="visible" r:id="rId2"/>
    <sheet name="Light RUC Inputs" sheetId="3" state="visible" r:id="rId3"/>
    <sheet name="Heavy RUC Inputs" sheetId="4" state="visible" r:id="rId4"/>
  </sheets>
  <definedNames>
    <definedName name="_xlnm._FilterDatabase" localSheetId="1" hidden="1">'PED Inputs'!$A$1:$X$21</definedName>
    <definedName name="_xlnm._FilterDatabase" localSheetId="2" hidden="1">'Light RUC Inputs'!$A$1:$W$21</definedName>
    <definedName name="_xlnm._FilterDatabase" localSheetId="3" hidden="1">'Heavy RUC Inputs'!$A$1:$AC$21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B5C"/>
      <sz val="14"/>
    </font>
    <font>
      <b val="1"/>
    </font>
    <font>
      <b val="1"/>
      <color rgb="00002B5C"/>
    </font>
  </fonts>
  <fills count="6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E6EDF5"/>
      </patternFill>
    </fill>
    <fill>
      <patternFill patternType="solid">
        <fgColor rgb="00FFF7CC"/>
      </patternFill>
    </fill>
    <fill>
      <patternFill patternType="solid">
        <fgColor rgb="00E7F5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SYSTEM: Forecast quarter label generated by the template, for example 2026Q1.</t>
      </text>
    </comment>
    <comment ref="B1" authorId="0" shapeId="0">
      <text>
        <t>SYSTEM: Calendar year for the forecast quarter.</t>
      </text>
    </comment>
    <comment ref="C1" authorId="0" shapeId="0">
      <text>
        <t>SYSTEM: Calendar quarter number, 1 through 4.</t>
      </text>
    </comment>
    <comment ref="D1" authorId="0" shapeId="0">
      <text>
        <t>SYSTEM: Forecast horizon from the last known actual quarter.</t>
      </text>
    </comment>
    <comment ref="E1" authorId="0" shapeId="0">
      <text>
        <t>USER: User-entered real GDP per capita assumption.</t>
      </text>
    </comment>
    <comment ref="F1" authorId="0" shapeId="0">
      <text>
        <t>USER: User-entered population assumption.</t>
      </text>
    </comment>
    <comment ref="G1" authorId="0" shapeId="0">
      <text>
        <t>USER: User-entered unemployment rate assumption in percentage points.</t>
      </text>
    </comment>
    <comment ref="H1" authorId="0" shapeId="0">
      <text>
        <t>USER: User-entered real petrol price assumption.</t>
      </text>
    </comment>
    <comment ref="I1" authorId="0" shapeId="0">
      <text>
        <t>USER: Most recent PED VKT per capita value available before this forecast quarter.</t>
      </text>
    </comment>
    <comment ref="J1" authorId="0" shapeId="0">
      <text>
        <t>USER: PED VKT per capita value four quarters before this forecast quarter.</t>
      </text>
    </comment>
    <comment ref="K1" authorId="0" shapeId="0">
      <text>
        <t>FORMULA: 1 when quarter is Q2, otherwise 0.</t>
      </text>
    </comment>
    <comment ref="L1" authorId="0" shapeId="0">
      <text>
        <t>FORMULA: 1 when quarter is Q3, otherwise 0.</t>
      </text>
    </comment>
    <comment ref="M1" authorId="0" shapeId="0">
      <text>
        <t>FORMULA: 1 when quarter is Q4, otherwise 0.</t>
      </text>
    </comment>
    <comment ref="N1" authorId="0" shapeId="0">
      <text>
        <t>FORMULA: 1 for quarters after 2020, otherwise 0.</t>
      </text>
    </comment>
    <comment ref="O1" authorId="0" shapeId="0">
      <text>
        <t>FORMULA: Sequential time index used by static specifications.</t>
      </text>
    </comment>
    <comment ref="P1" authorId="0" shapeId="0">
      <text>
        <t>FORMULA: Natural log of real GDP per capita.</t>
      </text>
    </comment>
    <comment ref="Q1" authorId="0" shapeId="0">
      <text>
        <t>FORMULA: Natural log of population.</t>
      </text>
    </comment>
    <comment ref="R1" authorId="0" shapeId="0">
      <text>
        <t>FORMULA: Natural log of unemployment rate.</t>
      </text>
    </comment>
    <comment ref="S1" authorId="0" shapeId="0">
      <text>
        <t>FORMULA: Natural log of real petrol price.</t>
      </text>
    </comment>
    <comment ref="T1" authorId="0" shapeId="0">
      <text>
        <t>FORMULA: Natural log of target lag 1.</t>
      </text>
    </comment>
    <comment ref="U1" authorId="0" shapeId="0">
      <text>
        <t>FORMULA: Natural log of target lag 4.</t>
      </text>
    </comment>
    <comment ref="V1" authorId="0" shapeId="0">
      <text>
        <t>FORMULA: Log target lag 1 minus log target lag 4.</t>
      </text>
    </comment>
    <comment ref="W1" authorId="0" shapeId="0">
      <text>
        <t>FORMULA: Log real GDP per capita multiplied by log real petrol price.</t>
      </text>
    </comment>
    <comment ref="X1" authorId="0" shapeId="0">
      <text>
        <t>FORMULA: Post-2011 dummy multiplied by log trend index.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SYSTEM: Forecast quarter label generated by the template, for example 2026Q1.</t>
      </text>
    </comment>
    <comment ref="B1" authorId="0" shapeId="0">
      <text>
        <t>SYSTEM: Calendar year for the forecast quarter.</t>
      </text>
    </comment>
    <comment ref="C1" authorId="0" shapeId="0">
      <text>
        <t>SYSTEM: Calendar quarter number, 1 through 4.</t>
      </text>
    </comment>
    <comment ref="D1" authorId="0" shapeId="0">
      <text>
        <t>SYSTEM: Forecast horizon from the last known actual quarter.</t>
      </text>
    </comment>
    <comment ref="E1" authorId="0" shapeId="0">
      <text>
        <t>USER: User-entered real GDP assumption.</t>
      </text>
    </comment>
    <comment ref="F1" authorId="0" shapeId="0">
      <text>
        <t>USER: User-entered real diesel price assumption.</t>
      </text>
    </comment>
    <comment ref="G1" authorId="0" shapeId="0">
      <text>
        <t>USER: User-entered real Light RUC price assumption.</t>
      </text>
    </comment>
    <comment ref="H1" authorId="0" shapeId="0">
      <text>
        <t>USER: Real Light RUC price lag available before this forecast quarter.</t>
      </text>
    </comment>
    <comment ref="I1" authorId="0" shapeId="0">
      <text>
        <t>USER: Most recent Light RUC volume available before this forecast quarter.</t>
      </text>
    </comment>
    <comment ref="J1" authorId="0" shapeId="0">
      <text>
        <t>USER: Light RUC volume four quarters before this forecast quarter.</t>
      </text>
    </comment>
    <comment ref="K1" authorId="0" shapeId="0">
      <text>
        <t>FORMULA: 1 when quarter is Q2, otherwise 0.</t>
      </text>
    </comment>
    <comment ref="L1" authorId="0" shapeId="0">
      <text>
        <t>FORMULA: 1 when quarter is Q3, otherwise 0.</t>
      </text>
    </comment>
    <comment ref="M1" authorId="0" shapeId="0">
      <text>
        <t>FORMULA: 1 when quarter is Q4, otherwise 0.</t>
      </text>
    </comment>
    <comment ref="N1" authorId="0" shapeId="0">
      <text>
        <t>FORMULA: 1 for quarters after 2020, otherwise 0.</t>
      </text>
    </comment>
    <comment ref="O1" authorId="0" shapeId="0">
      <text>
        <t>FORMULA: Sequential time index used by static specifications.</t>
      </text>
    </comment>
    <comment ref="P1" authorId="0" shapeId="0">
      <text>
        <t>FORMULA: Natural log of real GDP.</t>
      </text>
    </comment>
    <comment ref="Q1" authorId="0" shapeId="0">
      <text>
        <t>FORMULA: Natural log of real diesel price.</t>
      </text>
    </comment>
    <comment ref="R1" authorId="0" shapeId="0">
      <text>
        <t>FORMULA: Natural log of real Light RUC price.</t>
      </text>
    </comment>
    <comment ref="S1" authorId="0" shapeId="0">
      <text>
        <t>FORMULA: Natural log of lagged real Light RUC price.</t>
      </text>
    </comment>
    <comment ref="T1" authorId="0" shapeId="0">
      <text>
        <t>FORMULA: Natural log of target lag 1.</t>
      </text>
    </comment>
    <comment ref="U1" authorId="0" shapeId="0">
      <text>
        <t>FORMULA: Natural log of target lag 4.</t>
      </text>
    </comment>
    <comment ref="V1" authorId="0" shapeId="0">
      <text>
        <t>FORMULA: Quarterly difference in log real GDP.</t>
      </text>
    </comment>
    <comment ref="W1" authorId="0" shapeId="0">
      <text>
        <t>FORMULA: Log real GDP multiplied by log real Light RUC price.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SYSTEM: Forecast quarter label generated by the template, for example 2026Q1.</t>
      </text>
    </comment>
    <comment ref="B1" authorId="0" shapeId="0">
      <text>
        <t>SYSTEM: Calendar year for the forecast quarter.</t>
      </text>
    </comment>
    <comment ref="C1" authorId="0" shapeId="0">
      <text>
        <t>SYSTEM: Calendar quarter number, 1 through 4.</t>
      </text>
    </comment>
    <comment ref="D1" authorId="0" shapeId="0">
      <text>
        <t>SYSTEM: Forecast horizon from the last known actual quarter.</t>
      </text>
    </comment>
    <comment ref="E1" authorId="0" shapeId="0">
      <text>
        <t>USER: User-entered real GDP assumption.</t>
      </text>
    </comment>
    <comment ref="F1" authorId="0" shapeId="0">
      <text>
        <t>USER: User-entered real diesel price assumption.</t>
      </text>
    </comment>
    <comment ref="G1" authorId="0" shapeId="0">
      <text>
        <t>USER: User-entered unemployment rate assumption in percentage points.</t>
      </text>
    </comment>
    <comment ref="H1" authorId="0" shapeId="0">
      <text>
        <t>USER: User-entered real Light RUC price assumption used by Heavy components.</t>
      </text>
    </comment>
    <comment ref="I1" authorId="0" shapeId="0">
      <text>
        <t>USER: Real Light RUC price lag used by Heavy components.</t>
      </text>
    </comment>
    <comment ref="J1" authorId="0" shapeId="0">
      <text>
        <t>USER: User-entered real Heavy RUC price assumption.</t>
      </text>
    </comment>
    <comment ref="K1" authorId="0" shapeId="0">
      <text>
        <t>USER: Expected next-quarter real Heavy RUC price assumption.</t>
      </text>
    </comment>
    <comment ref="L1" authorId="0" shapeId="0">
      <text>
        <t>USER: Most recent Heavy RUC volume available before this forecast quarter.</t>
      </text>
    </comment>
    <comment ref="M1" authorId="0" shapeId="0">
      <text>
        <t>USER: Heavy RUC volume four quarters before this forecast quarter.</t>
      </text>
    </comment>
    <comment ref="N1" authorId="0" shapeId="0">
      <text>
        <t>FORMULA: 1 when quarter is Q2, otherwise 0.</t>
      </text>
    </comment>
    <comment ref="O1" authorId="0" shapeId="0">
      <text>
        <t>FORMULA: 1 when quarter is Q3, otherwise 0.</t>
      </text>
    </comment>
    <comment ref="P1" authorId="0" shapeId="0">
      <text>
        <t>FORMULA: 1 when quarter is Q4, otherwise 0.</t>
      </text>
    </comment>
    <comment ref="Q1" authorId="0" shapeId="0">
      <text>
        <t>FORMULA: 1 for quarters after 2020, otherwise 0.</t>
      </text>
    </comment>
    <comment ref="R1" authorId="0" shapeId="0">
      <text>
        <t>FORMULA: Sequential time index used by static specifications.</t>
      </text>
    </comment>
    <comment ref="S1" authorId="0" shapeId="0">
      <text>
        <t>FORMULA: Natural log of real GDP.</t>
      </text>
    </comment>
    <comment ref="T1" authorId="0" shapeId="0">
      <text>
        <t>FORMULA: Natural log of real diesel price.</t>
      </text>
    </comment>
    <comment ref="U1" authorId="0" shapeId="0">
      <text>
        <t>FORMULA: Natural log of unemployment rate.</t>
      </text>
    </comment>
    <comment ref="V1" authorId="0" shapeId="0">
      <text>
        <t>FORMULA: Natural log of real Light RUC price.</t>
      </text>
    </comment>
    <comment ref="W1" authorId="0" shapeId="0">
      <text>
        <t>FORMULA: Natural log of lagged real Light RUC price.</t>
      </text>
    </comment>
    <comment ref="X1" authorId="0" shapeId="0">
      <text>
        <t>FORMULA: Natural log of real Heavy RUC price.</t>
      </text>
    </comment>
    <comment ref="Y1" authorId="0" shapeId="0">
      <text>
        <t>FORMULA: Natural log of lead real Heavy RUC price.</t>
      </text>
    </comment>
    <comment ref="Z1" authorId="0" shapeId="0">
      <text>
        <t>FORMULA: Natural log of target lag 1.</t>
      </text>
    </comment>
    <comment ref="AA1" authorId="0" shapeId="0">
      <text>
        <t>FORMULA: Natural log of target lag 4.</t>
      </text>
    </comment>
    <comment ref="AB1" authorId="0" shapeId="0">
      <text>
        <t>FORMULA: Quarterly difference in log real GDP.</t>
      </text>
    </comment>
    <comment ref="AC1" authorId="0" shapeId="0">
      <text>
        <t>FORMULA: Log real GDP multiplied by log real Heavy RUC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18" customWidth="1" min="2" max="2"/>
  </cols>
  <sheetData>
    <row r="1">
      <c r="A1" s="1" t="inlineStr">
        <is>
          <t>NLTF forecast input template</t>
        </is>
      </c>
    </row>
    <row r="3">
      <c r="A3" s="2" t="inlineStr">
        <is>
          <t>Latest known actual quarter</t>
        </is>
      </c>
      <c r="B3" t="inlineStr">
        <is>
          <t>2025Q4</t>
        </is>
      </c>
    </row>
    <row r="4">
      <c r="A4" s="2" t="inlineStr">
        <is>
          <t>Forecast horizon</t>
        </is>
      </c>
      <c r="B4" t="inlineStr">
        <is>
          <t>20 quarters: 2026Q1 to 2030Q4</t>
        </is>
      </c>
    </row>
    <row r="5">
      <c r="A5" s="2" t="inlineStr">
        <is>
          <t>What to fill</t>
        </is>
      </c>
      <c r="B5" t="inlineStr">
        <is>
          <t>Only fill the user-entry columns in PED Inputs, Light RUC Inputs and Heavy RUC Inputs.</t>
        </is>
      </c>
    </row>
    <row r="6">
      <c r="A6" s="2" t="inlineStr">
        <is>
          <t>Variable horizon</t>
        </is>
      </c>
      <c r="B6" t="inlineStr">
        <is>
          <t>You may fill 1 quarter, the default 20 quarters, or any continuous horizon to a chosen end period.</t>
        </is>
      </c>
    </row>
    <row r="7">
      <c r="A7" s="2" t="inlineStr">
        <is>
          <t>Runner rule</t>
        </is>
      </c>
      <c r="B7" t="inlineStr">
        <is>
          <t>The runner scores only the continuous valid rows present across all three stream sheets.</t>
        </is>
      </c>
    </row>
    <row r="8">
      <c r="A8" s="2" t="inlineStr">
        <is>
          <t>What not to edit</t>
        </is>
      </c>
      <c r="B8" t="inlineStr">
        <is>
          <t>Do not edit period, year, quarter, horizon or protected formula columns.</t>
        </is>
      </c>
    </row>
    <row r="9">
      <c r="A9" s="2" t="inlineStr">
        <is>
          <t>Data rule</t>
        </is>
      </c>
      <c r="B9" t="inlineStr">
        <is>
          <t>Use real price/GDP assumptions in the units named in each header.</t>
        </is>
      </c>
    </row>
    <row r="10">
      <c r="A10" s="2" t="inlineStr">
        <is>
          <t>Governance rule</t>
        </is>
      </c>
      <c r="B10" t="inlineStr">
        <is>
          <t>The runner does not run a broad candidate search and never overwrites dashboard evidence packs.</t>
        </is>
      </c>
    </row>
    <row r="11">
      <c r="A11" s="2" t="inlineStr">
        <is>
          <t>Missing model-state rule</t>
        </is>
      </c>
      <c r="B11" t="inlineStr">
        <is>
          <t>If repo-local fitted finalist artifacts are unavailable, the runner writes governed gaps instead of fake forecasts.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6" customWidth="1" min="5" max="5"/>
    <col width="15" customWidth="1" min="6" max="6"/>
    <col width="20" customWidth="1" min="7" max="7"/>
    <col width="3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  <col width="15" customWidth="1" min="15" max="15"/>
    <col width="26" customWidth="1" min="16" max="16"/>
    <col width="17" customWidth="1" min="17" max="17"/>
    <col width="24" customWidth="1" min="18" max="18"/>
    <col width="24" customWidth="1" min="19" max="19"/>
    <col width="19" customWidth="1" min="20" max="20"/>
    <col width="19" customWidth="1" min="21" max="21"/>
    <col width="30" customWidth="1" min="22" max="22"/>
    <col width="25" customWidth="1" min="23" max="23"/>
    <col width="24" customWidth="1" min="24" max="24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horizon</t>
        </is>
      </c>
      <c r="E1" s="3" t="inlineStr">
        <is>
          <t>real_gdp_per_capita_nzd</t>
        </is>
      </c>
      <c r="F1" s="3" t="inlineStr">
        <is>
          <t>population</t>
        </is>
      </c>
      <c r="G1" s="3" t="inlineStr">
        <is>
          <t>unemployment_rate</t>
        </is>
      </c>
      <c r="H1" s="3" t="inlineStr">
        <is>
          <t>real_petrol_price_cents_per_litre</t>
        </is>
      </c>
      <c r="I1" s="3" t="inlineStr">
        <is>
          <t>target_lag_1</t>
        </is>
      </c>
      <c r="J1" s="3" t="inlineStr">
        <is>
          <t>target_lag_4</t>
        </is>
      </c>
      <c r="K1" s="3" t="inlineStr">
        <is>
          <t>q2_dummy</t>
        </is>
      </c>
      <c r="L1" s="3" t="inlineStr">
        <is>
          <t>q3_dummy</t>
        </is>
      </c>
      <c r="M1" s="3" t="inlineStr">
        <is>
          <t>q4_dummy</t>
        </is>
      </c>
      <c r="N1" s="3" t="inlineStr">
        <is>
          <t>post_2020_dummy</t>
        </is>
      </c>
      <c r="O1" s="3" t="inlineStr">
        <is>
          <t>trend_index</t>
        </is>
      </c>
      <c r="P1" s="3" t="inlineStr">
        <is>
          <t>log_real_gdp_per_capita</t>
        </is>
      </c>
      <c r="Q1" s="3" t="inlineStr">
        <is>
          <t>log_population</t>
        </is>
      </c>
      <c r="R1" s="3" t="inlineStr">
        <is>
          <t>log_unemployment_rate</t>
        </is>
      </c>
      <c r="S1" s="3" t="inlineStr">
        <is>
          <t>log_real_petrol_price</t>
        </is>
      </c>
      <c r="T1" s="3" t="inlineStr">
        <is>
          <t>log_target_lag_1</t>
        </is>
      </c>
      <c r="U1" s="3" t="inlineStr">
        <is>
          <t>log_target_lag_4</t>
        </is>
      </c>
      <c r="V1" s="3" t="inlineStr">
        <is>
          <t>diff_log_target_lag_1_lag_4</t>
        </is>
      </c>
      <c r="W1" s="3" t="inlineStr">
        <is>
          <t>gdp_petrol_interaction</t>
        </is>
      </c>
      <c r="X1" s="3" t="inlineStr">
        <is>
          <t>post_2011_x_log_trend</t>
        </is>
      </c>
    </row>
    <row r="2">
      <c r="A2" s="4" t="inlineStr">
        <is>
          <t>2026Q1</t>
        </is>
      </c>
      <c r="B2" s="4" t="n">
        <v>2026</v>
      </c>
      <c r="C2" s="4" t="n">
        <v>1</v>
      </c>
      <c r="D2" s="4" t="n">
        <v>1</v>
      </c>
      <c r="E2" s="5" t="n"/>
      <c r="F2" s="5" t="n"/>
      <c r="G2" s="5" t="n"/>
      <c r="H2" s="5" t="n"/>
      <c r="I2" s="5" t="n"/>
      <c r="J2" s="5" t="n"/>
      <c r="K2" s="6">
        <f>IF(C2=2,1,0)</f>
        <v/>
      </c>
      <c r="L2" s="6">
        <f>IF(C2=3,1,0)</f>
        <v/>
      </c>
      <c r="M2" s="6">
        <f>IF(C2=4,1,0)</f>
        <v/>
      </c>
      <c r="N2" s="6">
        <f>IF(B2&gt;=2021,1,0)</f>
        <v/>
      </c>
      <c r="O2" s="6">
        <f>D2+104</f>
        <v/>
      </c>
      <c r="P2" s="6">
        <f>IF(E2&gt;0,LN(E2),"")</f>
        <v/>
      </c>
      <c r="Q2" s="6">
        <f>IF(F2&gt;0,LN(F2),"")</f>
        <v/>
      </c>
      <c r="R2" s="6">
        <f>IF(G2&gt;0,LN(G2),"")</f>
        <v/>
      </c>
      <c r="S2" s="6">
        <f>IF(H2&gt;0,LN(H2),"")</f>
        <v/>
      </c>
      <c r="T2" s="6">
        <f>IF(I2&gt;0,LN(I2),"")</f>
        <v/>
      </c>
      <c r="U2" s="6">
        <f>IF(J2&gt;0,LN(J2),"")</f>
        <v/>
      </c>
      <c r="V2" s="6">
        <f>IF(AND(T2&lt;&gt;"",U2&lt;&gt;""),T2-U2,"")</f>
        <v/>
      </c>
      <c r="W2" s="6">
        <f>IF(AND(P2&lt;&gt;"",S2&lt;&gt;""),P2*S2,"")</f>
        <v/>
      </c>
      <c r="X2" s="6">
        <f>IF(O2&gt;0,LN(O2),"")</f>
        <v/>
      </c>
    </row>
    <row r="3">
      <c r="A3" s="4" t="inlineStr">
        <is>
          <t>2026Q2</t>
        </is>
      </c>
      <c r="B3" s="4" t="n">
        <v>2026</v>
      </c>
      <c r="C3" s="4" t="n">
        <v>2</v>
      </c>
      <c r="D3" s="4" t="n">
        <v>2</v>
      </c>
      <c r="E3" s="5" t="n"/>
      <c r="F3" s="5" t="n"/>
      <c r="G3" s="5" t="n"/>
      <c r="H3" s="5" t="n"/>
      <c r="I3" s="5" t="n"/>
      <c r="J3" s="5" t="n"/>
      <c r="K3" s="6">
        <f>IF(C3=2,1,0)</f>
        <v/>
      </c>
      <c r="L3" s="6">
        <f>IF(C3=3,1,0)</f>
        <v/>
      </c>
      <c r="M3" s="6">
        <f>IF(C3=4,1,0)</f>
        <v/>
      </c>
      <c r="N3" s="6">
        <f>IF(B3&gt;=2021,1,0)</f>
        <v/>
      </c>
      <c r="O3" s="6">
        <f>D3+104</f>
        <v/>
      </c>
      <c r="P3" s="6">
        <f>IF(E3&gt;0,LN(E3),"")</f>
        <v/>
      </c>
      <c r="Q3" s="6">
        <f>IF(F3&gt;0,LN(F3),"")</f>
        <v/>
      </c>
      <c r="R3" s="6">
        <f>IF(G3&gt;0,LN(G3),"")</f>
        <v/>
      </c>
      <c r="S3" s="6">
        <f>IF(H3&gt;0,LN(H3),"")</f>
        <v/>
      </c>
      <c r="T3" s="6">
        <f>IF(I3&gt;0,LN(I3),"")</f>
        <v/>
      </c>
      <c r="U3" s="6">
        <f>IF(J3&gt;0,LN(J3),"")</f>
        <v/>
      </c>
      <c r="V3" s="6">
        <f>IF(AND(T3&lt;&gt;"",U3&lt;&gt;""),T3-U3,"")</f>
        <v/>
      </c>
      <c r="W3" s="6">
        <f>IF(AND(P3&lt;&gt;"",S3&lt;&gt;""),P3*S3,"")</f>
        <v/>
      </c>
      <c r="X3" s="6">
        <f>IF(O3&gt;0,LN(O3),"")</f>
        <v/>
      </c>
    </row>
    <row r="4">
      <c r="A4" s="4" t="inlineStr">
        <is>
          <t>2026Q3</t>
        </is>
      </c>
      <c r="B4" s="4" t="n">
        <v>2026</v>
      </c>
      <c r="C4" s="4" t="n">
        <v>3</v>
      </c>
      <c r="D4" s="4" t="n">
        <v>3</v>
      </c>
      <c r="E4" s="5" t="n"/>
      <c r="F4" s="5" t="n"/>
      <c r="G4" s="5" t="n"/>
      <c r="H4" s="5" t="n"/>
      <c r="I4" s="5" t="n"/>
      <c r="J4" s="5" t="n"/>
      <c r="K4" s="6">
        <f>IF(C4=2,1,0)</f>
        <v/>
      </c>
      <c r="L4" s="6">
        <f>IF(C4=3,1,0)</f>
        <v/>
      </c>
      <c r="M4" s="6">
        <f>IF(C4=4,1,0)</f>
        <v/>
      </c>
      <c r="N4" s="6">
        <f>IF(B4&gt;=2021,1,0)</f>
        <v/>
      </c>
      <c r="O4" s="6">
        <f>D4+104</f>
        <v/>
      </c>
      <c r="P4" s="6">
        <f>IF(E4&gt;0,LN(E4),"")</f>
        <v/>
      </c>
      <c r="Q4" s="6">
        <f>IF(F4&gt;0,LN(F4),"")</f>
        <v/>
      </c>
      <c r="R4" s="6">
        <f>IF(G4&gt;0,LN(G4),"")</f>
        <v/>
      </c>
      <c r="S4" s="6">
        <f>IF(H4&gt;0,LN(H4),"")</f>
        <v/>
      </c>
      <c r="T4" s="6">
        <f>IF(I4&gt;0,LN(I4),"")</f>
        <v/>
      </c>
      <c r="U4" s="6">
        <f>IF(J4&gt;0,LN(J4),"")</f>
        <v/>
      </c>
      <c r="V4" s="6">
        <f>IF(AND(T4&lt;&gt;"",U4&lt;&gt;""),T4-U4,"")</f>
        <v/>
      </c>
      <c r="W4" s="6">
        <f>IF(AND(P4&lt;&gt;"",S4&lt;&gt;""),P4*S4,"")</f>
        <v/>
      </c>
      <c r="X4" s="6">
        <f>IF(O4&gt;0,LN(O4),"")</f>
        <v/>
      </c>
    </row>
    <row r="5">
      <c r="A5" s="4" t="inlineStr">
        <is>
          <t>2026Q4</t>
        </is>
      </c>
      <c r="B5" s="4" t="n">
        <v>2026</v>
      </c>
      <c r="C5" s="4" t="n">
        <v>4</v>
      </c>
      <c r="D5" s="4" t="n">
        <v>4</v>
      </c>
      <c r="E5" s="5" t="n"/>
      <c r="F5" s="5" t="n"/>
      <c r="G5" s="5" t="n"/>
      <c r="H5" s="5" t="n"/>
      <c r="I5" s="5" t="n"/>
      <c r="J5" s="5" t="n"/>
      <c r="K5" s="6">
        <f>IF(C5=2,1,0)</f>
        <v/>
      </c>
      <c r="L5" s="6">
        <f>IF(C5=3,1,0)</f>
        <v/>
      </c>
      <c r="M5" s="6">
        <f>IF(C5=4,1,0)</f>
        <v/>
      </c>
      <c r="N5" s="6">
        <f>IF(B5&gt;=2021,1,0)</f>
        <v/>
      </c>
      <c r="O5" s="6">
        <f>D5+104</f>
        <v/>
      </c>
      <c r="P5" s="6">
        <f>IF(E5&gt;0,LN(E5),"")</f>
        <v/>
      </c>
      <c r="Q5" s="6">
        <f>IF(F5&gt;0,LN(F5),"")</f>
        <v/>
      </c>
      <c r="R5" s="6">
        <f>IF(G5&gt;0,LN(G5),"")</f>
        <v/>
      </c>
      <c r="S5" s="6">
        <f>IF(H5&gt;0,LN(H5),"")</f>
        <v/>
      </c>
      <c r="T5" s="6">
        <f>IF(I5&gt;0,LN(I5),"")</f>
        <v/>
      </c>
      <c r="U5" s="6">
        <f>IF(J5&gt;0,LN(J5),"")</f>
        <v/>
      </c>
      <c r="V5" s="6">
        <f>IF(AND(T5&lt;&gt;"",U5&lt;&gt;""),T5-U5,"")</f>
        <v/>
      </c>
      <c r="W5" s="6">
        <f>IF(AND(P5&lt;&gt;"",S5&lt;&gt;""),P5*S5,"")</f>
        <v/>
      </c>
      <c r="X5" s="6">
        <f>IF(O5&gt;0,LN(O5),"")</f>
        <v/>
      </c>
    </row>
    <row r="6">
      <c r="A6" s="4" t="inlineStr">
        <is>
          <t>2027Q1</t>
        </is>
      </c>
      <c r="B6" s="4" t="n">
        <v>2027</v>
      </c>
      <c r="C6" s="4" t="n">
        <v>1</v>
      </c>
      <c r="D6" s="4" t="n">
        <v>5</v>
      </c>
      <c r="E6" s="5" t="n"/>
      <c r="F6" s="5" t="n"/>
      <c r="G6" s="5" t="n"/>
      <c r="H6" s="5" t="n"/>
      <c r="I6" s="5" t="n"/>
      <c r="J6" s="5" t="n"/>
      <c r="K6" s="6">
        <f>IF(C6=2,1,0)</f>
        <v/>
      </c>
      <c r="L6" s="6">
        <f>IF(C6=3,1,0)</f>
        <v/>
      </c>
      <c r="M6" s="6">
        <f>IF(C6=4,1,0)</f>
        <v/>
      </c>
      <c r="N6" s="6">
        <f>IF(B6&gt;=2021,1,0)</f>
        <v/>
      </c>
      <c r="O6" s="6">
        <f>D6+104</f>
        <v/>
      </c>
      <c r="P6" s="6">
        <f>IF(E6&gt;0,LN(E6),"")</f>
        <v/>
      </c>
      <c r="Q6" s="6">
        <f>IF(F6&gt;0,LN(F6),"")</f>
        <v/>
      </c>
      <c r="R6" s="6">
        <f>IF(G6&gt;0,LN(G6),"")</f>
        <v/>
      </c>
      <c r="S6" s="6">
        <f>IF(H6&gt;0,LN(H6),"")</f>
        <v/>
      </c>
      <c r="T6" s="6">
        <f>IF(I6&gt;0,LN(I6),"")</f>
        <v/>
      </c>
      <c r="U6" s="6">
        <f>IF(J6&gt;0,LN(J6),"")</f>
        <v/>
      </c>
      <c r="V6" s="6">
        <f>IF(AND(T6&lt;&gt;"",U6&lt;&gt;""),T6-U6,"")</f>
        <v/>
      </c>
      <c r="W6" s="6">
        <f>IF(AND(P6&lt;&gt;"",S6&lt;&gt;""),P6*S6,"")</f>
        <v/>
      </c>
      <c r="X6" s="6">
        <f>IF(O6&gt;0,LN(O6),"")</f>
        <v/>
      </c>
    </row>
    <row r="7">
      <c r="A7" s="4" t="inlineStr">
        <is>
          <t>2027Q2</t>
        </is>
      </c>
      <c r="B7" s="4" t="n">
        <v>2027</v>
      </c>
      <c r="C7" s="4" t="n">
        <v>2</v>
      </c>
      <c r="D7" s="4" t="n">
        <v>6</v>
      </c>
      <c r="E7" s="5" t="n"/>
      <c r="F7" s="5" t="n"/>
      <c r="G7" s="5" t="n"/>
      <c r="H7" s="5" t="n"/>
      <c r="I7" s="5" t="n"/>
      <c r="J7" s="5" t="n"/>
      <c r="K7" s="6">
        <f>IF(C7=2,1,0)</f>
        <v/>
      </c>
      <c r="L7" s="6">
        <f>IF(C7=3,1,0)</f>
        <v/>
      </c>
      <c r="M7" s="6">
        <f>IF(C7=4,1,0)</f>
        <v/>
      </c>
      <c r="N7" s="6">
        <f>IF(B7&gt;=2021,1,0)</f>
        <v/>
      </c>
      <c r="O7" s="6">
        <f>D7+104</f>
        <v/>
      </c>
      <c r="P7" s="6">
        <f>IF(E7&gt;0,LN(E7),"")</f>
        <v/>
      </c>
      <c r="Q7" s="6">
        <f>IF(F7&gt;0,LN(F7),"")</f>
        <v/>
      </c>
      <c r="R7" s="6">
        <f>IF(G7&gt;0,LN(G7),"")</f>
        <v/>
      </c>
      <c r="S7" s="6">
        <f>IF(H7&gt;0,LN(H7),"")</f>
        <v/>
      </c>
      <c r="T7" s="6">
        <f>IF(I7&gt;0,LN(I7),"")</f>
        <v/>
      </c>
      <c r="U7" s="6">
        <f>IF(J7&gt;0,LN(J7),"")</f>
        <v/>
      </c>
      <c r="V7" s="6">
        <f>IF(AND(T7&lt;&gt;"",U7&lt;&gt;""),T7-U7,"")</f>
        <v/>
      </c>
      <c r="W7" s="6">
        <f>IF(AND(P7&lt;&gt;"",S7&lt;&gt;""),P7*S7,"")</f>
        <v/>
      </c>
      <c r="X7" s="6">
        <f>IF(O7&gt;0,LN(O7),"")</f>
        <v/>
      </c>
    </row>
    <row r="8">
      <c r="A8" s="4" t="inlineStr">
        <is>
          <t>2027Q3</t>
        </is>
      </c>
      <c r="B8" s="4" t="n">
        <v>2027</v>
      </c>
      <c r="C8" s="4" t="n">
        <v>3</v>
      </c>
      <c r="D8" s="4" t="n">
        <v>7</v>
      </c>
      <c r="E8" s="5" t="n"/>
      <c r="F8" s="5" t="n"/>
      <c r="G8" s="5" t="n"/>
      <c r="H8" s="5" t="n"/>
      <c r="I8" s="5" t="n"/>
      <c r="J8" s="5" t="n"/>
      <c r="K8" s="6">
        <f>IF(C8=2,1,0)</f>
        <v/>
      </c>
      <c r="L8" s="6">
        <f>IF(C8=3,1,0)</f>
        <v/>
      </c>
      <c r="M8" s="6">
        <f>IF(C8=4,1,0)</f>
        <v/>
      </c>
      <c r="N8" s="6">
        <f>IF(B8&gt;=2021,1,0)</f>
        <v/>
      </c>
      <c r="O8" s="6">
        <f>D8+104</f>
        <v/>
      </c>
      <c r="P8" s="6">
        <f>IF(E8&gt;0,LN(E8),"")</f>
        <v/>
      </c>
      <c r="Q8" s="6">
        <f>IF(F8&gt;0,LN(F8),"")</f>
        <v/>
      </c>
      <c r="R8" s="6">
        <f>IF(G8&gt;0,LN(G8),"")</f>
        <v/>
      </c>
      <c r="S8" s="6">
        <f>IF(H8&gt;0,LN(H8),"")</f>
        <v/>
      </c>
      <c r="T8" s="6">
        <f>IF(I8&gt;0,LN(I8),"")</f>
        <v/>
      </c>
      <c r="U8" s="6">
        <f>IF(J8&gt;0,LN(J8),"")</f>
        <v/>
      </c>
      <c r="V8" s="6">
        <f>IF(AND(T8&lt;&gt;"",U8&lt;&gt;""),T8-U8,"")</f>
        <v/>
      </c>
      <c r="W8" s="6">
        <f>IF(AND(P8&lt;&gt;"",S8&lt;&gt;""),P8*S8,"")</f>
        <v/>
      </c>
      <c r="X8" s="6">
        <f>IF(O8&gt;0,LN(O8),"")</f>
        <v/>
      </c>
    </row>
    <row r="9">
      <c r="A9" s="4" t="inlineStr">
        <is>
          <t>2027Q4</t>
        </is>
      </c>
      <c r="B9" s="4" t="n">
        <v>2027</v>
      </c>
      <c r="C9" s="4" t="n">
        <v>4</v>
      </c>
      <c r="D9" s="4" t="n">
        <v>8</v>
      </c>
      <c r="E9" s="5" t="n"/>
      <c r="F9" s="5" t="n"/>
      <c r="G9" s="5" t="n"/>
      <c r="H9" s="5" t="n"/>
      <c r="I9" s="5" t="n"/>
      <c r="J9" s="5" t="n"/>
      <c r="K9" s="6">
        <f>IF(C9=2,1,0)</f>
        <v/>
      </c>
      <c r="L9" s="6">
        <f>IF(C9=3,1,0)</f>
        <v/>
      </c>
      <c r="M9" s="6">
        <f>IF(C9=4,1,0)</f>
        <v/>
      </c>
      <c r="N9" s="6">
        <f>IF(B9&gt;=2021,1,0)</f>
        <v/>
      </c>
      <c r="O9" s="6">
        <f>D9+104</f>
        <v/>
      </c>
      <c r="P9" s="6">
        <f>IF(E9&gt;0,LN(E9),"")</f>
        <v/>
      </c>
      <c r="Q9" s="6">
        <f>IF(F9&gt;0,LN(F9),"")</f>
        <v/>
      </c>
      <c r="R9" s="6">
        <f>IF(G9&gt;0,LN(G9),"")</f>
        <v/>
      </c>
      <c r="S9" s="6">
        <f>IF(H9&gt;0,LN(H9),"")</f>
        <v/>
      </c>
      <c r="T9" s="6">
        <f>IF(I9&gt;0,LN(I9),"")</f>
        <v/>
      </c>
      <c r="U9" s="6">
        <f>IF(J9&gt;0,LN(J9),"")</f>
        <v/>
      </c>
      <c r="V9" s="6">
        <f>IF(AND(T9&lt;&gt;"",U9&lt;&gt;""),T9-U9,"")</f>
        <v/>
      </c>
      <c r="W9" s="6">
        <f>IF(AND(P9&lt;&gt;"",S9&lt;&gt;""),P9*S9,"")</f>
        <v/>
      </c>
      <c r="X9" s="6">
        <f>IF(O9&gt;0,LN(O9),"")</f>
        <v/>
      </c>
    </row>
    <row r="10">
      <c r="A10" s="4" t="inlineStr">
        <is>
          <t>2028Q1</t>
        </is>
      </c>
      <c r="B10" s="4" t="n">
        <v>2028</v>
      </c>
      <c r="C10" s="4" t="n">
        <v>1</v>
      </c>
      <c r="D10" s="4" t="n">
        <v>9</v>
      </c>
      <c r="E10" s="5" t="n"/>
      <c r="F10" s="5" t="n"/>
      <c r="G10" s="5" t="n"/>
      <c r="H10" s="5" t="n"/>
      <c r="I10" s="5" t="n"/>
      <c r="J10" s="5" t="n"/>
      <c r="K10" s="6">
        <f>IF(C10=2,1,0)</f>
        <v/>
      </c>
      <c r="L10" s="6">
        <f>IF(C10=3,1,0)</f>
        <v/>
      </c>
      <c r="M10" s="6">
        <f>IF(C10=4,1,0)</f>
        <v/>
      </c>
      <c r="N10" s="6">
        <f>IF(B10&gt;=2021,1,0)</f>
        <v/>
      </c>
      <c r="O10" s="6">
        <f>D10+104</f>
        <v/>
      </c>
      <c r="P10" s="6">
        <f>IF(E10&gt;0,LN(E10),"")</f>
        <v/>
      </c>
      <c r="Q10" s="6">
        <f>IF(F10&gt;0,LN(F10),"")</f>
        <v/>
      </c>
      <c r="R10" s="6">
        <f>IF(G10&gt;0,LN(G10),"")</f>
        <v/>
      </c>
      <c r="S10" s="6">
        <f>IF(H10&gt;0,LN(H10),"")</f>
        <v/>
      </c>
      <c r="T10" s="6">
        <f>IF(I10&gt;0,LN(I10),"")</f>
        <v/>
      </c>
      <c r="U10" s="6">
        <f>IF(J10&gt;0,LN(J10),"")</f>
        <v/>
      </c>
      <c r="V10" s="6">
        <f>IF(AND(T10&lt;&gt;"",U10&lt;&gt;""),T10-U10,"")</f>
        <v/>
      </c>
      <c r="W10" s="6">
        <f>IF(AND(P10&lt;&gt;"",S10&lt;&gt;""),P10*S10,"")</f>
        <v/>
      </c>
      <c r="X10" s="6">
        <f>IF(O10&gt;0,LN(O10),"")</f>
        <v/>
      </c>
    </row>
    <row r="11">
      <c r="A11" s="4" t="inlineStr">
        <is>
          <t>2028Q2</t>
        </is>
      </c>
      <c r="B11" s="4" t="n">
        <v>2028</v>
      </c>
      <c r="C11" s="4" t="n">
        <v>2</v>
      </c>
      <c r="D11" s="4" t="n">
        <v>10</v>
      </c>
      <c r="E11" s="5" t="n"/>
      <c r="F11" s="5" t="n"/>
      <c r="G11" s="5" t="n"/>
      <c r="H11" s="5" t="n"/>
      <c r="I11" s="5" t="n"/>
      <c r="J11" s="5" t="n"/>
      <c r="K11" s="6">
        <f>IF(C11=2,1,0)</f>
        <v/>
      </c>
      <c r="L11" s="6">
        <f>IF(C11=3,1,0)</f>
        <v/>
      </c>
      <c r="M11" s="6">
        <f>IF(C11=4,1,0)</f>
        <v/>
      </c>
      <c r="N11" s="6">
        <f>IF(B11&gt;=2021,1,0)</f>
        <v/>
      </c>
      <c r="O11" s="6">
        <f>D11+104</f>
        <v/>
      </c>
      <c r="P11" s="6">
        <f>IF(E11&gt;0,LN(E11),"")</f>
        <v/>
      </c>
      <c r="Q11" s="6">
        <f>IF(F11&gt;0,LN(F11),"")</f>
        <v/>
      </c>
      <c r="R11" s="6">
        <f>IF(G11&gt;0,LN(G11),"")</f>
        <v/>
      </c>
      <c r="S11" s="6">
        <f>IF(H11&gt;0,LN(H11),"")</f>
        <v/>
      </c>
      <c r="T11" s="6">
        <f>IF(I11&gt;0,LN(I11),"")</f>
        <v/>
      </c>
      <c r="U11" s="6">
        <f>IF(J11&gt;0,LN(J11),"")</f>
        <v/>
      </c>
      <c r="V11" s="6">
        <f>IF(AND(T11&lt;&gt;"",U11&lt;&gt;""),T11-U11,"")</f>
        <v/>
      </c>
      <c r="W11" s="6">
        <f>IF(AND(P11&lt;&gt;"",S11&lt;&gt;""),P11*S11,"")</f>
        <v/>
      </c>
      <c r="X11" s="6">
        <f>IF(O11&gt;0,LN(O11),"")</f>
        <v/>
      </c>
    </row>
    <row r="12">
      <c r="A12" s="4" t="inlineStr">
        <is>
          <t>2028Q3</t>
        </is>
      </c>
      <c r="B12" s="4" t="n">
        <v>2028</v>
      </c>
      <c r="C12" s="4" t="n">
        <v>3</v>
      </c>
      <c r="D12" s="4" t="n">
        <v>11</v>
      </c>
      <c r="E12" s="5" t="n"/>
      <c r="F12" s="5" t="n"/>
      <c r="G12" s="5" t="n"/>
      <c r="H12" s="5" t="n"/>
      <c r="I12" s="5" t="n"/>
      <c r="J12" s="5" t="n"/>
      <c r="K12" s="6">
        <f>IF(C12=2,1,0)</f>
        <v/>
      </c>
      <c r="L12" s="6">
        <f>IF(C12=3,1,0)</f>
        <v/>
      </c>
      <c r="M12" s="6">
        <f>IF(C12=4,1,0)</f>
        <v/>
      </c>
      <c r="N12" s="6">
        <f>IF(B12&gt;=2021,1,0)</f>
        <v/>
      </c>
      <c r="O12" s="6">
        <f>D12+104</f>
        <v/>
      </c>
      <c r="P12" s="6">
        <f>IF(E12&gt;0,LN(E12),"")</f>
        <v/>
      </c>
      <c r="Q12" s="6">
        <f>IF(F12&gt;0,LN(F12),"")</f>
        <v/>
      </c>
      <c r="R12" s="6">
        <f>IF(G12&gt;0,LN(G12),"")</f>
        <v/>
      </c>
      <c r="S12" s="6">
        <f>IF(H12&gt;0,LN(H12),"")</f>
        <v/>
      </c>
      <c r="T12" s="6">
        <f>IF(I12&gt;0,LN(I12),"")</f>
        <v/>
      </c>
      <c r="U12" s="6">
        <f>IF(J12&gt;0,LN(J12),"")</f>
        <v/>
      </c>
      <c r="V12" s="6">
        <f>IF(AND(T12&lt;&gt;"",U12&lt;&gt;""),T12-U12,"")</f>
        <v/>
      </c>
      <c r="W12" s="6">
        <f>IF(AND(P12&lt;&gt;"",S12&lt;&gt;""),P12*S12,"")</f>
        <v/>
      </c>
      <c r="X12" s="6">
        <f>IF(O12&gt;0,LN(O12),"")</f>
        <v/>
      </c>
    </row>
    <row r="13">
      <c r="A13" s="4" t="inlineStr">
        <is>
          <t>2028Q4</t>
        </is>
      </c>
      <c r="B13" s="4" t="n">
        <v>2028</v>
      </c>
      <c r="C13" s="4" t="n">
        <v>4</v>
      </c>
      <c r="D13" s="4" t="n">
        <v>12</v>
      </c>
      <c r="E13" s="5" t="n"/>
      <c r="F13" s="5" t="n"/>
      <c r="G13" s="5" t="n"/>
      <c r="H13" s="5" t="n"/>
      <c r="I13" s="5" t="n"/>
      <c r="J13" s="5" t="n"/>
      <c r="K13" s="6">
        <f>IF(C13=2,1,0)</f>
        <v/>
      </c>
      <c r="L13" s="6">
        <f>IF(C13=3,1,0)</f>
        <v/>
      </c>
      <c r="M13" s="6">
        <f>IF(C13=4,1,0)</f>
        <v/>
      </c>
      <c r="N13" s="6">
        <f>IF(B13&gt;=2021,1,0)</f>
        <v/>
      </c>
      <c r="O13" s="6">
        <f>D13+104</f>
        <v/>
      </c>
      <c r="P13" s="6">
        <f>IF(E13&gt;0,LN(E13),"")</f>
        <v/>
      </c>
      <c r="Q13" s="6">
        <f>IF(F13&gt;0,LN(F13),"")</f>
        <v/>
      </c>
      <c r="R13" s="6">
        <f>IF(G13&gt;0,LN(G13),"")</f>
        <v/>
      </c>
      <c r="S13" s="6">
        <f>IF(H13&gt;0,LN(H13),"")</f>
        <v/>
      </c>
      <c r="T13" s="6">
        <f>IF(I13&gt;0,LN(I13),"")</f>
        <v/>
      </c>
      <c r="U13" s="6">
        <f>IF(J13&gt;0,LN(J13),"")</f>
        <v/>
      </c>
      <c r="V13" s="6">
        <f>IF(AND(T13&lt;&gt;"",U13&lt;&gt;""),T13-U13,"")</f>
        <v/>
      </c>
      <c r="W13" s="6">
        <f>IF(AND(P13&lt;&gt;"",S13&lt;&gt;""),P13*S13,"")</f>
        <v/>
      </c>
      <c r="X13" s="6">
        <f>IF(O13&gt;0,LN(O13),"")</f>
        <v/>
      </c>
    </row>
    <row r="14">
      <c r="A14" s="4" t="inlineStr">
        <is>
          <t>2029Q1</t>
        </is>
      </c>
      <c r="B14" s="4" t="n">
        <v>2029</v>
      </c>
      <c r="C14" s="4" t="n">
        <v>1</v>
      </c>
      <c r="D14" s="4" t="n">
        <v>13</v>
      </c>
      <c r="E14" s="5" t="n"/>
      <c r="F14" s="5" t="n"/>
      <c r="G14" s="5" t="n"/>
      <c r="H14" s="5" t="n"/>
      <c r="I14" s="5" t="n"/>
      <c r="J14" s="5" t="n"/>
      <c r="K14" s="6">
        <f>IF(C14=2,1,0)</f>
        <v/>
      </c>
      <c r="L14" s="6">
        <f>IF(C14=3,1,0)</f>
        <v/>
      </c>
      <c r="M14" s="6">
        <f>IF(C14=4,1,0)</f>
        <v/>
      </c>
      <c r="N14" s="6">
        <f>IF(B14&gt;=2021,1,0)</f>
        <v/>
      </c>
      <c r="O14" s="6">
        <f>D14+104</f>
        <v/>
      </c>
      <c r="P14" s="6">
        <f>IF(E14&gt;0,LN(E14),"")</f>
        <v/>
      </c>
      <c r="Q14" s="6">
        <f>IF(F14&gt;0,LN(F14),"")</f>
        <v/>
      </c>
      <c r="R14" s="6">
        <f>IF(G14&gt;0,LN(G14),"")</f>
        <v/>
      </c>
      <c r="S14" s="6">
        <f>IF(H14&gt;0,LN(H14),"")</f>
        <v/>
      </c>
      <c r="T14" s="6">
        <f>IF(I14&gt;0,LN(I14),"")</f>
        <v/>
      </c>
      <c r="U14" s="6">
        <f>IF(J14&gt;0,LN(J14),"")</f>
        <v/>
      </c>
      <c r="V14" s="6">
        <f>IF(AND(T14&lt;&gt;"",U14&lt;&gt;""),T14-U14,"")</f>
        <v/>
      </c>
      <c r="W14" s="6">
        <f>IF(AND(P14&lt;&gt;"",S14&lt;&gt;""),P14*S14,"")</f>
        <v/>
      </c>
      <c r="X14" s="6">
        <f>IF(O14&gt;0,LN(O14),"")</f>
        <v/>
      </c>
    </row>
    <row r="15">
      <c r="A15" s="4" t="inlineStr">
        <is>
          <t>2029Q2</t>
        </is>
      </c>
      <c r="B15" s="4" t="n">
        <v>2029</v>
      </c>
      <c r="C15" s="4" t="n">
        <v>2</v>
      </c>
      <c r="D15" s="4" t="n">
        <v>14</v>
      </c>
      <c r="E15" s="5" t="n"/>
      <c r="F15" s="5" t="n"/>
      <c r="G15" s="5" t="n"/>
      <c r="H15" s="5" t="n"/>
      <c r="I15" s="5" t="n"/>
      <c r="J15" s="5" t="n"/>
      <c r="K15" s="6">
        <f>IF(C15=2,1,0)</f>
        <v/>
      </c>
      <c r="L15" s="6">
        <f>IF(C15=3,1,0)</f>
        <v/>
      </c>
      <c r="M15" s="6">
        <f>IF(C15=4,1,0)</f>
        <v/>
      </c>
      <c r="N15" s="6">
        <f>IF(B15&gt;=2021,1,0)</f>
        <v/>
      </c>
      <c r="O15" s="6">
        <f>D15+104</f>
        <v/>
      </c>
      <c r="P15" s="6">
        <f>IF(E15&gt;0,LN(E15),"")</f>
        <v/>
      </c>
      <c r="Q15" s="6">
        <f>IF(F15&gt;0,LN(F15),"")</f>
        <v/>
      </c>
      <c r="R15" s="6">
        <f>IF(G15&gt;0,LN(G15),"")</f>
        <v/>
      </c>
      <c r="S15" s="6">
        <f>IF(H15&gt;0,LN(H15),"")</f>
        <v/>
      </c>
      <c r="T15" s="6">
        <f>IF(I15&gt;0,LN(I15),"")</f>
        <v/>
      </c>
      <c r="U15" s="6">
        <f>IF(J15&gt;0,LN(J15),"")</f>
        <v/>
      </c>
      <c r="V15" s="6">
        <f>IF(AND(T15&lt;&gt;"",U15&lt;&gt;""),T15-U15,"")</f>
        <v/>
      </c>
      <c r="W15" s="6">
        <f>IF(AND(P15&lt;&gt;"",S15&lt;&gt;""),P15*S15,"")</f>
        <v/>
      </c>
      <c r="X15" s="6">
        <f>IF(O15&gt;0,LN(O15),"")</f>
        <v/>
      </c>
    </row>
    <row r="16">
      <c r="A16" s="4" t="inlineStr">
        <is>
          <t>2029Q3</t>
        </is>
      </c>
      <c r="B16" s="4" t="n">
        <v>2029</v>
      </c>
      <c r="C16" s="4" t="n">
        <v>3</v>
      </c>
      <c r="D16" s="4" t="n">
        <v>15</v>
      </c>
      <c r="E16" s="5" t="n"/>
      <c r="F16" s="5" t="n"/>
      <c r="G16" s="5" t="n"/>
      <c r="H16" s="5" t="n"/>
      <c r="I16" s="5" t="n"/>
      <c r="J16" s="5" t="n"/>
      <c r="K16" s="6">
        <f>IF(C16=2,1,0)</f>
        <v/>
      </c>
      <c r="L16" s="6">
        <f>IF(C16=3,1,0)</f>
        <v/>
      </c>
      <c r="M16" s="6">
        <f>IF(C16=4,1,0)</f>
        <v/>
      </c>
      <c r="N16" s="6">
        <f>IF(B16&gt;=2021,1,0)</f>
        <v/>
      </c>
      <c r="O16" s="6">
        <f>D16+104</f>
        <v/>
      </c>
      <c r="P16" s="6">
        <f>IF(E16&gt;0,LN(E16),"")</f>
        <v/>
      </c>
      <c r="Q16" s="6">
        <f>IF(F16&gt;0,LN(F16),"")</f>
        <v/>
      </c>
      <c r="R16" s="6">
        <f>IF(G16&gt;0,LN(G16),"")</f>
        <v/>
      </c>
      <c r="S16" s="6">
        <f>IF(H16&gt;0,LN(H16),"")</f>
        <v/>
      </c>
      <c r="T16" s="6">
        <f>IF(I16&gt;0,LN(I16),"")</f>
        <v/>
      </c>
      <c r="U16" s="6">
        <f>IF(J16&gt;0,LN(J16),"")</f>
        <v/>
      </c>
      <c r="V16" s="6">
        <f>IF(AND(T16&lt;&gt;"",U16&lt;&gt;""),T16-U16,"")</f>
        <v/>
      </c>
      <c r="W16" s="6">
        <f>IF(AND(P16&lt;&gt;"",S16&lt;&gt;""),P16*S16,"")</f>
        <v/>
      </c>
      <c r="X16" s="6">
        <f>IF(O16&gt;0,LN(O16),"")</f>
        <v/>
      </c>
    </row>
    <row r="17">
      <c r="A17" s="4" t="inlineStr">
        <is>
          <t>2029Q4</t>
        </is>
      </c>
      <c r="B17" s="4" t="n">
        <v>2029</v>
      </c>
      <c r="C17" s="4" t="n">
        <v>4</v>
      </c>
      <c r="D17" s="4" t="n">
        <v>16</v>
      </c>
      <c r="E17" s="5" t="n"/>
      <c r="F17" s="5" t="n"/>
      <c r="G17" s="5" t="n"/>
      <c r="H17" s="5" t="n"/>
      <c r="I17" s="5" t="n"/>
      <c r="J17" s="5" t="n"/>
      <c r="K17" s="6">
        <f>IF(C17=2,1,0)</f>
        <v/>
      </c>
      <c r="L17" s="6">
        <f>IF(C17=3,1,0)</f>
        <v/>
      </c>
      <c r="M17" s="6">
        <f>IF(C17=4,1,0)</f>
        <v/>
      </c>
      <c r="N17" s="6">
        <f>IF(B17&gt;=2021,1,0)</f>
        <v/>
      </c>
      <c r="O17" s="6">
        <f>D17+104</f>
        <v/>
      </c>
      <c r="P17" s="6">
        <f>IF(E17&gt;0,LN(E17),"")</f>
        <v/>
      </c>
      <c r="Q17" s="6">
        <f>IF(F17&gt;0,LN(F17),"")</f>
        <v/>
      </c>
      <c r="R17" s="6">
        <f>IF(G17&gt;0,LN(G17),"")</f>
        <v/>
      </c>
      <c r="S17" s="6">
        <f>IF(H17&gt;0,LN(H17),"")</f>
        <v/>
      </c>
      <c r="T17" s="6">
        <f>IF(I17&gt;0,LN(I17),"")</f>
        <v/>
      </c>
      <c r="U17" s="6">
        <f>IF(J17&gt;0,LN(J17),"")</f>
        <v/>
      </c>
      <c r="V17" s="6">
        <f>IF(AND(T17&lt;&gt;"",U17&lt;&gt;""),T17-U17,"")</f>
        <v/>
      </c>
      <c r="W17" s="6">
        <f>IF(AND(P17&lt;&gt;"",S17&lt;&gt;""),P17*S17,"")</f>
        <v/>
      </c>
      <c r="X17" s="6">
        <f>IF(O17&gt;0,LN(O17),"")</f>
        <v/>
      </c>
    </row>
    <row r="18">
      <c r="A18" s="4" t="inlineStr">
        <is>
          <t>2030Q1</t>
        </is>
      </c>
      <c r="B18" s="4" t="n">
        <v>2030</v>
      </c>
      <c r="C18" s="4" t="n">
        <v>1</v>
      </c>
      <c r="D18" s="4" t="n">
        <v>17</v>
      </c>
      <c r="E18" s="5" t="n"/>
      <c r="F18" s="5" t="n"/>
      <c r="G18" s="5" t="n"/>
      <c r="H18" s="5" t="n"/>
      <c r="I18" s="5" t="n"/>
      <c r="J18" s="5" t="n"/>
      <c r="K18" s="6">
        <f>IF(C18=2,1,0)</f>
        <v/>
      </c>
      <c r="L18" s="6">
        <f>IF(C18=3,1,0)</f>
        <v/>
      </c>
      <c r="M18" s="6">
        <f>IF(C18=4,1,0)</f>
        <v/>
      </c>
      <c r="N18" s="6">
        <f>IF(B18&gt;=2021,1,0)</f>
        <v/>
      </c>
      <c r="O18" s="6">
        <f>D18+104</f>
        <v/>
      </c>
      <c r="P18" s="6">
        <f>IF(E18&gt;0,LN(E18),"")</f>
        <v/>
      </c>
      <c r="Q18" s="6">
        <f>IF(F18&gt;0,LN(F18),"")</f>
        <v/>
      </c>
      <c r="R18" s="6">
        <f>IF(G18&gt;0,LN(G18),"")</f>
        <v/>
      </c>
      <c r="S18" s="6">
        <f>IF(H18&gt;0,LN(H18),"")</f>
        <v/>
      </c>
      <c r="T18" s="6">
        <f>IF(I18&gt;0,LN(I18),"")</f>
        <v/>
      </c>
      <c r="U18" s="6">
        <f>IF(J18&gt;0,LN(J18),"")</f>
        <v/>
      </c>
      <c r="V18" s="6">
        <f>IF(AND(T18&lt;&gt;"",U18&lt;&gt;""),T18-U18,"")</f>
        <v/>
      </c>
      <c r="W18" s="6">
        <f>IF(AND(P18&lt;&gt;"",S18&lt;&gt;""),P18*S18,"")</f>
        <v/>
      </c>
      <c r="X18" s="6">
        <f>IF(O18&gt;0,LN(O18),"")</f>
        <v/>
      </c>
    </row>
    <row r="19">
      <c r="A19" s="4" t="inlineStr">
        <is>
          <t>2030Q2</t>
        </is>
      </c>
      <c r="B19" s="4" t="n">
        <v>2030</v>
      </c>
      <c r="C19" s="4" t="n">
        <v>2</v>
      </c>
      <c r="D19" s="4" t="n">
        <v>18</v>
      </c>
      <c r="E19" s="5" t="n"/>
      <c r="F19" s="5" t="n"/>
      <c r="G19" s="5" t="n"/>
      <c r="H19" s="5" t="n"/>
      <c r="I19" s="5" t="n"/>
      <c r="J19" s="5" t="n"/>
      <c r="K19" s="6">
        <f>IF(C19=2,1,0)</f>
        <v/>
      </c>
      <c r="L19" s="6">
        <f>IF(C19=3,1,0)</f>
        <v/>
      </c>
      <c r="M19" s="6">
        <f>IF(C19=4,1,0)</f>
        <v/>
      </c>
      <c r="N19" s="6">
        <f>IF(B19&gt;=2021,1,0)</f>
        <v/>
      </c>
      <c r="O19" s="6">
        <f>D19+104</f>
        <v/>
      </c>
      <c r="P19" s="6">
        <f>IF(E19&gt;0,LN(E19),"")</f>
        <v/>
      </c>
      <c r="Q19" s="6">
        <f>IF(F19&gt;0,LN(F19),"")</f>
        <v/>
      </c>
      <c r="R19" s="6">
        <f>IF(G19&gt;0,LN(G19),"")</f>
        <v/>
      </c>
      <c r="S19" s="6">
        <f>IF(H19&gt;0,LN(H19),"")</f>
        <v/>
      </c>
      <c r="T19" s="6">
        <f>IF(I19&gt;0,LN(I19),"")</f>
        <v/>
      </c>
      <c r="U19" s="6">
        <f>IF(J19&gt;0,LN(J19),"")</f>
        <v/>
      </c>
      <c r="V19" s="6">
        <f>IF(AND(T19&lt;&gt;"",U19&lt;&gt;""),T19-U19,"")</f>
        <v/>
      </c>
      <c r="W19" s="6">
        <f>IF(AND(P19&lt;&gt;"",S19&lt;&gt;""),P19*S19,"")</f>
        <v/>
      </c>
      <c r="X19" s="6">
        <f>IF(O19&gt;0,LN(O19),"")</f>
        <v/>
      </c>
    </row>
    <row r="20">
      <c r="A20" s="4" t="inlineStr">
        <is>
          <t>2030Q3</t>
        </is>
      </c>
      <c r="B20" s="4" t="n">
        <v>2030</v>
      </c>
      <c r="C20" s="4" t="n">
        <v>3</v>
      </c>
      <c r="D20" s="4" t="n">
        <v>19</v>
      </c>
      <c r="E20" s="5" t="n"/>
      <c r="F20" s="5" t="n"/>
      <c r="G20" s="5" t="n"/>
      <c r="H20" s="5" t="n"/>
      <c r="I20" s="5" t="n"/>
      <c r="J20" s="5" t="n"/>
      <c r="K20" s="6">
        <f>IF(C20=2,1,0)</f>
        <v/>
      </c>
      <c r="L20" s="6">
        <f>IF(C20=3,1,0)</f>
        <v/>
      </c>
      <c r="M20" s="6">
        <f>IF(C20=4,1,0)</f>
        <v/>
      </c>
      <c r="N20" s="6">
        <f>IF(B20&gt;=2021,1,0)</f>
        <v/>
      </c>
      <c r="O20" s="6">
        <f>D20+104</f>
        <v/>
      </c>
      <c r="P20" s="6">
        <f>IF(E20&gt;0,LN(E20),"")</f>
        <v/>
      </c>
      <c r="Q20" s="6">
        <f>IF(F20&gt;0,LN(F20),"")</f>
        <v/>
      </c>
      <c r="R20" s="6">
        <f>IF(G20&gt;0,LN(G20),"")</f>
        <v/>
      </c>
      <c r="S20" s="6">
        <f>IF(H20&gt;0,LN(H20),"")</f>
        <v/>
      </c>
      <c r="T20" s="6">
        <f>IF(I20&gt;0,LN(I20),"")</f>
        <v/>
      </c>
      <c r="U20" s="6">
        <f>IF(J20&gt;0,LN(J20),"")</f>
        <v/>
      </c>
      <c r="V20" s="6">
        <f>IF(AND(T20&lt;&gt;"",U20&lt;&gt;""),T20-U20,"")</f>
        <v/>
      </c>
      <c r="W20" s="6">
        <f>IF(AND(P20&lt;&gt;"",S20&lt;&gt;""),P20*S20,"")</f>
        <v/>
      </c>
      <c r="X20" s="6">
        <f>IF(O20&gt;0,LN(O20),"")</f>
        <v/>
      </c>
    </row>
    <row r="21">
      <c r="A21" s="4" t="inlineStr">
        <is>
          <t>2030Q4</t>
        </is>
      </c>
      <c r="B21" s="4" t="n">
        <v>2030</v>
      </c>
      <c r="C21" s="4" t="n">
        <v>4</v>
      </c>
      <c r="D21" s="4" t="n">
        <v>20</v>
      </c>
      <c r="E21" s="5" t="n"/>
      <c r="F21" s="5" t="n"/>
      <c r="G21" s="5" t="n"/>
      <c r="H21" s="5" t="n"/>
      <c r="I21" s="5" t="n"/>
      <c r="J21" s="5" t="n"/>
      <c r="K21" s="6">
        <f>IF(C21=2,1,0)</f>
        <v/>
      </c>
      <c r="L21" s="6">
        <f>IF(C21=3,1,0)</f>
        <v/>
      </c>
      <c r="M21" s="6">
        <f>IF(C21=4,1,0)</f>
        <v/>
      </c>
      <c r="N21" s="6">
        <f>IF(B21&gt;=2021,1,0)</f>
        <v/>
      </c>
      <c r="O21" s="6">
        <f>D21+104</f>
        <v/>
      </c>
      <c r="P21" s="6">
        <f>IF(E21&gt;0,LN(E21),"")</f>
        <v/>
      </c>
      <c r="Q21" s="6">
        <f>IF(F21&gt;0,LN(F21),"")</f>
        <v/>
      </c>
      <c r="R21" s="6">
        <f>IF(G21&gt;0,LN(G21),"")</f>
        <v/>
      </c>
      <c r="S21" s="6">
        <f>IF(H21&gt;0,LN(H21),"")</f>
        <v/>
      </c>
      <c r="T21" s="6">
        <f>IF(I21&gt;0,LN(I21),"")</f>
        <v/>
      </c>
      <c r="U21" s="6">
        <f>IF(J21&gt;0,LN(J21),"")</f>
        <v/>
      </c>
      <c r="V21" s="6">
        <f>IF(AND(T21&lt;&gt;"",U21&lt;&gt;""),T21-U21,"")</f>
        <v/>
      </c>
      <c r="W21" s="6">
        <f>IF(AND(P21&lt;&gt;"",S21&lt;&gt;""),P21*S21,"")</f>
        <v/>
      </c>
      <c r="X21" s="6">
        <f>IF(O21&gt;0,LN(O21),"")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X2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34" customWidth="1" min="6" max="6"/>
    <col width="34" customWidth="1" min="7" max="7"/>
    <col width="3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  <col width="15" customWidth="1" min="15" max="15"/>
    <col width="15" customWidth="1" min="16" max="16"/>
    <col width="24" customWidth="1" min="17" max="17"/>
    <col width="27" customWidth="1" min="18" max="18"/>
    <col width="34" customWidth="1" min="19" max="19"/>
    <col width="19" customWidth="1" min="20" max="20"/>
    <col width="19" customWidth="1" min="21" max="21"/>
    <col width="20" customWidth="1" min="22" max="22"/>
    <col width="34" customWidth="1" min="23" max="23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horizon</t>
        </is>
      </c>
      <c r="E1" s="3" t="inlineStr">
        <is>
          <t>real_gdp_sa_nzd</t>
        </is>
      </c>
      <c r="F1" s="3" t="inlineStr">
        <is>
          <t>real_diesel_price_cents_per_litre</t>
        </is>
      </c>
      <c r="G1" s="3" t="inlineStr">
        <is>
          <t>real_light_ruc_price_nzd_per_1000km</t>
        </is>
      </c>
      <c r="H1" s="3" t="inlineStr">
        <is>
          <t>lagged_real_light_ruc_price_nzd_per_1000km</t>
        </is>
      </c>
      <c r="I1" s="3" t="inlineStr">
        <is>
          <t>target_lag_1</t>
        </is>
      </c>
      <c r="J1" s="3" t="inlineStr">
        <is>
          <t>target_lag_4</t>
        </is>
      </c>
      <c r="K1" s="3" t="inlineStr">
        <is>
          <t>q2_dummy</t>
        </is>
      </c>
      <c r="L1" s="3" t="inlineStr">
        <is>
          <t>q3_dummy</t>
        </is>
      </c>
      <c r="M1" s="3" t="inlineStr">
        <is>
          <t>q4_dummy</t>
        </is>
      </c>
      <c r="N1" s="3" t="inlineStr">
        <is>
          <t>post_2020_dummy</t>
        </is>
      </c>
      <c r="O1" s="3" t="inlineStr">
        <is>
          <t>trend_index</t>
        </is>
      </c>
      <c r="P1" s="3" t="inlineStr">
        <is>
          <t>log_real_gdp</t>
        </is>
      </c>
      <c r="Q1" s="3" t="inlineStr">
        <is>
          <t>log_real_diesel_price</t>
        </is>
      </c>
      <c r="R1" s="3" t="inlineStr">
        <is>
          <t>log_real_light_ruc_price</t>
        </is>
      </c>
      <c r="S1" s="3" t="inlineStr">
        <is>
          <t>log_lagged_real_light_ruc_price</t>
        </is>
      </c>
      <c r="T1" s="3" t="inlineStr">
        <is>
          <t>log_target_lag_1</t>
        </is>
      </c>
      <c r="U1" s="3" t="inlineStr">
        <is>
          <t>log_target_lag_4</t>
        </is>
      </c>
      <c r="V1" s="3" t="inlineStr">
        <is>
          <t>diff_log_real_gdp</t>
        </is>
      </c>
      <c r="W1" s="3" t="inlineStr">
        <is>
          <t>gdp_light_ruc_price_interaction</t>
        </is>
      </c>
    </row>
    <row r="2">
      <c r="A2" s="4" t="inlineStr">
        <is>
          <t>2026Q1</t>
        </is>
      </c>
      <c r="B2" s="4" t="n">
        <v>2026</v>
      </c>
      <c r="C2" s="4" t="n">
        <v>1</v>
      </c>
      <c r="D2" s="4" t="n">
        <v>1</v>
      </c>
      <c r="E2" s="5" t="n"/>
      <c r="F2" s="5" t="n"/>
      <c r="G2" s="5" t="n"/>
      <c r="H2" s="5" t="n"/>
      <c r="I2" s="5" t="n"/>
      <c r="J2" s="5" t="n"/>
      <c r="K2" s="6">
        <f>IF(C2=2,1,0)</f>
        <v/>
      </c>
      <c r="L2" s="6">
        <f>IF(C2=3,1,0)</f>
        <v/>
      </c>
      <c r="M2" s="6">
        <f>IF(C2=4,1,0)</f>
        <v/>
      </c>
      <c r="N2" s="6">
        <f>IF(B2&gt;=2021,1,0)</f>
        <v/>
      </c>
      <c r="O2" s="6">
        <f>D2+104</f>
        <v/>
      </c>
      <c r="P2" s="6">
        <f>IF(E2&gt;0,LN(E2),"")</f>
        <v/>
      </c>
      <c r="Q2" s="6">
        <f>IF(F2&gt;0,LN(F2),"")</f>
        <v/>
      </c>
      <c r="R2" s="6">
        <f>IF(G2&gt;0,LN(G2),"")</f>
        <v/>
      </c>
      <c r="S2" s="6">
        <f>IF(H2&gt;0,LN(H2),"")</f>
        <v/>
      </c>
      <c r="T2" s="6">
        <f>IF(I2&gt;0,LN(I2),"")</f>
        <v/>
      </c>
      <c r="U2" s="6">
        <f>IF(J2&gt;0,LN(J2),"")</f>
        <v/>
      </c>
      <c r="V2" s="6">
        <f>""</f>
        <v/>
      </c>
      <c r="W2" s="6">
        <f>IF(AND(P2&lt;&gt;"",R2&lt;&gt;""),P2*R2,"")</f>
        <v/>
      </c>
    </row>
    <row r="3">
      <c r="A3" s="4" t="inlineStr">
        <is>
          <t>2026Q2</t>
        </is>
      </c>
      <c r="B3" s="4" t="n">
        <v>2026</v>
      </c>
      <c r="C3" s="4" t="n">
        <v>2</v>
      </c>
      <c r="D3" s="4" t="n">
        <v>2</v>
      </c>
      <c r="E3" s="5" t="n"/>
      <c r="F3" s="5" t="n"/>
      <c r="G3" s="5" t="n"/>
      <c r="H3" s="5" t="n"/>
      <c r="I3" s="5" t="n"/>
      <c r="J3" s="5" t="n"/>
      <c r="K3" s="6">
        <f>IF(C3=2,1,0)</f>
        <v/>
      </c>
      <c r="L3" s="6">
        <f>IF(C3=3,1,0)</f>
        <v/>
      </c>
      <c r="M3" s="6">
        <f>IF(C3=4,1,0)</f>
        <v/>
      </c>
      <c r="N3" s="6">
        <f>IF(B3&gt;=2021,1,0)</f>
        <v/>
      </c>
      <c r="O3" s="6">
        <f>D3+104</f>
        <v/>
      </c>
      <c r="P3" s="6">
        <f>IF(E3&gt;0,LN(E3),"")</f>
        <v/>
      </c>
      <c r="Q3" s="6">
        <f>IF(F3&gt;0,LN(F3),"")</f>
        <v/>
      </c>
      <c r="R3" s="6">
        <f>IF(G3&gt;0,LN(G3),"")</f>
        <v/>
      </c>
      <c r="S3" s="6">
        <f>IF(H3&gt;0,LN(H3),"")</f>
        <v/>
      </c>
      <c r="T3" s="6">
        <f>IF(I3&gt;0,LN(I3),"")</f>
        <v/>
      </c>
      <c r="U3" s="6">
        <f>IF(J3&gt;0,LN(J3),"")</f>
        <v/>
      </c>
      <c r="V3" s="6">
        <f>IF(AND(P3&lt;&gt;"",P2&lt;&gt;""),P3-P2,"")</f>
        <v/>
      </c>
      <c r="W3" s="6">
        <f>IF(AND(P3&lt;&gt;"",R3&lt;&gt;""),P3*R3,"")</f>
        <v/>
      </c>
    </row>
    <row r="4">
      <c r="A4" s="4" t="inlineStr">
        <is>
          <t>2026Q3</t>
        </is>
      </c>
      <c r="B4" s="4" t="n">
        <v>2026</v>
      </c>
      <c r="C4" s="4" t="n">
        <v>3</v>
      </c>
      <c r="D4" s="4" t="n">
        <v>3</v>
      </c>
      <c r="E4" s="5" t="n"/>
      <c r="F4" s="5" t="n"/>
      <c r="G4" s="5" t="n"/>
      <c r="H4" s="5" t="n"/>
      <c r="I4" s="5" t="n"/>
      <c r="J4" s="5" t="n"/>
      <c r="K4" s="6">
        <f>IF(C4=2,1,0)</f>
        <v/>
      </c>
      <c r="L4" s="6">
        <f>IF(C4=3,1,0)</f>
        <v/>
      </c>
      <c r="M4" s="6">
        <f>IF(C4=4,1,0)</f>
        <v/>
      </c>
      <c r="N4" s="6">
        <f>IF(B4&gt;=2021,1,0)</f>
        <v/>
      </c>
      <c r="O4" s="6">
        <f>D4+104</f>
        <v/>
      </c>
      <c r="P4" s="6">
        <f>IF(E4&gt;0,LN(E4),"")</f>
        <v/>
      </c>
      <c r="Q4" s="6">
        <f>IF(F4&gt;0,LN(F4),"")</f>
        <v/>
      </c>
      <c r="R4" s="6">
        <f>IF(G4&gt;0,LN(G4),"")</f>
        <v/>
      </c>
      <c r="S4" s="6">
        <f>IF(H4&gt;0,LN(H4),"")</f>
        <v/>
      </c>
      <c r="T4" s="6">
        <f>IF(I4&gt;0,LN(I4),"")</f>
        <v/>
      </c>
      <c r="U4" s="6">
        <f>IF(J4&gt;0,LN(J4),"")</f>
        <v/>
      </c>
      <c r="V4" s="6">
        <f>IF(AND(P4&lt;&gt;"",P3&lt;&gt;""),P4-P3,"")</f>
        <v/>
      </c>
      <c r="W4" s="6">
        <f>IF(AND(P4&lt;&gt;"",R4&lt;&gt;""),P4*R4,"")</f>
        <v/>
      </c>
    </row>
    <row r="5">
      <c r="A5" s="4" t="inlineStr">
        <is>
          <t>2026Q4</t>
        </is>
      </c>
      <c r="B5" s="4" t="n">
        <v>2026</v>
      </c>
      <c r="C5" s="4" t="n">
        <v>4</v>
      </c>
      <c r="D5" s="4" t="n">
        <v>4</v>
      </c>
      <c r="E5" s="5" t="n"/>
      <c r="F5" s="5" t="n"/>
      <c r="G5" s="5" t="n"/>
      <c r="H5" s="5" t="n"/>
      <c r="I5" s="5" t="n"/>
      <c r="J5" s="5" t="n"/>
      <c r="K5" s="6">
        <f>IF(C5=2,1,0)</f>
        <v/>
      </c>
      <c r="L5" s="6">
        <f>IF(C5=3,1,0)</f>
        <v/>
      </c>
      <c r="M5" s="6">
        <f>IF(C5=4,1,0)</f>
        <v/>
      </c>
      <c r="N5" s="6">
        <f>IF(B5&gt;=2021,1,0)</f>
        <v/>
      </c>
      <c r="O5" s="6">
        <f>D5+104</f>
        <v/>
      </c>
      <c r="P5" s="6">
        <f>IF(E5&gt;0,LN(E5),"")</f>
        <v/>
      </c>
      <c r="Q5" s="6">
        <f>IF(F5&gt;0,LN(F5),"")</f>
        <v/>
      </c>
      <c r="R5" s="6">
        <f>IF(G5&gt;0,LN(G5),"")</f>
        <v/>
      </c>
      <c r="S5" s="6">
        <f>IF(H5&gt;0,LN(H5),"")</f>
        <v/>
      </c>
      <c r="T5" s="6">
        <f>IF(I5&gt;0,LN(I5),"")</f>
        <v/>
      </c>
      <c r="U5" s="6">
        <f>IF(J5&gt;0,LN(J5),"")</f>
        <v/>
      </c>
      <c r="V5" s="6">
        <f>IF(AND(P5&lt;&gt;"",P4&lt;&gt;""),P5-P4,"")</f>
        <v/>
      </c>
      <c r="W5" s="6">
        <f>IF(AND(P5&lt;&gt;"",R5&lt;&gt;""),P5*R5,"")</f>
        <v/>
      </c>
    </row>
    <row r="6">
      <c r="A6" s="4" t="inlineStr">
        <is>
          <t>2027Q1</t>
        </is>
      </c>
      <c r="B6" s="4" t="n">
        <v>2027</v>
      </c>
      <c r="C6" s="4" t="n">
        <v>1</v>
      </c>
      <c r="D6" s="4" t="n">
        <v>5</v>
      </c>
      <c r="E6" s="5" t="n"/>
      <c r="F6" s="5" t="n"/>
      <c r="G6" s="5" t="n"/>
      <c r="H6" s="5" t="n"/>
      <c r="I6" s="5" t="n"/>
      <c r="J6" s="5" t="n"/>
      <c r="K6" s="6">
        <f>IF(C6=2,1,0)</f>
        <v/>
      </c>
      <c r="L6" s="6">
        <f>IF(C6=3,1,0)</f>
        <v/>
      </c>
      <c r="M6" s="6">
        <f>IF(C6=4,1,0)</f>
        <v/>
      </c>
      <c r="N6" s="6">
        <f>IF(B6&gt;=2021,1,0)</f>
        <v/>
      </c>
      <c r="O6" s="6">
        <f>D6+104</f>
        <v/>
      </c>
      <c r="P6" s="6">
        <f>IF(E6&gt;0,LN(E6),"")</f>
        <v/>
      </c>
      <c r="Q6" s="6">
        <f>IF(F6&gt;0,LN(F6),"")</f>
        <v/>
      </c>
      <c r="R6" s="6">
        <f>IF(G6&gt;0,LN(G6),"")</f>
        <v/>
      </c>
      <c r="S6" s="6">
        <f>IF(H6&gt;0,LN(H6),"")</f>
        <v/>
      </c>
      <c r="T6" s="6">
        <f>IF(I6&gt;0,LN(I6),"")</f>
        <v/>
      </c>
      <c r="U6" s="6">
        <f>IF(J6&gt;0,LN(J6),"")</f>
        <v/>
      </c>
      <c r="V6" s="6">
        <f>IF(AND(P6&lt;&gt;"",P5&lt;&gt;""),P6-P5,"")</f>
        <v/>
      </c>
      <c r="W6" s="6">
        <f>IF(AND(P6&lt;&gt;"",R6&lt;&gt;""),P6*R6,"")</f>
        <v/>
      </c>
    </row>
    <row r="7">
      <c r="A7" s="4" t="inlineStr">
        <is>
          <t>2027Q2</t>
        </is>
      </c>
      <c r="B7" s="4" t="n">
        <v>2027</v>
      </c>
      <c r="C7" s="4" t="n">
        <v>2</v>
      </c>
      <c r="D7" s="4" t="n">
        <v>6</v>
      </c>
      <c r="E7" s="5" t="n"/>
      <c r="F7" s="5" t="n"/>
      <c r="G7" s="5" t="n"/>
      <c r="H7" s="5" t="n"/>
      <c r="I7" s="5" t="n"/>
      <c r="J7" s="5" t="n"/>
      <c r="K7" s="6">
        <f>IF(C7=2,1,0)</f>
        <v/>
      </c>
      <c r="L7" s="6">
        <f>IF(C7=3,1,0)</f>
        <v/>
      </c>
      <c r="M7" s="6">
        <f>IF(C7=4,1,0)</f>
        <v/>
      </c>
      <c r="N7" s="6">
        <f>IF(B7&gt;=2021,1,0)</f>
        <v/>
      </c>
      <c r="O7" s="6">
        <f>D7+104</f>
        <v/>
      </c>
      <c r="P7" s="6">
        <f>IF(E7&gt;0,LN(E7),"")</f>
        <v/>
      </c>
      <c r="Q7" s="6">
        <f>IF(F7&gt;0,LN(F7),"")</f>
        <v/>
      </c>
      <c r="R7" s="6">
        <f>IF(G7&gt;0,LN(G7),"")</f>
        <v/>
      </c>
      <c r="S7" s="6">
        <f>IF(H7&gt;0,LN(H7),"")</f>
        <v/>
      </c>
      <c r="T7" s="6">
        <f>IF(I7&gt;0,LN(I7),"")</f>
        <v/>
      </c>
      <c r="U7" s="6">
        <f>IF(J7&gt;0,LN(J7),"")</f>
        <v/>
      </c>
      <c r="V7" s="6">
        <f>IF(AND(P7&lt;&gt;"",P6&lt;&gt;""),P7-P6,"")</f>
        <v/>
      </c>
      <c r="W7" s="6">
        <f>IF(AND(P7&lt;&gt;"",R7&lt;&gt;""),P7*R7,"")</f>
        <v/>
      </c>
    </row>
    <row r="8">
      <c r="A8" s="4" t="inlineStr">
        <is>
          <t>2027Q3</t>
        </is>
      </c>
      <c r="B8" s="4" t="n">
        <v>2027</v>
      </c>
      <c r="C8" s="4" t="n">
        <v>3</v>
      </c>
      <c r="D8" s="4" t="n">
        <v>7</v>
      </c>
      <c r="E8" s="5" t="n"/>
      <c r="F8" s="5" t="n"/>
      <c r="G8" s="5" t="n"/>
      <c r="H8" s="5" t="n"/>
      <c r="I8" s="5" t="n"/>
      <c r="J8" s="5" t="n"/>
      <c r="K8" s="6">
        <f>IF(C8=2,1,0)</f>
        <v/>
      </c>
      <c r="L8" s="6">
        <f>IF(C8=3,1,0)</f>
        <v/>
      </c>
      <c r="M8" s="6">
        <f>IF(C8=4,1,0)</f>
        <v/>
      </c>
      <c r="N8" s="6">
        <f>IF(B8&gt;=2021,1,0)</f>
        <v/>
      </c>
      <c r="O8" s="6">
        <f>D8+104</f>
        <v/>
      </c>
      <c r="P8" s="6">
        <f>IF(E8&gt;0,LN(E8),"")</f>
        <v/>
      </c>
      <c r="Q8" s="6">
        <f>IF(F8&gt;0,LN(F8),"")</f>
        <v/>
      </c>
      <c r="R8" s="6">
        <f>IF(G8&gt;0,LN(G8),"")</f>
        <v/>
      </c>
      <c r="S8" s="6">
        <f>IF(H8&gt;0,LN(H8),"")</f>
        <v/>
      </c>
      <c r="T8" s="6">
        <f>IF(I8&gt;0,LN(I8),"")</f>
        <v/>
      </c>
      <c r="U8" s="6">
        <f>IF(J8&gt;0,LN(J8),"")</f>
        <v/>
      </c>
      <c r="V8" s="6">
        <f>IF(AND(P8&lt;&gt;"",P7&lt;&gt;""),P8-P7,"")</f>
        <v/>
      </c>
      <c r="W8" s="6">
        <f>IF(AND(P8&lt;&gt;"",R8&lt;&gt;""),P8*R8,"")</f>
        <v/>
      </c>
    </row>
    <row r="9">
      <c r="A9" s="4" t="inlineStr">
        <is>
          <t>2027Q4</t>
        </is>
      </c>
      <c r="B9" s="4" t="n">
        <v>2027</v>
      </c>
      <c r="C9" s="4" t="n">
        <v>4</v>
      </c>
      <c r="D9" s="4" t="n">
        <v>8</v>
      </c>
      <c r="E9" s="5" t="n"/>
      <c r="F9" s="5" t="n"/>
      <c r="G9" s="5" t="n"/>
      <c r="H9" s="5" t="n"/>
      <c r="I9" s="5" t="n"/>
      <c r="J9" s="5" t="n"/>
      <c r="K9" s="6">
        <f>IF(C9=2,1,0)</f>
        <v/>
      </c>
      <c r="L9" s="6">
        <f>IF(C9=3,1,0)</f>
        <v/>
      </c>
      <c r="M9" s="6">
        <f>IF(C9=4,1,0)</f>
        <v/>
      </c>
      <c r="N9" s="6">
        <f>IF(B9&gt;=2021,1,0)</f>
        <v/>
      </c>
      <c r="O9" s="6">
        <f>D9+104</f>
        <v/>
      </c>
      <c r="P9" s="6">
        <f>IF(E9&gt;0,LN(E9),"")</f>
        <v/>
      </c>
      <c r="Q9" s="6">
        <f>IF(F9&gt;0,LN(F9),"")</f>
        <v/>
      </c>
      <c r="R9" s="6">
        <f>IF(G9&gt;0,LN(G9),"")</f>
        <v/>
      </c>
      <c r="S9" s="6">
        <f>IF(H9&gt;0,LN(H9),"")</f>
        <v/>
      </c>
      <c r="T9" s="6">
        <f>IF(I9&gt;0,LN(I9),"")</f>
        <v/>
      </c>
      <c r="U9" s="6">
        <f>IF(J9&gt;0,LN(J9),"")</f>
        <v/>
      </c>
      <c r="V9" s="6">
        <f>IF(AND(P9&lt;&gt;"",P8&lt;&gt;""),P9-P8,"")</f>
        <v/>
      </c>
      <c r="W9" s="6">
        <f>IF(AND(P9&lt;&gt;"",R9&lt;&gt;""),P9*R9,"")</f>
        <v/>
      </c>
    </row>
    <row r="10">
      <c r="A10" s="4" t="inlineStr">
        <is>
          <t>2028Q1</t>
        </is>
      </c>
      <c r="B10" s="4" t="n">
        <v>2028</v>
      </c>
      <c r="C10" s="4" t="n">
        <v>1</v>
      </c>
      <c r="D10" s="4" t="n">
        <v>9</v>
      </c>
      <c r="E10" s="5" t="n"/>
      <c r="F10" s="5" t="n"/>
      <c r="G10" s="5" t="n"/>
      <c r="H10" s="5" t="n"/>
      <c r="I10" s="5" t="n"/>
      <c r="J10" s="5" t="n"/>
      <c r="K10" s="6">
        <f>IF(C10=2,1,0)</f>
        <v/>
      </c>
      <c r="L10" s="6">
        <f>IF(C10=3,1,0)</f>
        <v/>
      </c>
      <c r="M10" s="6">
        <f>IF(C10=4,1,0)</f>
        <v/>
      </c>
      <c r="N10" s="6">
        <f>IF(B10&gt;=2021,1,0)</f>
        <v/>
      </c>
      <c r="O10" s="6">
        <f>D10+104</f>
        <v/>
      </c>
      <c r="P10" s="6">
        <f>IF(E10&gt;0,LN(E10),"")</f>
        <v/>
      </c>
      <c r="Q10" s="6">
        <f>IF(F10&gt;0,LN(F10),"")</f>
        <v/>
      </c>
      <c r="R10" s="6">
        <f>IF(G10&gt;0,LN(G10),"")</f>
        <v/>
      </c>
      <c r="S10" s="6">
        <f>IF(H10&gt;0,LN(H10),"")</f>
        <v/>
      </c>
      <c r="T10" s="6">
        <f>IF(I10&gt;0,LN(I10),"")</f>
        <v/>
      </c>
      <c r="U10" s="6">
        <f>IF(J10&gt;0,LN(J10),"")</f>
        <v/>
      </c>
      <c r="V10" s="6">
        <f>IF(AND(P10&lt;&gt;"",P9&lt;&gt;""),P10-P9,"")</f>
        <v/>
      </c>
      <c r="W10" s="6">
        <f>IF(AND(P10&lt;&gt;"",R10&lt;&gt;""),P10*R10,"")</f>
        <v/>
      </c>
    </row>
    <row r="11">
      <c r="A11" s="4" t="inlineStr">
        <is>
          <t>2028Q2</t>
        </is>
      </c>
      <c r="B11" s="4" t="n">
        <v>2028</v>
      </c>
      <c r="C11" s="4" t="n">
        <v>2</v>
      </c>
      <c r="D11" s="4" t="n">
        <v>10</v>
      </c>
      <c r="E11" s="5" t="n"/>
      <c r="F11" s="5" t="n"/>
      <c r="G11" s="5" t="n"/>
      <c r="H11" s="5" t="n"/>
      <c r="I11" s="5" t="n"/>
      <c r="J11" s="5" t="n"/>
      <c r="K11" s="6">
        <f>IF(C11=2,1,0)</f>
        <v/>
      </c>
      <c r="L11" s="6">
        <f>IF(C11=3,1,0)</f>
        <v/>
      </c>
      <c r="M11" s="6">
        <f>IF(C11=4,1,0)</f>
        <v/>
      </c>
      <c r="N11" s="6">
        <f>IF(B11&gt;=2021,1,0)</f>
        <v/>
      </c>
      <c r="O11" s="6">
        <f>D11+104</f>
        <v/>
      </c>
      <c r="P11" s="6">
        <f>IF(E11&gt;0,LN(E11),"")</f>
        <v/>
      </c>
      <c r="Q11" s="6">
        <f>IF(F11&gt;0,LN(F11),"")</f>
        <v/>
      </c>
      <c r="R11" s="6">
        <f>IF(G11&gt;0,LN(G11),"")</f>
        <v/>
      </c>
      <c r="S11" s="6">
        <f>IF(H11&gt;0,LN(H11),"")</f>
        <v/>
      </c>
      <c r="T11" s="6">
        <f>IF(I11&gt;0,LN(I11),"")</f>
        <v/>
      </c>
      <c r="U11" s="6">
        <f>IF(J11&gt;0,LN(J11),"")</f>
        <v/>
      </c>
      <c r="V11" s="6">
        <f>IF(AND(P11&lt;&gt;"",P10&lt;&gt;""),P11-P10,"")</f>
        <v/>
      </c>
      <c r="W11" s="6">
        <f>IF(AND(P11&lt;&gt;"",R11&lt;&gt;""),P11*R11,"")</f>
        <v/>
      </c>
    </row>
    <row r="12">
      <c r="A12" s="4" t="inlineStr">
        <is>
          <t>2028Q3</t>
        </is>
      </c>
      <c r="B12" s="4" t="n">
        <v>2028</v>
      </c>
      <c r="C12" s="4" t="n">
        <v>3</v>
      </c>
      <c r="D12" s="4" t="n">
        <v>11</v>
      </c>
      <c r="E12" s="5" t="n"/>
      <c r="F12" s="5" t="n"/>
      <c r="G12" s="5" t="n"/>
      <c r="H12" s="5" t="n"/>
      <c r="I12" s="5" t="n"/>
      <c r="J12" s="5" t="n"/>
      <c r="K12" s="6">
        <f>IF(C12=2,1,0)</f>
        <v/>
      </c>
      <c r="L12" s="6">
        <f>IF(C12=3,1,0)</f>
        <v/>
      </c>
      <c r="M12" s="6">
        <f>IF(C12=4,1,0)</f>
        <v/>
      </c>
      <c r="N12" s="6">
        <f>IF(B12&gt;=2021,1,0)</f>
        <v/>
      </c>
      <c r="O12" s="6">
        <f>D12+104</f>
        <v/>
      </c>
      <c r="P12" s="6">
        <f>IF(E12&gt;0,LN(E12),"")</f>
        <v/>
      </c>
      <c r="Q12" s="6">
        <f>IF(F12&gt;0,LN(F12),"")</f>
        <v/>
      </c>
      <c r="R12" s="6">
        <f>IF(G12&gt;0,LN(G12),"")</f>
        <v/>
      </c>
      <c r="S12" s="6">
        <f>IF(H12&gt;0,LN(H12),"")</f>
        <v/>
      </c>
      <c r="T12" s="6">
        <f>IF(I12&gt;0,LN(I12),"")</f>
        <v/>
      </c>
      <c r="U12" s="6">
        <f>IF(J12&gt;0,LN(J12),"")</f>
        <v/>
      </c>
      <c r="V12" s="6">
        <f>IF(AND(P12&lt;&gt;"",P11&lt;&gt;""),P12-P11,"")</f>
        <v/>
      </c>
      <c r="W12" s="6">
        <f>IF(AND(P12&lt;&gt;"",R12&lt;&gt;""),P12*R12,"")</f>
        <v/>
      </c>
    </row>
    <row r="13">
      <c r="A13" s="4" t="inlineStr">
        <is>
          <t>2028Q4</t>
        </is>
      </c>
      <c r="B13" s="4" t="n">
        <v>2028</v>
      </c>
      <c r="C13" s="4" t="n">
        <v>4</v>
      </c>
      <c r="D13" s="4" t="n">
        <v>12</v>
      </c>
      <c r="E13" s="5" t="n"/>
      <c r="F13" s="5" t="n"/>
      <c r="G13" s="5" t="n"/>
      <c r="H13" s="5" t="n"/>
      <c r="I13" s="5" t="n"/>
      <c r="J13" s="5" t="n"/>
      <c r="K13" s="6">
        <f>IF(C13=2,1,0)</f>
        <v/>
      </c>
      <c r="L13" s="6">
        <f>IF(C13=3,1,0)</f>
        <v/>
      </c>
      <c r="M13" s="6">
        <f>IF(C13=4,1,0)</f>
        <v/>
      </c>
      <c r="N13" s="6">
        <f>IF(B13&gt;=2021,1,0)</f>
        <v/>
      </c>
      <c r="O13" s="6">
        <f>D13+104</f>
        <v/>
      </c>
      <c r="P13" s="6">
        <f>IF(E13&gt;0,LN(E13),"")</f>
        <v/>
      </c>
      <c r="Q13" s="6">
        <f>IF(F13&gt;0,LN(F13),"")</f>
        <v/>
      </c>
      <c r="R13" s="6">
        <f>IF(G13&gt;0,LN(G13),"")</f>
        <v/>
      </c>
      <c r="S13" s="6">
        <f>IF(H13&gt;0,LN(H13),"")</f>
        <v/>
      </c>
      <c r="T13" s="6">
        <f>IF(I13&gt;0,LN(I13),"")</f>
        <v/>
      </c>
      <c r="U13" s="6">
        <f>IF(J13&gt;0,LN(J13),"")</f>
        <v/>
      </c>
      <c r="V13" s="6">
        <f>IF(AND(P13&lt;&gt;"",P12&lt;&gt;""),P13-P12,"")</f>
        <v/>
      </c>
      <c r="W13" s="6">
        <f>IF(AND(P13&lt;&gt;"",R13&lt;&gt;""),P13*R13,"")</f>
        <v/>
      </c>
    </row>
    <row r="14">
      <c r="A14" s="4" t="inlineStr">
        <is>
          <t>2029Q1</t>
        </is>
      </c>
      <c r="B14" s="4" t="n">
        <v>2029</v>
      </c>
      <c r="C14" s="4" t="n">
        <v>1</v>
      </c>
      <c r="D14" s="4" t="n">
        <v>13</v>
      </c>
      <c r="E14" s="5" t="n"/>
      <c r="F14" s="5" t="n"/>
      <c r="G14" s="5" t="n"/>
      <c r="H14" s="5" t="n"/>
      <c r="I14" s="5" t="n"/>
      <c r="J14" s="5" t="n"/>
      <c r="K14" s="6">
        <f>IF(C14=2,1,0)</f>
        <v/>
      </c>
      <c r="L14" s="6">
        <f>IF(C14=3,1,0)</f>
        <v/>
      </c>
      <c r="M14" s="6">
        <f>IF(C14=4,1,0)</f>
        <v/>
      </c>
      <c r="N14" s="6">
        <f>IF(B14&gt;=2021,1,0)</f>
        <v/>
      </c>
      <c r="O14" s="6">
        <f>D14+104</f>
        <v/>
      </c>
      <c r="P14" s="6">
        <f>IF(E14&gt;0,LN(E14),"")</f>
        <v/>
      </c>
      <c r="Q14" s="6">
        <f>IF(F14&gt;0,LN(F14),"")</f>
        <v/>
      </c>
      <c r="R14" s="6">
        <f>IF(G14&gt;0,LN(G14),"")</f>
        <v/>
      </c>
      <c r="S14" s="6">
        <f>IF(H14&gt;0,LN(H14),"")</f>
        <v/>
      </c>
      <c r="T14" s="6">
        <f>IF(I14&gt;0,LN(I14),"")</f>
        <v/>
      </c>
      <c r="U14" s="6">
        <f>IF(J14&gt;0,LN(J14),"")</f>
        <v/>
      </c>
      <c r="V14" s="6">
        <f>IF(AND(P14&lt;&gt;"",P13&lt;&gt;""),P14-P13,"")</f>
        <v/>
      </c>
      <c r="W14" s="6">
        <f>IF(AND(P14&lt;&gt;"",R14&lt;&gt;""),P14*R14,"")</f>
        <v/>
      </c>
    </row>
    <row r="15">
      <c r="A15" s="4" t="inlineStr">
        <is>
          <t>2029Q2</t>
        </is>
      </c>
      <c r="B15" s="4" t="n">
        <v>2029</v>
      </c>
      <c r="C15" s="4" t="n">
        <v>2</v>
      </c>
      <c r="D15" s="4" t="n">
        <v>14</v>
      </c>
      <c r="E15" s="5" t="n"/>
      <c r="F15" s="5" t="n"/>
      <c r="G15" s="5" t="n"/>
      <c r="H15" s="5" t="n"/>
      <c r="I15" s="5" t="n"/>
      <c r="J15" s="5" t="n"/>
      <c r="K15" s="6">
        <f>IF(C15=2,1,0)</f>
        <v/>
      </c>
      <c r="L15" s="6">
        <f>IF(C15=3,1,0)</f>
        <v/>
      </c>
      <c r="M15" s="6">
        <f>IF(C15=4,1,0)</f>
        <v/>
      </c>
      <c r="N15" s="6">
        <f>IF(B15&gt;=2021,1,0)</f>
        <v/>
      </c>
      <c r="O15" s="6">
        <f>D15+104</f>
        <v/>
      </c>
      <c r="P15" s="6">
        <f>IF(E15&gt;0,LN(E15),"")</f>
        <v/>
      </c>
      <c r="Q15" s="6">
        <f>IF(F15&gt;0,LN(F15),"")</f>
        <v/>
      </c>
      <c r="R15" s="6">
        <f>IF(G15&gt;0,LN(G15),"")</f>
        <v/>
      </c>
      <c r="S15" s="6">
        <f>IF(H15&gt;0,LN(H15),"")</f>
        <v/>
      </c>
      <c r="T15" s="6">
        <f>IF(I15&gt;0,LN(I15),"")</f>
        <v/>
      </c>
      <c r="U15" s="6">
        <f>IF(J15&gt;0,LN(J15),"")</f>
        <v/>
      </c>
      <c r="V15" s="6">
        <f>IF(AND(P15&lt;&gt;"",P14&lt;&gt;""),P15-P14,"")</f>
        <v/>
      </c>
      <c r="W15" s="6">
        <f>IF(AND(P15&lt;&gt;"",R15&lt;&gt;""),P15*R15,"")</f>
        <v/>
      </c>
    </row>
    <row r="16">
      <c r="A16" s="4" t="inlineStr">
        <is>
          <t>2029Q3</t>
        </is>
      </c>
      <c r="B16" s="4" t="n">
        <v>2029</v>
      </c>
      <c r="C16" s="4" t="n">
        <v>3</v>
      </c>
      <c r="D16" s="4" t="n">
        <v>15</v>
      </c>
      <c r="E16" s="5" t="n"/>
      <c r="F16" s="5" t="n"/>
      <c r="G16" s="5" t="n"/>
      <c r="H16" s="5" t="n"/>
      <c r="I16" s="5" t="n"/>
      <c r="J16" s="5" t="n"/>
      <c r="K16" s="6">
        <f>IF(C16=2,1,0)</f>
        <v/>
      </c>
      <c r="L16" s="6">
        <f>IF(C16=3,1,0)</f>
        <v/>
      </c>
      <c r="M16" s="6">
        <f>IF(C16=4,1,0)</f>
        <v/>
      </c>
      <c r="N16" s="6">
        <f>IF(B16&gt;=2021,1,0)</f>
        <v/>
      </c>
      <c r="O16" s="6">
        <f>D16+104</f>
        <v/>
      </c>
      <c r="P16" s="6">
        <f>IF(E16&gt;0,LN(E16),"")</f>
        <v/>
      </c>
      <c r="Q16" s="6">
        <f>IF(F16&gt;0,LN(F16),"")</f>
        <v/>
      </c>
      <c r="R16" s="6">
        <f>IF(G16&gt;0,LN(G16),"")</f>
        <v/>
      </c>
      <c r="S16" s="6">
        <f>IF(H16&gt;0,LN(H16),"")</f>
        <v/>
      </c>
      <c r="T16" s="6">
        <f>IF(I16&gt;0,LN(I16),"")</f>
        <v/>
      </c>
      <c r="U16" s="6">
        <f>IF(J16&gt;0,LN(J16),"")</f>
        <v/>
      </c>
      <c r="V16" s="6">
        <f>IF(AND(P16&lt;&gt;"",P15&lt;&gt;""),P16-P15,"")</f>
        <v/>
      </c>
      <c r="W16" s="6">
        <f>IF(AND(P16&lt;&gt;"",R16&lt;&gt;""),P16*R16,"")</f>
        <v/>
      </c>
    </row>
    <row r="17">
      <c r="A17" s="4" t="inlineStr">
        <is>
          <t>2029Q4</t>
        </is>
      </c>
      <c r="B17" s="4" t="n">
        <v>2029</v>
      </c>
      <c r="C17" s="4" t="n">
        <v>4</v>
      </c>
      <c r="D17" s="4" t="n">
        <v>16</v>
      </c>
      <c r="E17" s="5" t="n"/>
      <c r="F17" s="5" t="n"/>
      <c r="G17" s="5" t="n"/>
      <c r="H17" s="5" t="n"/>
      <c r="I17" s="5" t="n"/>
      <c r="J17" s="5" t="n"/>
      <c r="K17" s="6">
        <f>IF(C17=2,1,0)</f>
        <v/>
      </c>
      <c r="L17" s="6">
        <f>IF(C17=3,1,0)</f>
        <v/>
      </c>
      <c r="M17" s="6">
        <f>IF(C17=4,1,0)</f>
        <v/>
      </c>
      <c r="N17" s="6">
        <f>IF(B17&gt;=2021,1,0)</f>
        <v/>
      </c>
      <c r="O17" s="6">
        <f>D17+104</f>
        <v/>
      </c>
      <c r="P17" s="6">
        <f>IF(E17&gt;0,LN(E17),"")</f>
        <v/>
      </c>
      <c r="Q17" s="6">
        <f>IF(F17&gt;0,LN(F17),"")</f>
        <v/>
      </c>
      <c r="R17" s="6">
        <f>IF(G17&gt;0,LN(G17),"")</f>
        <v/>
      </c>
      <c r="S17" s="6">
        <f>IF(H17&gt;0,LN(H17),"")</f>
        <v/>
      </c>
      <c r="T17" s="6">
        <f>IF(I17&gt;0,LN(I17),"")</f>
        <v/>
      </c>
      <c r="U17" s="6">
        <f>IF(J17&gt;0,LN(J17),"")</f>
        <v/>
      </c>
      <c r="V17" s="6">
        <f>IF(AND(P17&lt;&gt;"",P16&lt;&gt;""),P17-P16,"")</f>
        <v/>
      </c>
      <c r="W17" s="6">
        <f>IF(AND(P17&lt;&gt;"",R17&lt;&gt;""),P17*R17,"")</f>
        <v/>
      </c>
    </row>
    <row r="18">
      <c r="A18" s="4" t="inlineStr">
        <is>
          <t>2030Q1</t>
        </is>
      </c>
      <c r="B18" s="4" t="n">
        <v>2030</v>
      </c>
      <c r="C18" s="4" t="n">
        <v>1</v>
      </c>
      <c r="D18" s="4" t="n">
        <v>17</v>
      </c>
      <c r="E18" s="5" t="n"/>
      <c r="F18" s="5" t="n"/>
      <c r="G18" s="5" t="n"/>
      <c r="H18" s="5" t="n"/>
      <c r="I18" s="5" t="n"/>
      <c r="J18" s="5" t="n"/>
      <c r="K18" s="6">
        <f>IF(C18=2,1,0)</f>
        <v/>
      </c>
      <c r="L18" s="6">
        <f>IF(C18=3,1,0)</f>
        <v/>
      </c>
      <c r="M18" s="6">
        <f>IF(C18=4,1,0)</f>
        <v/>
      </c>
      <c r="N18" s="6">
        <f>IF(B18&gt;=2021,1,0)</f>
        <v/>
      </c>
      <c r="O18" s="6">
        <f>D18+104</f>
        <v/>
      </c>
      <c r="P18" s="6">
        <f>IF(E18&gt;0,LN(E18),"")</f>
        <v/>
      </c>
      <c r="Q18" s="6">
        <f>IF(F18&gt;0,LN(F18),"")</f>
        <v/>
      </c>
      <c r="R18" s="6">
        <f>IF(G18&gt;0,LN(G18),"")</f>
        <v/>
      </c>
      <c r="S18" s="6">
        <f>IF(H18&gt;0,LN(H18),"")</f>
        <v/>
      </c>
      <c r="T18" s="6">
        <f>IF(I18&gt;0,LN(I18),"")</f>
        <v/>
      </c>
      <c r="U18" s="6">
        <f>IF(J18&gt;0,LN(J18),"")</f>
        <v/>
      </c>
      <c r="V18" s="6">
        <f>IF(AND(P18&lt;&gt;"",P17&lt;&gt;""),P18-P17,"")</f>
        <v/>
      </c>
      <c r="W18" s="6">
        <f>IF(AND(P18&lt;&gt;"",R18&lt;&gt;""),P18*R18,"")</f>
        <v/>
      </c>
    </row>
    <row r="19">
      <c r="A19" s="4" t="inlineStr">
        <is>
          <t>2030Q2</t>
        </is>
      </c>
      <c r="B19" s="4" t="n">
        <v>2030</v>
      </c>
      <c r="C19" s="4" t="n">
        <v>2</v>
      </c>
      <c r="D19" s="4" t="n">
        <v>18</v>
      </c>
      <c r="E19" s="5" t="n"/>
      <c r="F19" s="5" t="n"/>
      <c r="G19" s="5" t="n"/>
      <c r="H19" s="5" t="n"/>
      <c r="I19" s="5" t="n"/>
      <c r="J19" s="5" t="n"/>
      <c r="K19" s="6">
        <f>IF(C19=2,1,0)</f>
        <v/>
      </c>
      <c r="L19" s="6">
        <f>IF(C19=3,1,0)</f>
        <v/>
      </c>
      <c r="M19" s="6">
        <f>IF(C19=4,1,0)</f>
        <v/>
      </c>
      <c r="N19" s="6">
        <f>IF(B19&gt;=2021,1,0)</f>
        <v/>
      </c>
      <c r="O19" s="6">
        <f>D19+104</f>
        <v/>
      </c>
      <c r="P19" s="6">
        <f>IF(E19&gt;0,LN(E19),"")</f>
        <v/>
      </c>
      <c r="Q19" s="6">
        <f>IF(F19&gt;0,LN(F19),"")</f>
        <v/>
      </c>
      <c r="R19" s="6">
        <f>IF(G19&gt;0,LN(G19),"")</f>
        <v/>
      </c>
      <c r="S19" s="6">
        <f>IF(H19&gt;0,LN(H19),"")</f>
        <v/>
      </c>
      <c r="T19" s="6">
        <f>IF(I19&gt;0,LN(I19),"")</f>
        <v/>
      </c>
      <c r="U19" s="6">
        <f>IF(J19&gt;0,LN(J19),"")</f>
        <v/>
      </c>
      <c r="V19" s="6">
        <f>IF(AND(P19&lt;&gt;"",P18&lt;&gt;""),P19-P18,"")</f>
        <v/>
      </c>
      <c r="W19" s="6">
        <f>IF(AND(P19&lt;&gt;"",R19&lt;&gt;""),P19*R19,"")</f>
        <v/>
      </c>
    </row>
    <row r="20">
      <c r="A20" s="4" t="inlineStr">
        <is>
          <t>2030Q3</t>
        </is>
      </c>
      <c r="B20" s="4" t="n">
        <v>2030</v>
      </c>
      <c r="C20" s="4" t="n">
        <v>3</v>
      </c>
      <c r="D20" s="4" t="n">
        <v>19</v>
      </c>
      <c r="E20" s="5" t="n"/>
      <c r="F20" s="5" t="n"/>
      <c r="G20" s="5" t="n"/>
      <c r="H20" s="5" t="n"/>
      <c r="I20" s="5" t="n"/>
      <c r="J20" s="5" t="n"/>
      <c r="K20" s="6">
        <f>IF(C20=2,1,0)</f>
        <v/>
      </c>
      <c r="L20" s="6">
        <f>IF(C20=3,1,0)</f>
        <v/>
      </c>
      <c r="M20" s="6">
        <f>IF(C20=4,1,0)</f>
        <v/>
      </c>
      <c r="N20" s="6">
        <f>IF(B20&gt;=2021,1,0)</f>
        <v/>
      </c>
      <c r="O20" s="6">
        <f>D20+104</f>
        <v/>
      </c>
      <c r="P20" s="6">
        <f>IF(E20&gt;0,LN(E20),"")</f>
        <v/>
      </c>
      <c r="Q20" s="6">
        <f>IF(F20&gt;0,LN(F20),"")</f>
        <v/>
      </c>
      <c r="R20" s="6">
        <f>IF(G20&gt;0,LN(G20),"")</f>
        <v/>
      </c>
      <c r="S20" s="6">
        <f>IF(H20&gt;0,LN(H20),"")</f>
        <v/>
      </c>
      <c r="T20" s="6">
        <f>IF(I20&gt;0,LN(I20),"")</f>
        <v/>
      </c>
      <c r="U20" s="6">
        <f>IF(J20&gt;0,LN(J20),"")</f>
        <v/>
      </c>
      <c r="V20" s="6">
        <f>IF(AND(P20&lt;&gt;"",P19&lt;&gt;""),P20-P19,"")</f>
        <v/>
      </c>
      <c r="W20" s="6">
        <f>IF(AND(P20&lt;&gt;"",R20&lt;&gt;""),P20*R20,"")</f>
        <v/>
      </c>
    </row>
    <row r="21">
      <c r="A21" s="4" t="inlineStr">
        <is>
          <t>2030Q4</t>
        </is>
      </c>
      <c r="B21" s="4" t="n">
        <v>2030</v>
      </c>
      <c r="C21" s="4" t="n">
        <v>4</v>
      </c>
      <c r="D21" s="4" t="n">
        <v>20</v>
      </c>
      <c r="E21" s="5" t="n"/>
      <c r="F21" s="5" t="n"/>
      <c r="G21" s="5" t="n"/>
      <c r="H21" s="5" t="n"/>
      <c r="I21" s="5" t="n"/>
      <c r="J21" s="5" t="n"/>
      <c r="K21" s="6">
        <f>IF(C21=2,1,0)</f>
        <v/>
      </c>
      <c r="L21" s="6">
        <f>IF(C21=3,1,0)</f>
        <v/>
      </c>
      <c r="M21" s="6">
        <f>IF(C21=4,1,0)</f>
        <v/>
      </c>
      <c r="N21" s="6">
        <f>IF(B21&gt;=2021,1,0)</f>
        <v/>
      </c>
      <c r="O21" s="6">
        <f>D21+104</f>
        <v/>
      </c>
      <c r="P21" s="6">
        <f>IF(E21&gt;0,LN(E21),"")</f>
        <v/>
      </c>
      <c r="Q21" s="6">
        <f>IF(F21&gt;0,LN(F21),"")</f>
        <v/>
      </c>
      <c r="R21" s="6">
        <f>IF(G21&gt;0,LN(G21),"")</f>
        <v/>
      </c>
      <c r="S21" s="6">
        <f>IF(H21&gt;0,LN(H21),"")</f>
        <v/>
      </c>
      <c r="T21" s="6">
        <f>IF(I21&gt;0,LN(I21),"")</f>
        <v/>
      </c>
      <c r="U21" s="6">
        <f>IF(J21&gt;0,LN(J21),"")</f>
        <v/>
      </c>
      <c r="V21" s="6">
        <f>IF(AND(P21&lt;&gt;"",P20&lt;&gt;""),P21-P20,"")</f>
        <v/>
      </c>
      <c r="W21" s="6">
        <f>IF(AND(P21&lt;&gt;"",R21&lt;&gt;""),P21*R21,"")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W2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34" customWidth="1" min="6" max="6"/>
    <col width="20" customWidth="1" min="7" max="7"/>
    <col width="34" customWidth="1" min="8" max="8"/>
    <col width="34" customWidth="1" min="9" max="9"/>
    <col width="34" customWidth="1" min="10" max="10"/>
    <col width="3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8" customWidth="1" min="17" max="17"/>
    <col width="15" customWidth="1" min="18" max="18"/>
    <col width="15" customWidth="1" min="19" max="19"/>
    <col width="24" customWidth="1" min="20" max="20"/>
    <col width="24" customWidth="1" min="21" max="21"/>
    <col width="27" customWidth="1" min="22" max="22"/>
    <col width="34" customWidth="1" min="23" max="23"/>
    <col width="27" customWidth="1" min="24" max="24"/>
    <col width="32" customWidth="1" min="25" max="25"/>
    <col width="19" customWidth="1" min="26" max="26"/>
    <col width="19" customWidth="1" min="27" max="27"/>
    <col width="20" customWidth="1" min="28" max="28"/>
    <col width="34" customWidth="1" min="29" max="29"/>
  </cols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horizon</t>
        </is>
      </c>
      <c r="E1" s="3" t="inlineStr">
        <is>
          <t>real_gdp_sa_nzd</t>
        </is>
      </c>
      <c r="F1" s="3" t="inlineStr">
        <is>
          <t>real_diesel_price_cents_per_litre</t>
        </is>
      </c>
      <c r="G1" s="3" t="inlineStr">
        <is>
          <t>unemployment_rate</t>
        </is>
      </c>
      <c r="H1" s="3" t="inlineStr">
        <is>
          <t>real_light_ruc_price_nzd_per_1000km</t>
        </is>
      </c>
      <c r="I1" s="3" t="inlineStr">
        <is>
          <t>lagged_real_light_ruc_price_nzd_per_1000km</t>
        </is>
      </c>
      <c r="J1" s="3" t="inlineStr">
        <is>
          <t>real_heavy_ruc_price_nzd_per_1000km</t>
        </is>
      </c>
      <c r="K1" s="3" t="inlineStr">
        <is>
          <t>lead_real_heavy_ruc_price_nzd_per_1000km</t>
        </is>
      </c>
      <c r="L1" s="3" t="inlineStr">
        <is>
          <t>target_lag_1</t>
        </is>
      </c>
      <c r="M1" s="3" t="inlineStr">
        <is>
          <t>target_lag_4</t>
        </is>
      </c>
      <c r="N1" s="3" t="inlineStr">
        <is>
          <t>q2_dummy</t>
        </is>
      </c>
      <c r="O1" s="3" t="inlineStr">
        <is>
          <t>q3_dummy</t>
        </is>
      </c>
      <c r="P1" s="3" t="inlineStr">
        <is>
          <t>q4_dummy</t>
        </is>
      </c>
      <c r="Q1" s="3" t="inlineStr">
        <is>
          <t>post_2020_dummy</t>
        </is>
      </c>
      <c r="R1" s="3" t="inlineStr">
        <is>
          <t>trend_index</t>
        </is>
      </c>
      <c r="S1" s="3" t="inlineStr">
        <is>
          <t>log_real_gdp</t>
        </is>
      </c>
      <c r="T1" s="3" t="inlineStr">
        <is>
          <t>log_real_diesel_price</t>
        </is>
      </c>
      <c r="U1" s="3" t="inlineStr">
        <is>
          <t>log_unemployment_rate</t>
        </is>
      </c>
      <c r="V1" s="3" t="inlineStr">
        <is>
          <t>log_real_light_ruc_price</t>
        </is>
      </c>
      <c r="W1" s="3" t="inlineStr">
        <is>
          <t>log_lagged_real_light_ruc_price</t>
        </is>
      </c>
      <c r="X1" s="3" t="inlineStr">
        <is>
          <t>log_real_heavy_ruc_price</t>
        </is>
      </c>
      <c r="Y1" s="3" t="inlineStr">
        <is>
          <t>log_lead_real_heavy_ruc_price</t>
        </is>
      </c>
      <c r="Z1" s="3" t="inlineStr">
        <is>
          <t>log_target_lag_1</t>
        </is>
      </c>
      <c r="AA1" s="3" t="inlineStr">
        <is>
          <t>log_target_lag_4</t>
        </is>
      </c>
      <c r="AB1" s="3" t="inlineStr">
        <is>
          <t>diff_log_real_gdp</t>
        </is>
      </c>
      <c r="AC1" s="3" t="inlineStr">
        <is>
          <t>gdp_heavy_ruc_price_interaction</t>
        </is>
      </c>
    </row>
    <row r="2">
      <c r="A2" s="4" t="inlineStr">
        <is>
          <t>2026Q1</t>
        </is>
      </c>
      <c r="B2" s="4" t="n">
        <v>2026</v>
      </c>
      <c r="C2" s="4" t="n">
        <v>1</v>
      </c>
      <c r="D2" s="4" t="n">
        <v>1</v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6">
        <f>IF(C2=2,1,0)</f>
        <v/>
      </c>
      <c r="O2" s="6">
        <f>IF(C2=3,1,0)</f>
        <v/>
      </c>
      <c r="P2" s="6">
        <f>IF(C2=4,1,0)</f>
        <v/>
      </c>
      <c r="Q2" s="6">
        <f>IF(B2&gt;=2021,1,0)</f>
        <v/>
      </c>
      <c r="R2" s="6">
        <f>D2+104</f>
        <v/>
      </c>
      <c r="S2" s="6">
        <f>IF(E2&gt;0,LN(E2),"")</f>
        <v/>
      </c>
      <c r="T2" s="6">
        <f>IF(F2&gt;0,LN(F2),"")</f>
        <v/>
      </c>
      <c r="U2" s="6">
        <f>IF(G2&gt;0,LN(G2),"")</f>
        <v/>
      </c>
      <c r="V2" s="6">
        <f>IF(H2&gt;0,LN(H2),"")</f>
        <v/>
      </c>
      <c r="W2" s="6">
        <f>IF(I2&gt;0,LN(I2),"")</f>
        <v/>
      </c>
      <c r="X2" s="6">
        <f>IF(J2&gt;0,LN(J2),"")</f>
        <v/>
      </c>
      <c r="Y2" s="6">
        <f>IF(K2&gt;0,LN(K2),"")</f>
        <v/>
      </c>
      <c r="Z2" s="6">
        <f>IF(L2&gt;0,LN(L2),"")</f>
        <v/>
      </c>
      <c r="AA2" s="6">
        <f>IF(M2&gt;0,LN(M2),"")</f>
        <v/>
      </c>
      <c r="AB2" s="6">
        <f>""</f>
        <v/>
      </c>
      <c r="AC2" s="6">
        <f>IF(AND(S2&lt;&gt;"",X2&lt;&gt;""),S2*X2,"")</f>
        <v/>
      </c>
    </row>
    <row r="3">
      <c r="A3" s="4" t="inlineStr">
        <is>
          <t>2026Q2</t>
        </is>
      </c>
      <c r="B3" s="4" t="n">
        <v>2026</v>
      </c>
      <c r="C3" s="4" t="n">
        <v>2</v>
      </c>
      <c r="D3" s="4" t="n">
        <v>2</v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6">
        <f>IF(C3=2,1,0)</f>
        <v/>
      </c>
      <c r="O3" s="6">
        <f>IF(C3=3,1,0)</f>
        <v/>
      </c>
      <c r="P3" s="6">
        <f>IF(C3=4,1,0)</f>
        <v/>
      </c>
      <c r="Q3" s="6">
        <f>IF(B3&gt;=2021,1,0)</f>
        <v/>
      </c>
      <c r="R3" s="6">
        <f>D3+104</f>
        <v/>
      </c>
      <c r="S3" s="6">
        <f>IF(E3&gt;0,LN(E3),"")</f>
        <v/>
      </c>
      <c r="T3" s="6">
        <f>IF(F3&gt;0,LN(F3),"")</f>
        <v/>
      </c>
      <c r="U3" s="6">
        <f>IF(G3&gt;0,LN(G3),"")</f>
        <v/>
      </c>
      <c r="V3" s="6">
        <f>IF(H3&gt;0,LN(H3),"")</f>
        <v/>
      </c>
      <c r="W3" s="6">
        <f>IF(I3&gt;0,LN(I3),"")</f>
        <v/>
      </c>
      <c r="X3" s="6">
        <f>IF(J3&gt;0,LN(J3),"")</f>
        <v/>
      </c>
      <c r="Y3" s="6">
        <f>IF(K3&gt;0,LN(K3),"")</f>
        <v/>
      </c>
      <c r="Z3" s="6">
        <f>IF(L3&gt;0,LN(L3),"")</f>
        <v/>
      </c>
      <c r="AA3" s="6">
        <f>IF(M3&gt;0,LN(M3),"")</f>
        <v/>
      </c>
      <c r="AB3" s="6">
        <f>IF(AND(S3&lt;&gt;"",S2&lt;&gt;""),S3-S2,"")</f>
        <v/>
      </c>
      <c r="AC3" s="6">
        <f>IF(AND(S3&lt;&gt;"",X3&lt;&gt;""),S3*X3,"")</f>
        <v/>
      </c>
    </row>
    <row r="4">
      <c r="A4" s="4" t="inlineStr">
        <is>
          <t>2026Q3</t>
        </is>
      </c>
      <c r="B4" s="4" t="n">
        <v>2026</v>
      </c>
      <c r="C4" s="4" t="n">
        <v>3</v>
      </c>
      <c r="D4" s="4" t="n">
        <v>3</v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6">
        <f>IF(C4=2,1,0)</f>
        <v/>
      </c>
      <c r="O4" s="6">
        <f>IF(C4=3,1,0)</f>
        <v/>
      </c>
      <c r="P4" s="6">
        <f>IF(C4=4,1,0)</f>
        <v/>
      </c>
      <c r="Q4" s="6">
        <f>IF(B4&gt;=2021,1,0)</f>
        <v/>
      </c>
      <c r="R4" s="6">
        <f>D4+104</f>
        <v/>
      </c>
      <c r="S4" s="6">
        <f>IF(E4&gt;0,LN(E4),"")</f>
        <v/>
      </c>
      <c r="T4" s="6">
        <f>IF(F4&gt;0,LN(F4),"")</f>
        <v/>
      </c>
      <c r="U4" s="6">
        <f>IF(G4&gt;0,LN(G4),"")</f>
        <v/>
      </c>
      <c r="V4" s="6">
        <f>IF(H4&gt;0,LN(H4),"")</f>
        <v/>
      </c>
      <c r="W4" s="6">
        <f>IF(I4&gt;0,LN(I4),"")</f>
        <v/>
      </c>
      <c r="X4" s="6">
        <f>IF(J4&gt;0,LN(J4),"")</f>
        <v/>
      </c>
      <c r="Y4" s="6">
        <f>IF(K4&gt;0,LN(K4),"")</f>
        <v/>
      </c>
      <c r="Z4" s="6">
        <f>IF(L4&gt;0,LN(L4),"")</f>
        <v/>
      </c>
      <c r="AA4" s="6">
        <f>IF(M4&gt;0,LN(M4),"")</f>
        <v/>
      </c>
      <c r="AB4" s="6">
        <f>IF(AND(S4&lt;&gt;"",S3&lt;&gt;""),S4-S3,"")</f>
        <v/>
      </c>
      <c r="AC4" s="6">
        <f>IF(AND(S4&lt;&gt;"",X4&lt;&gt;""),S4*X4,"")</f>
        <v/>
      </c>
    </row>
    <row r="5">
      <c r="A5" s="4" t="inlineStr">
        <is>
          <t>2026Q4</t>
        </is>
      </c>
      <c r="B5" s="4" t="n">
        <v>2026</v>
      </c>
      <c r="C5" s="4" t="n">
        <v>4</v>
      </c>
      <c r="D5" s="4" t="n">
        <v>4</v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>
        <f>IF(C5=2,1,0)</f>
        <v/>
      </c>
      <c r="O5" s="6">
        <f>IF(C5=3,1,0)</f>
        <v/>
      </c>
      <c r="P5" s="6">
        <f>IF(C5=4,1,0)</f>
        <v/>
      </c>
      <c r="Q5" s="6">
        <f>IF(B5&gt;=2021,1,0)</f>
        <v/>
      </c>
      <c r="R5" s="6">
        <f>D5+104</f>
        <v/>
      </c>
      <c r="S5" s="6">
        <f>IF(E5&gt;0,LN(E5),"")</f>
        <v/>
      </c>
      <c r="T5" s="6">
        <f>IF(F5&gt;0,LN(F5),"")</f>
        <v/>
      </c>
      <c r="U5" s="6">
        <f>IF(G5&gt;0,LN(G5),"")</f>
        <v/>
      </c>
      <c r="V5" s="6">
        <f>IF(H5&gt;0,LN(H5),"")</f>
        <v/>
      </c>
      <c r="W5" s="6">
        <f>IF(I5&gt;0,LN(I5),"")</f>
        <v/>
      </c>
      <c r="X5" s="6">
        <f>IF(J5&gt;0,LN(J5),"")</f>
        <v/>
      </c>
      <c r="Y5" s="6">
        <f>IF(K5&gt;0,LN(K5),"")</f>
        <v/>
      </c>
      <c r="Z5" s="6">
        <f>IF(L5&gt;0,LN(L5),"")</f>
        <v/>
      </c>
      <c r="AA5" s="6">
        <f>IF(M5&gt;0,LN(M5),"")</f>
        <v/>
      </c>
      <c r="AB5" s="6">
        <f>IF(AND(S5&lt;&gt;"",S4&lt;&gt;""),S5-S4,"")</f>
        <v/>
      </c>
      <c r="AC5" s="6">
        <f>IF(AND(S5&lt;&gt;"",X5&lt;&gt;""),S5*X5,"")</f>
        <v/>
      </c>
    </row>
    <row r="6">
      <c r="A6" s="4" t="inlineStr">
        <is>
          <t>2027Q1</t>
        </is>
      </c>
      <c r="B6" s="4" t="n">
        <v>2027</v>
      </c>
      <c r="C6" s="4" t="n">
        <v>1</v>
      </c>
      <c r="D6" s="4" t="n">
        <v>5</v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>
        <f>IF(C6=2,1,0)</f>
        <v/>
      </c>
      <c r="O6" s="6">
        <f>IF(C6=3,1,0)</f>
        <v/>
      </c>
      <c r="P6" s="6">
        <f>IF(C6=4,1,0)</f>
        <v/>
      </c>
      <c r="Q6" s="6">
        <f>IF(B6&gt;=2021,1,0)</f>
        <v/>
      </c>
      <c r="R6" s="6">
        <f>D6+104</f>
        <v/>
      </c>
      <c r="S6" s="6">
        <f>IF(E6&gt;0,LN(E6),"")</f>
        <v/>
      </c>
      <c r="T6" s="6">
        <f>IF(F6&gt;0,LN(F6),"")</f>
        <v/>
      </c>
      <c r="U6" s="6">
        <f>IF(G6&gt;0,LN(G6),"")</f>
        <v/>
      </c>
      <c r="V6" s="6">
        <f>IF(H6&gt;0,LN(H6),"")</f>
        <v/>
      </c>
      <c r="W6" s="6">
        <f>IF(I6&gt;0,LN(I6),"")</f>
        <v/>
      </c>
      <c r="X6" s="6">
        <f>IF(J6&gt;0,LN(J6),"")</f>
        <v/>
      </c>
      <c r="Y6" s="6">
        <f>IF(K6&gt;0,LN(K6),"")</f>
        <v/>
      </c>
      <c r="Z6" s="6">
        <f>IF(L6&gt;0,LN(L6),"")</f>
        <v/>
      </c>
      <c r="AA6" s="6">
        <f>IF(M6&gt;0,LN(M6),"")</f>
        <v/>
      </c>
      <c r="AB6" s="6">
        <f>IF(AND(S6&lt;&gt;"",S5&lt;&gt;""),S6-S5,"")</f>
        <v/>
      </c>
      <c r="AC6" s="6">
        <f>IF(AND(S6&lt;&gt;"",X6&lt;&gt;""),S6*X6,"")</f>
        <v/>
      </c>
    </row>
    <row r="7">
      <c r="A7" s="4" t="inlineStr">
        <is>
          <t>2027Q2</t>
        </is>
      </c>
      <c r="B7" s="4" t="n">
        <v>2027</v>
      </c>
      <c r="C7" s="4" t="n">
        <v>2</v>
      </c>
      <c r="D7" s="4" t="n">
        <v>6</v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6">
        <f>IF(C7=2,1,0)</f>
        <v/>
      </c>
      <c r="O7" s="6">
        <f>IF(C7=3,1,0)</f>
        <v/>
      </c>
      <c r="P7" s="6">
        <f>IF(C7=4,1,0)</f>
        <v/>
      </c>
      <c r="Q7" s="6">
        <f>IF(B7&gt;=2021,1,0)</f>
        <v/>
      </c>
      <c r="R7" s="6">
        <f>D7+104</f>
        <v/>
      </c>
      <c r="S7" s="6">
        <f>IF(E7&gt;0,LN(E7),"")</f>
        <v/>
      </c>
      <c r="T7" s="6">
        <f>IF(F7&gt;0,LN(F7),"")</f>
        <v/>
      </c>
      <c r="U7" s="6">
        <f>IF(G7&gt;0,LN(G7),"")</f>
        <v/>
      </c>
      <c r="V7" s="6">
        <f>IF(H7&gt;0,LN(H7),"")</f>
        <v/>
      </c>
      <c r="W7" s="6">
        <f>IF(I7&gt;0,LN(I7),"")</f>
        <v/>
      </c>
      <c r="X7" s="6">
        <f>IF(J7&gt;0,LN(J7),"")</f>
        <v/>
      </c>
      <c r="Y7" s="6">
        <f>IF(K7&gt;0,LN(K7),"")</f>
        <v/>
      </c>
      <c r="Z7" s="6">
        <f>IF(L7&gt;0,LN(L7),"")</f>
        <v/>
      </c>
      <c r="AA7" s="6">
        <f>IF(M7&gt;0,LN(M7),"")</f>
        <v/>
      </c>
      <c r="AB7" s="6">
        <f>IF(AND(S7&lt;&gt;"",S6&lt;&gt;""),S7-S6,"")</f>
        <v/>
      </c>
      <c r="AC7" s="6">
        <f>IF(AND(S7&lt;&gt;"",X7&lt;&gt;""),S7*X7,"")</f>
        <v/>
      </c>
    </row>
    <row r="8">
      <c r="A8" s="4" t="inlineStr">
        <is>
          <t>2027Q3</t>
        </is>
      </c>
      <c r="B8" s="4" t="n">
        <v>2027</v>
      </c>
      <c r="C8" s="4" t="n">
        <v>3</v>
      </c>
      <c r="D8" s="4" t="n">
        <v>7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6">
        <f>IF(C8=2,1,0)</f>
        <v/>
      </c>
      <c r="O8" s="6">
        <f>IF(C8=3,1,0)</f>
        <v/>
      </c>
      <c r="P8" s="6">
        <f>IF(C8=4,1,0)</f>
        <v/>
      </c>
      <c r="Q8" s="6">
        <f>IF(B8&gt;=2021,1,0)</f>
        <v/>
      </c>
      <c r="R8" s="6">
        <f>D8+104</f>
        <v/>
      </c>
      <c r="S8" s="6">
        <f>IF(E8&gt;0,LN(E8),"")</f>
        <v/>
      </c>
      <c r="T8" s="6">
        <f>IF(F8&gt;0,LN(F8),"")</f>
        <v/>
      </c>
      <c r="U8" s="6">
        <f>IF(G8&gt;0,LN(G8),"")</f>
        <v/>
      </c>
      <c r="V8" s="6">
        <f>IF(H8&gt;0,LN(H8),"")</f>
        <v/>
      </c>
      <c r="W8" s="6">
        <f>IF(I8&gt;0,LN(I8),"")</f>
        <v/>
      </c>
      <c r="X8" s="6">
        <f>IF(J8&gt;0,LN(J8),"")</f>
        <v/>
      </c>
      <c r="Y8" s="6">
        <f>IF(K8&gt;0,LN(K8),"")</f>
        <v/>
      </c>
      <c r="Z8" s="6">
        <f>IF(L8&gt;0,LN(L8),"")</f>
        <v/>
      </c>
      <c r="AA8" s="6">
        <f>IF(M8&gt;0,LN(M8),"")</f>
        <v/>
      </c>
      <c r="AB8" s="6">
        <f>IF(AND(S8&lt;&gt;"",S7&lt;&gt;""),S8-S7,"")</f>
        <v/>
      </c>
      <c r="AC8" s="6">
        <f>IF(AND(S8&lt;&gt;"",X8&lt;&gt;""),S8*X8,"")</f>
        <v/>
      </c>
    </row>
    <row r="9">
      <c r="A9" s="4" t="inlineStr">
        <is>
          <t>2027Q4</t>
        </is>
      </c>
      <c r="B9" s="4" t="n">
        <v>2027</v>
      </c>
      <c r="C9" s="4" t="n">
        <v>4</v>
      </c>
      <c r="D9" s="4" t="n">
        <v>8</v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6">
        <f>IF(C9=2,1,0)</f>
        <v/>
      </c>
      <c r="O9" s="6">
        <f>IF(C9=3,1,0)</f>
        <v/>
      </c>
      <c r="P9" s="6">
        <f>IF(C9=4,1,0)</f>
        <v/>
      </c>
      <c r="Q9" s="6">
        <f>IF(B9&gt;=2021,1,0)</f>
        <v/>
      </c>
      <c r="R9" s="6">
        <f>D9+104</f>
        <v/>
      </c>
      <c r="S9" s="6">
        <f>IF(E9&gt;0,LN(E9),"")</f>
        <v/>
      </c>
      <c r="T9" s="6">
        <f>IF(F9&gt;0,LN(F9),"")</f>
        <v/>
      </c>
      <c r="U9" s="6">
        <f>IF(G9&gt;0,LN(G9),"")</f>
        <v/>
      </c>
      <c r="V9" s="6">
        <f>IF(H9&gt;0,LN(H9),"")</f>
        <v/>
      </c>
      <c r="W9" s="6">
        <f>IF(I9&gt;0,LN(I9),"")</f>
        <v/>
      </c>
      <c r="X9" s="6">
        <f>IF(J9&gt;0,LN(J9),"")</f>
        <v/>
      </c>
      <c r="Y9" s="6">
        <f>IF(K9&gt;0,LN(K9),"")</f>
        <v/>
      </c>
      <c r="Z9" s="6">
        <f>IF(L9&gt;0,LN(L9),"")</f>
        <v/>
      </c>
      <c r="AA9" s="6">
        <f>IF(M9&gt;0,LN(M9),"")</f>
        <v/>
      </c>
      <c r="AB9" s="6">
        <f>IF(AND(S9&lt;&gt;"",S8&lt;&gt;""),S9-S8,"")</f>
        <v/>
      </c>
      <c r="AC9" s="6">
        <f>IF(AND(S9&lt;&gt;"",X9&lt;&gt;""),S9*X9,"")</f>
        <v/>
      </c>
    </row>
    <row r="10">
      <c r="A10" s="4" t="inlineStr">
        <is>
          <t>2028Q1</t>
        </is>
      </c>
      <c r="B10" s="4" t="n">
        <v>2028</v>
      </c>
      <c r="C10" s="4" t="n">
        <v>1</v>
      </c>
      <c r="D10" s="4" t="n">
        <v>9</v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6">
        <f>IF(C10=2,1,0)</f>
        <v/>
      </c>
      <c r="O10" s="6">
        <f>IF(C10=3,1,0)</f>
        <v/>
      </c>
      <c r="P10" s="6">
        <f>IF(C10=4,1,0)</f>
        <v/>
      </c>
      <c r="Q10" s="6">
        <f>IF(B10&gt;=2021,1,0)</f>
        <v/>
      </c>
      <c r="R10" s="6">
        <f>D10+104</f>
        <v/>
      </c>
      <c r="S10" s="6">
        <f>IF(E10&gt;0,LN(E10),"")</f>
        <v/>
      </c>
      <c r="T10" s="6">
        <f>IF(F10&gt;0,LN(F10),"")</f>
        <v/>
      </c>
      <c r="U10" s="6">
        <f>IF(G10&gt;0,LN(G10),"")</f>
        <v/>
      </c>
      <c r="V10" s="6">
        <f>IF(H10&gt;0,LN(H10),"")</f>
        <v/>
      </c>
      <c r="W10" s="6">
        <f>IF(I10&gt;0,LN(I10),"")</f>
        <v/>
      </c>
      <c r="X10" s="6">
        <f>IF(J10&gt;0,LN(J10),"")</f>
        <v/>
      </c>
      <c r="Y10" s="6">
        <f>IF(K10&gt;0,LN(K10),"")</f>
        <v/>
      </c>
      <c r="Z10" s="6">
        <f>IF(L10&gt;0,LN(L10),"")</f>
        <v/>
      </c>
      <c r="AA10" s="6">
        <f>IF(M10&gt;0,LN(M10),"")</f>
        <v/>
      </c>
      <c r="AB10" s="6">
        <f>IF(AND(S10&lt;&gt;"",S9&lt;&gt;""),S10-S9,"")</f>
        <v/>
      </c>
      <c r="AC10" s="6">
        <f>IF(AND(S10&lt;&gt;"",X10&lt;&gt;""),S10*X10,"")</f>
        <v/>
      </c>
    </row>
    <row r="11">
      <c r="A11" s="4" t="inlineStr">
        <is>
          <t>2028Q2</t>
        </is>
      </c>
      <c r="B11" s="4" t="n">
        <v>2028</v>
      </c>
      <c r="C11" s="4" t="n">
        <v>2</v>
      </c>
      <c r="D11" s="4" t="n">
        <v>10</v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6">
        <f>IF(C11=2,1,0)</f>
        <v/>
      </c>
      <c r="O11" s="6">
        <f>IF(C11=3,1,0)</f>
        <v/>
      </c>
      <c r="P11" s="6">
        <f>IF(C11=4,1,0)</f>
        <v/>
      </c>
      <c r="Q11" s="6">
        <f>IF(B11&gt;=2021,1,0)</f>
        <v/>
      </c>
      <c r="R11" s="6">
        <f>D11+104</f>
        <v/>
      </c>
      <c r="S11" s="6">
        <f>IF(E11&gt;0,LN(E11),"")</f>
        <v/>
      </c>
      <c r="T11" s="6">
        <f>IF(F11&gt;0,LN(F11),"")</f>
        <v/>
      </c>
      <c r="U11" s="6">
        <f>IF(G11&gt;0,LN(G11),"")</f>
        <v/>
      </c>
      <c r="V11" s="6">
        <f>IF(H11&gt;0,LN(H11),"")</f>
        <v/>
      </c>
      <c r="W11" s="6">
        <f>IF(I11&gt;0,LN(I11),"")</f>
        <v/>
      </c>
      <c r="X11" s="6">
        <f>IF(J11&gt;0,LN(J11),"")</f>
        <v/>
      </c>
      <c r="Y11" s="6">
        <f>IF(K11&gt;0,LN(K11),"")</f>
        <v/>
      </c>
      <c r="Z11" s="6">
        <f>IF(L11&gt;0,LN(L11),"")</f>
        <v/>
      </c>
      <c r="AA11" s="6">
        <f>IF(M11&gt;0,LN(M11),"")</f>
        <v/>
      </c>
      <c r="AB11" s="6">
        <f>IF(AND(S11&lt;&gt;"",S10&lt;&gt;""),S11-S10,"")</f>
        <v/>
      </c>
      <c r="AC11" s="6">
        <f>IF(AND(S11&lt;&gt;"",X11&lt;&gt;""),S11*X11,"")</f>
        <v/>
      </c>
    </row>
    <row r="12">
      <c r="A12" s="4" t="inlineStr">
        <is>
          <t>2028Q3</t>
        </is>
      </c>
      <c r="B12" s="4" t="n">
        <v>2028</v>
      </c>
      <c r="C12" s="4" t="n">
        <v>3</v>
      </c>
      <c r="D12" s="4" t="n">
        <v>11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6">
        <f>IF(C12=2,1,0)</f>
        <v/>
      </c>
      <c r="O12" s="6">
        <f>IF(C12=3,1,0)</f>
        <v/>
      </c>
      <c r="P12" s="6">
        <f>IF(C12=4,1,0)</f>
        <v/>
      </c>
      <c r="Q12" s="6">
        <f>IF(B12&gt;=2021,1,0)</f>
        <v/>
      </c>
      <c r="R12" s="6">
        <f>D12+104</f>
        <v/>
      </c>
      <c r="S12" s="6">
        <f>IF(E12&gt;0,LN(E12),"")</f>
        <v/>
      </c>
      <c r="T12" s="6">
        <f>IF(F12&gt;0,LN(F12),"")</f>
        <v/>
      </c>
      <c r="U12" s="6">
        <f>IF(G12&gt;0,LN(G12),"")</f>
        <v/>
      </c>
      <c r="V12" s="6">
        <f>IF(H12&gt;0,LN(H12),"")</f>
        <v/>
      </c>
      <c r="W12" s="6">
        <f>IF(I12&gt;0,LN(I12),"")</f>
        <v/>
      </c>
      <c r="X12" s="6">
        <f>IF(J12&gt;0,LN(J12),"")</f>
        <v/>
      </c>
      <c r="Y12" s="6">
        <f>IF(K12&gt;0,LN(K12),"")</f>
        <v/>
      </c>
      <c r="Z12" s="6">
        <f>IF(L12&gt;0,LN(L12),"")</f>
        <v/>
      </c>
      <c r="AA12" s="6">
        <f>IF(M12&gt;0,LN(M12),"")</f>
        <v/>
      </c>
      <c r="AB12" s="6">
        <f>IF(AND(S12&lt;&gt;"",S11&lt;&gt;""),S12-S11,"")</f>
        <v/>
      </c>
      <c r="AC12" s="6">
        <f>IF(AND(S12&lt;&gt;"",X12&lt;&gt;""),S12*X12,"")</f>
        <v/>
      </c>
    </row>
    <row r="13">
      <c r="A13" s="4" t="inlineStr">
        <is>
          <t>2028Q4</t>
        </is>
      </c>
      <c r="B13" s="4" t="n">
        <v>2028</v>
      </c>
      <c r="C13" s="4" t="n">
        <v>4</v>
      </c>
      <c r="D13" s="4" t="n">
        <v>12</v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6">
        <f>IF(C13=2,1,0)</f>
        <v/>
      </c>
      <c r="O13" s="6">
        <f>IF(C13=3,1,0)</f>
        <v/>
      </c>
      <c r="P13" s="6">
        <f>IF(C13=4,1,0)</f>
        <v/>
      </c>
      <c r="Q13" s="6">
        <f>IF(B13&gt;=2021,1,0)</f>
        <v/>
      </c>
      <c r="R13" s="6">
        <f>D13+104</f>
        <v/>
      </c>
      <c r="S13" s="6">
        <f>IF(E13&gt;0,LN(E13),"")</f>
        <v/>
      </c>
      <c r="T13" s="6">
        <f>IF(F13&gt;0,LN(F13),"")</f>
        <v/>
      </c>
      <c r="U13" s="6">
        <f>IF(G13&gt;0,LN(G13),"")</f>
        <v/>
      </c>
      <c r="V13" s="6">
        <f>IF(H13&gt;0,LN(H13),"")</f>
        <v/>
      </c>
      <c r="W13" s="6">
        <f>IF(I13&gt;0,LN(I13),"")</f>
        <v/>
      </c>
      <c r="X13" s="6">
        <f>IF(J13&gt;0,LN(J13),"")</f>
        <v/>
      </c>
      <c r="Y13" s="6">
        <f>IF(K13&gt;0,LN(K13),"")</f>
        <v/>
      </c>
      <c r="Z13" s="6">
        <f>IF(L13&gt;0,LN(L13),"")</f>
        <v/>
      </c>
      <c r="AA13" s="6">
        <f>IF(M13&gt;0,LN(M13),"")</f>
        <v/>
      </c>
      <c r="AB13" s="6">
        <f>IF(AND(S13&lt;&gt;"",S12&lt;&gt;""),S13-S12,"")</f>
        <v/>
      </c>
      <c r="AC13" s="6">
        <f>IF(AND(S13&lt;&gt;"",X13&lt;&gt;""),S13*X13,"")</f>
        <v/>
      </c>
    </row>
    <row r="14">
      <c r="A14" s="4" t="inlineStr">
        <is>
          <t>2029Q1</t>
        </is>
      </c>
      <c r="B14" s="4" t="n">
        <v>2029</v>
      </c>
      <c r="C14" s="4" t="n">
        <v>1</v>
      </c>
      <c r="D14" s="4" t="n">
        <v>13</v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6">
        <f>IF(C14=2,1,0)</f>
        <v/>
      </c>
      <c r="O14" s="6">
        <f>IF(C14=3,1,0)</f>
        <v/>
      </c>
      <c r="P14" s="6">
        <f>IF(C14=4,1,0)</f>
        <v/>
      </c>
      <c r="Q14" s="6">
        <f>IF(B14&gt;=2021,1,0)</f>
        <v/>
      </c>
      <c r="R14" s="6">
        <f>D14+104</f>
        <v/>
      </c>
      <c r="S14" s="6">
        <f>IF(E14&gt;0,LN(E14),"")</f>
        <v/>
      </c>
      <c r="T14" s="6">
        <f>IF(F14&gt;0,LN(F14),"")</f>
        <v/>
      </c>
      <c r="U14" s="6">
        <f>IF(G14&gt;0,LN(G14),"")</f>
        <v/>
      </c>
      <c r="V14" s="6">
        <f>IF(H14&gt;0,LN(H14),"")</f>
        <v/>
      </c>
      <c r="W14" s="6">
        <f>IF(I14&gt;0,LN(I14),"")</f>
        <v/>
      </c>
      <c r="X14" s="6">
        <f>IF(J14&gt;0,LN(J14),"")</f>
        <v/>
      </c>
      <c r="Y14" s="6">
        <f>IF(K14&gt;0,LN(K14),"")</f>
        <v/>
      </c>
      <c r="Z14" s="6">
        <f>IF(L14&gt;0,LN(L14),"")</f>
        <v/>
      </c>
      <c r="AA14" s="6">
        <f>IF(M14&gt;0,LN(M14),"")</f>
        <v/>
      </c>
      <c r="AB14" s="6">
        <f>IF(AND(S14&lt;&gt;"",S13&lt;&gt;""),S14-S13,"")</f>
        <v/>
      </c>
      <c r="AC14" s="6">
        <f>IF(AND(S14&lt;&gt;"",X14&lt;&gt;""),S14*X14,"")</f>
        <v/>
      </c>
    </row>
    <row r="15">
      <c r="A15" s="4" t="inlineStr">
        <is>
          <t>2029Q2</t>
        </is>
      </c>
      <c r="B15" s="4" t="n">
        <v>2029</v>
      </c>
      <c r="C15" s="4" t="n">
        <v>2</v>
      </c>
      <c r="D15" s="4" t="n">
        <v>14</v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6">
        <f>IF(C15=2,1,0)</f>
        <v/>
      </c>
      <c r="O15" s="6">
        <f>IF(C15=3,1,0)</f>
        <v/>
      </c>
      <c r="P15" s="6">
        <f>IF(C15=4,1,0)</f>
        <v/>
      </c>
      <c r="Q15" s="6">
        <f>IF(B15&gt;=2021,1,0)</f>
        <v/>
      </c>
      <c r="R15" s="6">
        <f>D15+104</f>
        <v/>
      </c>
      <c r="S15" s="6">
        <f>IF(E15&gt;0,LN(E15),"")</f>
        <v/>
      </c>
      <c r="T15" s="6">
        <f>IF(F15&gt;0,LN(F15),"")</f>
        <v/>
      </c>
      <c r="U15" s="6">
        <f>IF(G15&gt;0,LN(G15),"")</f>
        <v/>
      </c>
      <c r="V15" s="6">
        <f>IF(H15&gt;0,LN(H15),"")</f>
        <v/>
      </c>
      <c r="W15" s="6">
        <f>IF(I15&gt;0,LN(I15),"")</f>
        <v/>
      </c>
      <c r="X15" s="6">
        <f>IF(J15&gt;0,LN(J15),"")</f>
        <v/>
      </c>
      <c r="Y15" s="6">
        <f>IF(K15&gt;0,LN(K15),"")</f>
        <v/>
      </c>
      <c r="Z15" s="6">
        <f>IF(L15&gt;0,LN(L15),"")</f>
        <v/>
      </c>
      <c r="AA15" s="6">
        <f>IF(M15&gt;0,LN(M15),"")</f>
        <v/>
      </c>
      <c r="AB15" s="6">
        <f>IF(AND(S15&lt;&gt;"",S14&lt;&gt;""),S15-S14,"")</f>
        <v/>
      </c>
      <c r="AC15" s="6">
        <f>IF(AND(S15&lt;&gt;"",X15&lt;&gt;""),S15*X15,"")</f>
        <v/>
      </c>
    </row>
    <row r="16">
      <c r="A16" s="4" t="inlineStr">
        <is>
          <t>2029Q3</t>
        </is>
      </c>
      <c r="B16" s="4" t="n">
        <v>2029</v>
      </c>
      <c r="C16" s="4" t="n">
        <v>3</v>
      </c>
      <c r="D16" s="4" t="n">
        <v>15</v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6">
        <f>IF(C16=2,1,0)</f>
        <v/>
      </c>
      <c r="O16" s="6">
        <f>IF(C16=3,1,0)</f>
        <v/>
      </c>
      <c r="P16" s="6">
        <f>IF(C16=4,1,0)</f>
        <v/>
      </c>
      <c r="Q16" s="6">
        <f>IF(B16&gt;=2021,1,0)</f>
        <v/>
      </c>
      <c r="R16" s="6">
        <f>D16+104</f>
        <v/>
      </c>
      <c r="S16" s="6">
        <f>IF(E16&gt;0,LN(E16),"")</f>
        <v/>
      </c>
      <c r="T16" s="6">
        <f>IF(F16&gt;0,LN(F16),"")</f>
        <v/>
      </c>
      <c r="U16" s="6">
        <f>IF(G16&gt;0,LN(G16),"")</f>
        <v/>
      </c>
      <c r="V16" s="6">
        <f>IF(H16&gt;0,LN(H16),"")</f>
        <v/>
      </c>
      <c r="W16" s="6">
        <f>IF(I16&gt;0,LN(I16),"")</f>
        <v/>
      </c>
      <c r="X16" s="6">
        <f>IF(J16&gt;0,LN(J16),"")</f>
        <v/>
      </c>
      <c r="Y16" s="6">
        <f>IF(K16&gt;0,LN(K16),"")</f>
        <v/>
      </c>
      <c r="Z16" s="6">
        <f>IF(L16&gt;0,LN(L16),"")</f>
        <v/>
      </c>
      <c r="AA16" s="6">
        <f>IF(M16&gt;0,LN(M16),"")</f>
        <v/>
      </c>
      <c r="AB16" s="6">
        <f>IF(AND(S16&lt;&gt;"",S15&lt;&gt;""),S16-S15,"")</f>
        <v/>
      </c>
      <c r="AC16" s="6">
        <f>IF(AND(S16&lt;&gt;"",X16&lt;&gt;""),S16*X16,"")</f>
        <v/>
      </c>
    </row>
    <row r="17">
      <c r="A17" s="4" t="inlineStr">
        <is>
          <t>2029Q4</t>
        </is>
      </c>
      <c r="B17" s="4" t="n">
        <v>2029</v>
      </c>
      <c r="C17" s="4" t="n">
        <v>4</v>
      </c>
      <c r="D17" s="4" t="n">
        <v>16</v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6">
        <f>IF(C17=2,1,0)</f>
        <v/>
      </c>
      <c r="O17" s="6">
        <f>IF(C17=3,1,0)</f>
        <v/>
      </c>
      <c r="P17" s="6">
        <f>IF(C17=4,1,0)</f>
        <v/>
      </c>
      <c r="Q17" s="6">
        <f>IF(B17&gt;=2021,1,0)</f>
        <v/>
      </c>
      <c r="R17" s="6">
        <f>D17+104</f>
        <v/>
      </c>
      <c r="S17" s="6">
        <f>IF(E17&gt;0,LN(E17),"")</f>
        <v/>
      </c>
      <c r="T17" s="6">
        <f>IF(F17&gt;0,LN(F17),"")</f>
        <v/>
      </c>
      <c r="U17" s="6">
        <f>IF(G17&gt;0,LN(G17),"")</f>
        <v/>
      </c>
      <c r="V17" s="6">
        <f>IF(H17&gt;0,LN(H17),"")</f>
        <v/>
      </c>
      <c r="W17" s="6">
        <f>IF(I17&gt;0,LN(I17),"")</f>
        <v/>
      </c>
      <c r="X17" s="6">
        <f>IF(J17&gt;0,LN(J17),"")</f>
        <v/>
      </c>
      <c r="Y17" s="6">
        <f>IF(K17&gt;0,LN(K17),"")</f>
        <v/>
      </c>
      <c r="Z17" s="6">
        <f>IF(L17&gt;0,LN(L17),"")</f>
        <v/>
      </c>
      <c r="AA17" s="6">
        <f>IF(M17&gt;0,LN(M17),"")</f>
        <v/>
      </c>
      <c r="AB17" s="6">
        <f>IF(AND(S17&lt;&gt;"",S16&lt;&gt;""),S17-S16,"")</f>
        <v/>
      </c>
      <c r="AC17" s="6">
        <f>IF(AND(S17&lt;&gt;"",X17&lt;&gt;""),S17*X17,"")</f>
        <v/>
      </c>
    </row>
    <row r="18">
      <c r="A18" s="4" t="inlineStr">
        <is>
          <t>2030Q1</t>
        </is>
      </c>
      <c r="B18" s="4" t="n">
        <v>2030</v>
      </c>
      <c r="C18" s="4" t="n">
        <v>1</v>
      </c>
      <c r="D18" s="4" t="n">
        <v>17</v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6">
        <f>IF(C18=2,1,0)</f>
        <v/>
      </c>
      <c r="O18" s="6">
        <f>IF(C18=3,1,0)</f>
        <v/>
      </c>
      <c r="P18" s="6">
        <f>IF(C18=4,1,0)</f>
        <v/>
      </c>
      <c r="Q18" s="6">
        <f>IF(B18&gt;=2021,1,0)</f>
        <v/>
      </c>
      <c r="R18" s="6">
        <f>D18+104</f>
        <v/>
      </c>
      <c r="S18" s="6">
        <f>IF(E18&gt;0,LN(E18),"")</f>
        <v/>
      </c>
      <c r="T18" s="6">
        <f>IF(F18&gt;0,LN(F18),"")</f>
        <v/>
      </c>
      <c r="U18" s="6">
        <f>IF(G18&gt;0,LN(G18),"")</f>
        <v/>
      </c>
      <c r="V18" s="6">
        <f>IF(H18&gt;0,LN(H18),"")</f>
        <v/>
      </c>
      <c r="W18" s="6">
        <f>IF(I18&gt;0,LN(I18),"")</f>
        <v/>
      </c>
      <c r="X18" s="6">
        <f>IF(J18&gt;0,LN(J18),"")</f>
        <v/>
      </c>
      <c r="Y18" s="6">
        <f>IF(K18&gt;0,LN(K18),"")</f>
        <v/>
      </c>
      <c r="Z18" s="6">
        <f>IF(L18&gt;0,LN(L18),"")</f>
        <v/>
      </c>
      <c r="AA18" s="6">
        <f>IF(M18&gt;0,LN(M18),"")</f>
        <v/>
      </c>
      <c r="AB18" s="6">
        <f>IF(AND(S18&lt;&gt;"",S17&lt;&gt;""),S18-S17,"")</f>
        <v/>
      </c>
      <c r="AC18" s="6">
        <f>IF(AND(S18&lt;&gt;"",X18&lt;&gt;""),S18*X18,"")</f>
        <v/>
      </c>
    </row>
    <row r="19">
      <c r="A19" s="4" t="inlineStr">
        <is>
          <t>2030Q2</t>
        </is>
      </c>
      <c r="B19" s="4" t="n">
        <v>2030</v>
      </c>
      <c r="C19" s="4" t="n">
        <v>2</v>
      </c>
      <c r="D19" s="4" t="n">
        <v>18</v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6">
        <f>IF(C19=2,1,0)</f>
        <v/>
      </c>
      <c r="O19" s="6">
        <f>IF(C19=3,1,0)</f>
        <v/>
      </c>
      <c r="P19" s="6">
        <f>IF(C19=4,1,0)</f>
        <v/>
      </c>
      <c r="Q19" s="6">
        <f>IF(B19&gt;=2021,1,0)</f>
        <v/>
      </c>
      <c r="R19" s="6">
        <f>D19+104</f>
        <v/>
      </c>
      <c r="S19" s="6">
        <f>IF(E19&gt;0,LN(E19),"")</f>
        <v/>
      </c>
      <c r="T19" s="6">
        <f>IF(F19&gt;0,LN(F19),"")</f>
        <v/>
      </c>
      <c r="U19" s="6">
        <f>IF(G19&gt;0,LN(G19),"")</f>
        <v/>
      </c>
      <c r="V19" s="6">
        <f>IF(H19&gt;0,LN(H19),"")</f>
        <v/>
      </c>
      <c r="W19" s="6">
        <f>IF(I19&gt;0,LN(I19),"")</f>
        <v/>
      </c>
      <c r="X19" s="6">
        <f>IF(J19&gt;0,LN(J19),"")</f>
        <v/>
      </c>
      <c r="Y19" s="6">
        <f>IF(K19&gt;0,LN(K19),"")</f>
        <v/>
      </c>
      <c r="Z19" s="6">
        <f>IF(L19&gt;0,LN(L19),"")</f>
        <v/>
      </c>
      <c r="AA19" s="6">
        <f>IF(M19&gt;0,LN(M19),"")</f>
        <v/>
      </c>
      <c r="AB19" s="6">
        <f>IF(AND(S19&lt;&gt;"",S18&lt;&gt;""),S19-S18,"")</f>
        <v/>
      </c>
      <c r="AC19" s="6">
        <f>IF(AND(S19&lt;&gt;"",X19&lt;&gt;""),S19*X19,"")</f>
        <v/>
      </c>
    </row>
    <row r="20">
      <c r="A20" s="4" t="inlineStr">
        <is>
          <t>2030Q3</t>
        </is>
      </c>
      <c r="B20" s="4" t="n">
        <v>2030</v>
      </c>
      <c r="C20" s="4" t="n">
        <v>3</v>
      </c>
      <c r="D20" s="4" t="n">
        <v>19</v>
      </c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6">
        <f>IF(C20=2,1,0)</f>
        <v/>
      </c>
      <c r="O20" s="6">
        <f>IF(C20=3,1,0)</f>
        <v/>
      </c>
      <c r="P20" s="6">
        <f>IF(C20=4,1,0)</f>
        <v/>
      </c>
      <c r="Q20" s="6">
        <f>IF(B20&gt;=2021,1,0)</f>
        <v/>
      </c>
      <c r="R20" s="6">
        <f>D20+104</f>
        <v/>
      </c>
      <c r="S20" s="6">
        <f>IF(E20&gt;0,LN(E20),"")</f>
        <v/>
      </c>
      <c r="T20" s="6">
        <f>IF(F20&gt;0,LN(F20),"")</f>
        <v/>
      </c>
      <c r="U20" s="6">
        <f>IF(G20&gt;0,LN(G20),"")</f>
        <v/>
      </c>
      <c r="V20" s="6">
        <f>IF(H20&gt;0,LN(H20),"")</f>
        <v/>
      </c>
      <c r="W20" s="6">
        <f>IF(I20&gt;0,LN(I20),"")</f>
        <v/>
      </c>
      <c r="X20" s="6">
        <f>IF(J20&gt;0,LN(J20),"")</f>
        <v/>
      </c>
      <c r="Y20" s="6">
        <f>IF(K20&gt;0,LN(K20),"")</f>
        <v/>
      </c>
      <c r="Z20" s="6">
        <f>IF(L20&gt;0,LN(L20),"")</f>
        <v/>
      </c>
      <c r="AA20" s="6">
        <f>IF(M20&gt;0,LN(M20),"")</f>
        <v/>
      </c>
      <c r="AB20" s="6">
        <f>IF(AND(S20&lt;&gt;"",S19&lt;&gt;""),S20-S19,"")</f>
        <v/>
      </c>
      <c r="AC20" s="6">
        <f>IF(AND(S20&lt;&gt;"",X20&lt;&gt;""),S20*X20,"")</f>
        <v/>
      </c>
    </row>
    <row r="21">
      <c r="A21" s="4" t="inlineStr">
        <is>
          <t>2030Q4</t>
        </is>
      </c>
      <c r="B21" s="4" t="n">
        <v>2030</v>
      </c>
      <c r="C21" s="4" t="n">
        <v>4</v>
      </c>
      <c r="D21" s="4" t="n">
        <v>20</v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6">
        <f>IF(C21=2,1,0)</f>
        <v/>
      </c>
      <c r="O21" s="6">
        <f>IF(C21=3,1,0)</f>
        <v/>
      </c>
      <c r="P21" s="6">
        <f>IF(C21=4,1,0)</f>
        <v/>
      </c>
      <c r="Q21" s="6">
        <f>IF(B21&gt;=2021,1,0)</f>
        <v/>
      </c>
      <c r="R21" s="6">
        <f>D21+104</f>
        <v/>
      </c>
      <c r="S21" s="6">
        <f>IF(E21&gt;0,LN(E21),"")</f>
        <v/>
      </c>
      <c r="T21" s="6">
        <f>IF(F21&gt;0,LN(F21),"")</f>
        <v/>
      </c>
      <c r="U21" s="6">
        <f>IF(G21&gt;0,LN(G21),"")</f>
        <v/>
      </c>
      <c r="V21" s="6">
        <f>IF(H21&gt;0,LN(H21),"")</f>
        <v/>
      </c>
      <c r="W21" s="6">
        <f>IF(I21&gt;0,LN(I21),"")</f>
        <v/>
      </c>
      <c r="X21" s="6">
        <f>IF(J21&gt;0,LN(J21),"")</f>
        <v/>
      </c>
      <c r="Y21" s="6">
        <f>IF(K21&gt;0,LN(K21),"")</f>
        <v/>
      </c>
      <c r="Z21" s="6">
        <f>IF(L21&gt;0,LN(L21),"")</f>
        <v/>
      </c>
      <c r="AA21" s="6">
        <f>IF(M21&gt;0,LN(M21),"")</f>
        <v/>
      </c>
      <c r="AB21" s="6">
        <f>IF(AND(S21&lt;&gt;"",S20&lt;&gt;""),S21-S20,"")</f>
        <v/>
      </c>
      <c r="AC21" s="6">
        <f>IF(AND(S21&lt;&gt;"",X21&lt;&gt;""),S21*X21,"")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AC2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2026-06-10T02:25:35Z</dcterms:created>
  <dcterms:modified xsi:type="dcterms:W3CDTF">2026-06-10T02:25:35Z</dcterms:modified>
</cp:coreProperties>
</file>