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ED Inputs" sheetId="2" state="visible" r:id="rId2"/>
    <sheet name="Light RUC Inputs" sheetId="3" state="visible" r:id="rId3"/>
    <sheet name="Heavy RUC Inputs" sheetId="4" state="visible" r:id="rId4"/>
  </sheets>
  <definedNames>
    <definedName name="_xlnm._FilterDatabase" localSheetId="1" hidden="1">'PED Inputs'!$A$1:$AA$13</definedName>
    <definedName name="_xlnm._FilterDatabase" localSheetId="2" hidden="1">'Light RUC Inputs'!$A$1:$Z$13</definedName>
    <definedName name="_xlnm._FilterDatabase" localSheetId="3" hidden="1">'Heavy RUC Inputs'!$A$1:$AF$13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2B5C"/>
      <sz val="14"/>
    </font>
    <font>
      <b val="1"/>
    </font>
    <font>
      <b val="1"/>
      <color rgb="00002B5C"/>
    </font>
  </fonts>
  <fills count="6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6EDF5"/>
      </patternFill>
    </fill>
    <fill>
      <patternFill patternType="solid">
        <fgColor rgb="00FFF7CC"/>
      </patternFill>
    </fill>
    <fill>
      <patternFill patternType="solid">
        <fgColor rgb="00E7F5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applyProtection="1" pivotButton="0" quotePrefix="0" xfId="0">
      <protection locked="0" hidden="0"/>
    </xf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SYSTEM: Forecast quarter label generated by the template, for example 2026Q1.</t>
      </text>
    </comment>
    <comment ref="B1" authorId="0" shapeId="0">
      <text>
        <t>SYSTEM: Calendar year for the forecast quarter.</t>
      </text>
    </comment>
    <comment ref="C1" authorId="0" shapeId="0">
      <text>
        <t>SYSTEM: Calendar quarter number, 1 through 4.</t>
      </text>
    </comment>
    <comment ref="D1" authorId="0" shapeId="0">
      <text>
        <t>SYSTEM: Forecast horizon from the last known actual quarter.</t>
      </text>
    </comment>
    <comment ref="E1" authorId="0" shapeId="0">
      <text>
        <t>USER: User-entered real GDP per capita assumption.</t>
      </text>
    </comment>
    <comment ref="F1" authorId="0" shapeId="0">
      <text>
        <t>USER: User-entered population assumption.</t>
      </text>
    </comment>
    <comment ref="G1" authorId="0" shapeId="0">
      <text>
        <t>USER: User-entered unemployment rate assumption in percentage points.</t>
      </text>
    </comment>
    <comment ref="H1" authorId="0" shapeId="0">
      <text>
        <t>USER: User-entered real petrol price assumption.</t>
      </text>
    </comment>
    <comment ref="I1" authorId="0" shapeId="0">
      <text>
        <t>USER: Optional nominal PED base rate for governed revenue outlooks.</t>
      </text>
    </comment>
    <comment ref="J1" authorId="0" shapeId="0">
      <text>
        <t>USER: Optional source/provenance note for the nominal PED base rate.</t>
      </text>
    </comment>
    <comment ref="K1" authorId="0" shapeId="0">
      <text>
        <t>USER: Optional CPI or nominal-rate basis note. Revenue uses this only as provenance.</t>
      </text>
    </comment>
    <comment ref="L1" authorId="0" shapeId="0">
      <text>
        <t>USER: Most recent PED VKT per capita value available before this forecast quarter.</t>
      </text>
    </comment>
    <comment ref="M1" authorId="0" shapeId="0">
      <text>
        <t>USER: PED VKT per capita value four quarters before this forecast quarter.</t>
      </text>
    </comment>
    <comment ref="N1" authorId="0" shapeId="0">
      <text>
        <t>FORMULA: 1 when quarter is Q2, otherwise 0.</t>
      </text>
    </comment>
    <comment ref="O1" authorId="0" shapeId="0">
      <text>
        <t>FORMULA: 1 when quarter is Q3, otherwise 0.</t>
      </text>
    </comment>
    <comment ref="P1" authorId="0" shapeId="0">
      <text>
        <t>FORMULA: 1 when quarter is Q4, otherwise 0.</t>
      </text>
    </comment>
    <comment ref="Q1" authorId="0" shapeId="0">
      <text>
        <t>FORMULA: 1 for quarters after 2020, otherwise 0.</t>
      </text>
    </comment>
    <comment ref="R1" authorId="0" shapeId="0">
      <text>
        <t>FORMULA: Sequential time index used by static specifications.</t>
      </text>
    </comment>
    <comment ref="S1" authorId="0" shapeId="0">
      <text>
        <t>FORMULA: Natural log of real GDP per capita.</t>
      </text>
    </comment>
    <comment ref="T1" authorId="0" shapeId="0">
      <text>
        <t>FORMULA: Natural log of population.</t>
      </text>
    </comment>
    <comment ref="U1" authorId="0" shapeId="0">
      <text>
        <t>FORMULA: Natural log of unemployment rate.</t>
      </text>
    </comment>
    <comment ref="V1" authorId="0" shapeId="0">
      <text>
        <t>FORMULA: Natural log of real petrol price.</t>
      </text>
    </comment>
    <comment ref="W1" authorId="0" shapeId="0">
      <text>
        <t>FORMULA: Natural log of target lag 1.</t>
      </text>
    </comment>
    <comment ref="X1" authorId="0" shapeId="0">
      <text>
        <t>FORMULA: Natural log of target lag 4.</t>
      </text>
    </comment>
    <comment ref="Y1" authorId="0" shapeId="0">
      <text>
        <t>FORMULA: Log target lag 1 minus log target lag 4.</t>
      </text>
    </comment>
    <comment ref="Z1" authorId="0" shapeId="0">
      <text>
        <t>FORMULA: Log real GDP per capita multiplied by log real petrol price.</t>
      </text>
    </comment>
    <comment ref="AA1" authorId="0" shapeId="0">
      <text>
        <t>FORMULA: Post-2011 dummy multiplied by log trend index.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A1" authorId="0" shapeId="0">
      <text>
        <t>SYSTEM: Forecast quarter label generated by the template, for example 2026Q1.</t>
      </text>
    </comment>
    <comment ref="B1" authorId="0" shapeId="0">
      <text>
        <t>SYSTEM: Calendar year for the forecast quarter.</t>
      </text>
    </comment>
    <comment ref="C1" authorId="0" shapeId="0">
      <text>
        <t>SYSTEM: Calendar quarter number, 1 through 4.</t>
      </text>
    </comment>
    <comment ref="D1" authorId="0" shapeId="0">
      <text>
        <t>SYSTEM: Forecast horizon from the last known actual quarter.</t>
      </text>
    </comment>
    <comment ref="E1" authorId="0" shapeId="0">
      <text>
        <t>USER: User-entered real GDP assumption.</t>
      </text>
    </comment>
    <comment ref="F1" authorId="0" shapeId="0">
      <text>
        <t>USER: User-entered real diesel price assumption.</t>
      </text>
    </comment>
    <comment ref="G1" authorId="0" shapeId="0">
      <text>
        <t>USER: User-entered real Light RUC price assumption.</t>
      </text>
    </comment>
    <comment ref="H1" authorId="0" shapeId="0">
      <text>
        <t>USER: Optional nominal effective average Light RUC rate for governed revenue outlooks.</t>
      </text>
    </comment>
    <comment ref="I1" authorId="0" shapeId="0">
      <text>
        <t>USER: Optional source/provenance note for the nominal Light RUC rate.</t>
      </text>
    </comment>
    <comment ref="J1" authorId="0" shapeId="0">
      <text>
        <t>USER: Optional CPI or nominal-rate basis note. Revenue uses this only as provenance.</t>
      </text>
    </comment>
    <comment ref="K1" authorId="0" shapeId="0">
      <text>
        <t>USER: Real Light RUC price lag available before this forecast quarter.</t>
      </text>
    </comment>
    <comment ref="L1" authorId="0" shapeId="0">
      <text>
        <t>USER: Most recent Light RUC volume available before this forecast quarter.</t>
      </text>
    </comment>
    <comment ref="M1" authorId="0" shapeId="0">
      <text>
        <t>USER: Light RUC volume four quarters before this forecast quarter.</t>
      </text>
    </comment>
    <comment ref="N1" authorId="0" shapeId="0">
      <text>
        <t>FORMULA: 1 when quarter is Q2, otherwise 0.</t>
      </text>
    </comment>
    <comment ref="O1" authorId="0" shapeId="0">
      <text>
        <t>FORMULA: 1 when quarter is Q3, otherwise 0.</t>
      </text>
    </comment>
    <comment ref="P1" authorId="0" shapeId="0">
      <text>
        <t>FORMULA: 1 when quarter is Q4, otherwise 0.</t>
      </text>
    </comment>
    <comment ref="Q1" authorId="0" shapeId="0">
      <text>
        <t>FORMULA: 1 for quarters after 2020, otherwise 0.</t>
      </text>
    </comment>
    <comment ref="R1" authorId="0" shapeId="0">
      <text>
        <t>FORMULA: Sequential time index used by static specifications.</t>
      </text>
    </comment>
    <comment ref="S1" authorId="0" shapeId="0">
      <text>
        <t>FORMULA: Natural log of real GDP.</t>
      </text>
    </comment>
    <comment ref="T1" authorId="0" shapeId="0">
      <text>
        <t>FORMULA: Natural log of real diesel price.</t>
      </text>
    </comment>
    <comment ref="U1" authorId="0" shapeId="0">
      <text>
        <t>FORMULA: Natural log of real Light RUC price.</t>
      </text>
    </comment>
    <comment ref="V1" authorId="0" shapeId="0">
      <text>
        <t>FORMULA: Natural log of lagged real Light RUC price.</t>
      </text>
    </comment>
    <comment ref="W1" authorId="0" shapeId="0">
      <text>
        <t>FORMULA: Natural log of target lag 1.</t>
      </text>
    </comment>
    <comment ref="X1" authorId="0" shapeId="0">
      <text>
        <t>FORMULA: Natural log of target lag 4.</t>
      </text>
    </comment>
    <comment ref="Y1" authorId="0" shapeId="0">
      <text>
        <t>FORMULA: Quarterly difference in log real GDP.</t>
      </text>
    </comment>
    <comment ref="Z1" authorId="0" shapeId="0">
      <text>
        <t>FORMULA: Log real GDP multiplied by log real Light RUC price.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SYSTEM: Forecast quarter label generated by the template, for example 2026Q1.</t>
      </text>
    </comment>
    <comment ref="B1" authorId="0" shapeId="0">
      <text>
        <t>SYSTEM: Calendar year for the forecast quarter.</t>
      </text>
    </comment>
    <comment ref="C1" authorId="0" shapeId="0">
      <text>
        <t>SYSTEM: Calendar quarter number, 1 through 4.</t>
      </text>
    </comment>
    <comment ref="D1" authorId="0" shapeId="0">
      <text>
        <t>SYSTEM: Forecast horizon from the last known actual quarter.</t>
      </text>
    </comment>
    <comment ref="E1" authorId="0" shapeId="0">
      <text>
        <t>USER: User-entered real GDP assumption.</t>
      </text>
    </comment>
    <comment ref="F1" authorId="0" shapeId="0">
      <text>
        <t>USER: User-entered real diesel price assumption.</t>
      </text>
    </comment>
    <comment ref="G1" authorId="0" shapeId="0">
      <text>
        <t>USER: User-entered unemployment rate assumption in percentage points.</t>
      </text>
    </comment>
    <comment ref="H1" authorId="0" shapeId="0">
      <text>
        <t>USER: User-entered real Light RUC price assumption used by Heavy components.</t>
      </text>
    </comment>
    <comment ref="I1" authorId="0" shapeId="0">
      <text>
        <t>USER: Real Light RUC price lag used by Heavy components.</t>
      </text>
    </comment>
    <comment ref="J1" authorId="0" shapeId="0">
      <text>
        <t>USER: User-entered real Heavy RUC price assumption.</t>
      </text>
    </comment>
    <comment ref="K1" authorId="0" shapeId="0">
      <text>
        <t>USER: Optional nominal effective average Heavy RUC rate for governed revenue outlooks.</t>
      </text>
    </comment>
    <comment ref="L1" authorId="0" shapeId="0">
      <text>
        <t>USER: Optional source/provenance note for the nominal Heavy RUC rate.</t>
      </text>
    </comment>
    <comment ref="M1" authorId="0" shapeId="0">
      <text>
        <t>USER: Optional CPI or nominal-rate basis note. Revenue uses this only as provenance.</t>
      </text>
    </comment>
    <comment ref="N1" authorId="0" shapeId="0">
      <text>
        <t>USER: Expected next-quarter real Heavy RUC price assumption.</t>
      </text>
    </comment>
    <comment ref="O1" authorId="0" shapeId="0">
      <text>
        <t>USER: Most recent Heavy RUC volume available before this forecast quarter.</t>
      </text>
    </comment>
    <comment ref="P1" authorId="0" shapeId="0">
      <text>
        <t>USER: Heavy RUC volume four quarters before this forecast quarter.</t>
      </text>
    </comment>
    <comment ref="Q1" authorId="0" shapeId="0">
      <text>
        <t>FORMULA: 1 when quarter is Q2, otherwise 0.</t>
      </text>
    </comment>
    <comment ref="R1" authorId="0" shapeId="0">
      <text>
        <t>FORMULA: 1 when quarter is Q3, otherwise 0.</t>
      </text>
    </comment>
    <comment ref="S1" authorId="0" shapeId="0">
      <text>
        <t>FORMULA: 1 when quarter is Q4, otherwise 0.</t>
      </text>
    </comment>
    <comment ref="T1" authorId="0" shapeId="0">
      <text>
        <t>FORMULA: 1 for quarters after 2020, otherwise 0.</t>
      </text>
    </comment>
    <comment ref="U1" authorId="0" shapeId="0">
      <text>
        <t>FORMULA: Sequential time index used by static specifications.</t>
      </text>
    </comment>
    <comment ref="V1" authorId="0" shapeId="0">
      <text>
        <t>FORMULA: Natural log of real GDP.</t>
      </text>
    </comment>
    <comment ref="W1" authorId="0" shapeId="0">
      <text>
        <t>FORMULA: Natural log of real diesel price.</t>
      </text>
    </comment>
    <comment ref="X1" authorId="0" shapeId="0">
      <text>
        <t>FORMULA: Natural log of unemployment rate.</t>
      </text>
    </comment>
    <comment ref="Y1" authorId="0" shapeId="0">
      <text>
        <t>FORMULA: Natural log of real Light RUC price.</t>
      </text>
    </comment>
    <comment ref="Z1" authorId="0" shapeId="0">
      <text>
        <t>FORMULA: Natural log of lagged real Light RUC price.</t>
      </text>
    </comment>
    <comment ref="AA1" authorId="0" shapeId="0">
      <text>
        <t>FORMULA: Natural log of real Heavy RUC price.</t>
      </text>
    </comment>
    <comment ref="AB1" authorId="0" shapeId="0">
      <text>
        <t>FORMULA: Natural log of lead real Heavy RUC price.</t>
      </text>
    </comment>
    <comment ref="AC1" authorId="0" shapeId="0">
      <text>
        <t>FORMULA: Natural log of target lag 1.</t>
      </text>
    </comment>
    <comment ref="AD1" authorId="0" shapeId="0">
      <text>
        <t>FORMULA: Natural log of target lag 4.</t>
      </text>
    </comment>
    <comment ref="AE1" authorId="0" shapeId="0">
      <text>
        <t>FORMULA: Quarterly difference in log real GDP.</t>
      </text>
    </comment>
    <comment ref="AF1" authorId="0" shapeId="0">
      <text>
        <t>FORMULA: Log real GDP multiplied by log real Heavy RUC price.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18" customWidth="1" min="2" max="2"/>
  </cols>
  <sheetData>
    <row r="1">
      <c r="A1" s="1" t="inlineStr">
        <is>
          <t>NLTF forecast input template</t>
        </is>
      </c>
    </row>
    <row r="3">
      <c r="A3" s="2" t="inlineStr">
        <is>
          <t>Latest known actual quarter</t>
        </is>
      </c>
      <c r="B3" t="inlineStr">
        <is>
          <t>2025Q4</t>
        </is>
      </c>
    </row>
    <row r="4">
      <c r="A4" s="2" t="inlineStr">
        <is>
          <t>Forecast horizon</t>
        </is>
      </c>
      <c r="B4" t="inlineStr">
        <is>
          <t>12 quarters: 2026Q1 to 2028Q4</t>
        </is>
      </c>
    </row>
    <row r="5">
      <c r="A5" s="2" t="inlineStr">
        <is>
          <t>What to fill</t>
        </is>
      </c>
      <c r="B5" t="inlineStr">
        <is>
          <t>Only fill the user-entry columns in PED Inputs, Light RUC Inputs and Heavy RUC Inputs.</t>
        </is>
      </c>
    </row>
    <row r="6">
      <c r="A6" s="2" t="inlineStr">
        <is>
          <t>Revenue Outlook inputs</t>
        </is>
      </c>
      <c r="B6" t="inlineStr">
        <is>
          <t>Nominal PED/RUC rate columns are optional for volume forecasts, but required before future nominal revenue can be published.</t>
        </is>
      </c>
    </row>
    <row r="7">
      <c r="A7" s="2" t="inlineStr">
        <is>
          <t>Variable horizon</t>
        </is>
      </c>
      <c r="B7" t="inlineStr">
        <is>
          <t>You may fill 1 quarter, the default 20 quarters, or any continuous horizon to a chosen end period.</t>
        </is>
      </c>
    </row>
    <row r="8">
      <c r="A8" s="2" t="inlineStr">
        <is>
          <t>Runner rule</t>
        </is>
      </c>
      <c r="B8" t="inlineStr">
        <is>
          <t>The runner scores only the continuous valid rows present across all three stream sheets.</t>
        </is>
      </c>
    </row>
    <row r="9">
      <c r="A9" s="2" t="inlineStr">
        <is>
          <t>What not to edit</t>
        </is>
      </c>
      <c r="B9" t="inlineStr">
        <is>
          <t>Do not edit period, year, quarter, horizon or protected formula columns.</t>
        </is>
      </c>
    </row>
    <row r="10">
      <c r="A10" s="2" t="inlineStr">
        <is>
          <t>Data rule</t>
        </is>
      </c>
      <c r="B10" t="inlineStr">
        <is>
          <t>Use real price/GDP assumptions in the units named in each header.</t>
        </is>
      </c>
    </row>
    <row r="11">
      <c r="A11" s="2" t="inlineStr">
        <is>
          <t>Governance rule</t>
        </is>
      </c>
      <c r="B11" t="inlineStr">
        <is>
          <t>The runner does not run a broad candidate search and never overwrites dashboard evidence packs.</t>
        </is>
      </c>
    </row>
    <row r="12">
      <c r="A12" s="2" t="inlineStr">
        <is>
          <t>Missing model-state rule</t>
        </is>
      </c>
      <c r="B12" t="inlineStr">
        <is>
          <t>If repo-local fitted finalist artifacts are unavailable, the runner writes governed gaps instead of fake forecasts.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26" customWidth="1" min="5" max="5"/>
    <col width="15" customWidth="1" min="6" max="6"/>
    <col width="20" customWidth="1" min="7" max="7"/>
    <col width="34" customWidth="1" min="8" max="8"/>
    <col width="32" customWidth="1" min="9" max="9"/>
    <col width="18" customWidth="1" min="10" max="10"/>
    <col width="21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8" customWidth="1" min="17" max="17"/>
    <col width="15" customWidth="1" min="18" max="18"/>
    <col width="26" customWidth="1" min="19" max="19"/>
    <col width="17" customWidth="1" min="20" max="20"/>
    <col width="24" customWidth="1" min="21" max="21"/>
    <col width="24" customWidth="1" min="22" max="22"/>
    <col width="19" customWidth="1" min="23" max="23"/>
    <col width="19" customWidth="1" min="24" max="24"/>
    <col width="30" customWidth="1" min="25" max="25"/>
    <col width="25" customWidth="1" min="26" max="26"/>
    <col width="24" customWidth="1" min="27" max="27"/>
  </cols>
  <sheetData>
    <row r="1">
      <c r="A1" s="3" t="inlineStr">
        <is>
          <t>period</t>
        </is>
      </c>
      <c r="B1" s="3" t="inlineStr">
        <is>
          <t>year</t>
        </is>
      </c>
      <c r="C1" s="3" t="inlineStr">
        <is>
          <t>quarter</t>
        </is>
      </c>
      <c r="D1" s="3" t="inlineStr">
        <is>
          <t>horizon</t>
        </is>
      </c>
      <c r="E1" s="3" t="inlineStr">
        <is>
          <t>real_gdp_per_capita_nzd</t>
        </is>
      </c>
      <c r="F1" s="3" t="inlineStr">
        <is>
          <t>population</t>
        </is>
      </c>
      <c r="G1" s="3" t="inlineStr">
        <is>
          <t>unemployment_rate</t>
        </is>
      </c>
      <c r="H1" s="3" t="inlineStr">
        <is>
          <t>real_petrol_price_cents_per_litre</t>
        </is>
      </c>
      <c r="I1" s="3" t="inlineStr">
        <is>
          <t>ped_base_rate_cents_per_litre</t>
        </is>
      </c>
      <c r="J1" s="3" t="inlineStr">
        <is>
          <t>ped_rate_source</t>
        </is>
      </c>
      <c r="K1" s="3" t="inlineStr">
        <is>
          <t>ped_rate_cpi_basis</t>
        </is>
      </c>
      <c r="L1" s="3" t="inlineStr">
        <is>
          <t>target_lag_1</t>
        </is>
      </c>
      <c r="M1" s="3" t="inlineStr">
        <is>
          <t>target_lag_4</t>
        </is>
      </c>
      <c r="N1" s="3" t="inlineStr">
        <is>
          <t>q2_dummy</t>
        </is>
      </c>
      <c r="O1" s="3" t="inlineStr">
        <is>
          <t>q3_dummy</t>
        </is>
      </c>
      <c r="P1" s="3" t="inlineStr">
        <is>
          <t>q4_dummy</t>
        </is>
      </c>
      <c r="Q1" s="3" t="inlineStr">
        <is>
          <t>post_2020_dummy</t>
        </is>
      </c>
      <c r="R1" s="3" t="inlineStr">
        <is>
          <t>trend_index</t>
        </is>
      </c>
      <c r="S1" s="3" t="inlineStr">
        <is>
          <t>log_real_gdp_per_capita</t>
        </is>
      </c>
      <c r="T1" s="3" t="inlineStr">
        <is>
          <t>log_population</t>
        </is>
      </c>
      <c r="U1" s="3" t="inlineStr">
        <is>
          <t>log_unemployment_rate</t>
        </is>
      </c>
      <c r="V1" s="3" t="inlineStr">
        <is>
          <t>log_real_petrol_price</t>
        </is>
      </c>
      <c r="W1" s="3" t="inlineStr">
        <is>
          <t>log_target_lag_1</t>
        </is>
      </c>
      <c r="X1" s="3" t="inlineStr">
        <is>
          <t>log_target_lag_4</t>
        </is>
      </c>
      <c r="Y1" s="3" t="inlineStr">
        <is>
          <t>diff_log_target_lag_1_lag_4</t>
        </is>
      </c>
      <c r="Z1" s="3" t="inlineStr">
        <is>
          <t>gdp_petrol_interaction</t>
        </is>
      </c>
      <c r="AA1" s="3" t="inlineStr">
        <is>
          <t>post_2011_x_log_trend</t>
        </is>
      </c>
    </row>
    <row r="2">
      <c r="A2" s="4" t="inlineStr">
        <is>
          <t>2026Q1</t>
        </is>
      </c>
      <c r="B2" s="4" t="n">
        <v>2026</v>
      </c>
      <c r="C2" s="4" t="n">
        <v>1</v>
      </c>
      <c r="D2" s="4" t="n">
        <v>1</v>
      </c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6">
        <f>IF(C2=2,1,0)</f>
        <v/>
      </c>
      <c r="O2" s="6">
        <f>IF(C2=3,1,0)</f>
        <v/>
      </c>
      <c r="P2" s="6">
        <f>IF(C2=4,1,0)</f>
        <v/>
      </c>
      <c r="Q2" s="6">
        <f>IF(B2&gt;=2021,1,0)</f>
        <v/>
      </c>
      <c r="R2" s="6">
        <f>D2+104</f>
        <v/>
      </c>
      <c r="S2" s="6">
        <f>IF(E2&gt;0,LN(E2),"")</f>
        <v/>
      </c>
      <c r="T2" s="6">
        <f>IF(F2&gt;0,LN(F2),"")</f>
        <v/>
      </c>
      <c r="U2" s="6">
        <f>IF(G2&gt;0,LN(G2),"")</f>
        <v/>
      </c>
      <c r="V2" s="6">
        <f>IF(H2&gt;0,LN(H2),"")</f>
        <v/>
      </c>
      <c r="W2" s="6">
        <f>IF(L2&gt;0,LN(L2),"")</f>
        <v/>
      </c>
      <c r="X2" s="6">
        <f>IF(M2&gt;0,LN(M2),"")</f>
        <v/>
      </c>
      <c r="Y2" s="6">
        <f>IF(AND(W2&lt;&gt;"",X2&lt;&gt;""),W2-X2,"")</f>
        <v/>
      </c>
      <c r="Z2" s="6">
        <f>IF(AND(S2&lt;&gt;"",V2&lt;&gt;""),S2*V2,"")</f>
        <v/>
      </c>
      <c r="AA2" s="6">
        <f>IF(R2&gt;0,LN(R2),"")</f>
        <v/>
      </c>
    </row>
    <row r="3">
      <c r="A3" s="4" t="inlineStr">
        <is>
          <t>2026Q2</t>
        </is>
      </c>
      <c r="B3" s="4" t="n">
        <v>2026</v>
      </c>
      <c r="C3" s="4" t="n">
        <v>2</v>
      </c>
      <c r="D3" s="4" t="n">
        <v>2</v>
      </c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6">
        <f>IF(C3=2,1,0)</f>
        <v/>
      </c>
      <c r="O3" s="6">
        <f>IF(C3=3,1,0)</f>
        <v/>
      </c>
      <c r="P3" s="6">
        <f>IF(C3=4,1,0)</f>
        <v/>
      </c>
      <c r="Q3" s="6">
        <f>IF(B3&gt;=2021,1,0)</f>
        <v/>
      </c>
      <c r="R3" s="6">
        <f>D3+104</f>
        <v/>
      </c>
      <c r="S3" s="6">
        <f>IF(E3&gt;0,LN(E3),"")</f>
        <v/>
      </c>
      <c r="T3" s="6">
        <f>IF(F3&gt;0,LN(F3),"")</f>
        <v/>
      </c>
      <c r="U3" s="6">
        <f>IF(G3&gt;0,LN(G3),"")</f>
        <v/>
      </c>
      <c r="V3" s="6">
        <f>IF(H3&gt;0,LN(H3),"")</f>
        <v/>
      </c>
      <c r="W3" s="6">
        <f>IF(L3&gt;0,LN(L3),"")</f>
        <v/>
      </c>
      <c r="X3" s="6">
        <f>IF(M3&gt;0,LN(M3),"")</f>
        <v/>
      </c>
      <c r="Y3" s="6">
        <f>IF(AND(W3&lt;&gt;"",X3&lt;&gt;""),W3-X3,"")</f>
        <v/>
      </c>
      <c r="Z3" s="6">
        <f>IF(AND(S3&lt;&gt;"",V3&lt;&gt;""),S3*V3,"")</f>
        <v/>
      </c>
      <c r="AA3" s="6">
        <f>IF(R3&gt;0,LN(R3),"")</f>
        <v/>
      </c>
    </row>
    <row r="4">
      <c r="A4" s="4" t="inlineStr">
        <is>
          <t>2026Q3</t>
        </is>
      </c>
      <c r="B4" s="4" t="n">
        <v>2026</v>
      </c>
      <c r="C4" s="4" t="n">
        <v>3</v>
      </c>
      <c r="D4" s="4" t="n">
        <v>3</v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6">
        <f>IF(C4=2,1,0)</f>
        <v/>
      </c>
      <c r="O4" s="6">
        <f>IF(C4=3,1,0)</f>
        <v/>
      </c>
      <c r="P4" s="6">
        <f>IF(C4=4,1,0)</f>
        <v/>
      </c>
      <c r="Q4" s="6">
        <f>IF(B4&gt;=2021,1,0)</f>
        <v/>
      </c>
      <c r="R4" s="6">
        <f>D4+104</f>
        <v/>
      </c>
      <c r="S4" s="6">
        <f>IF(E4&gt;0,LN(E4),"")</f>
        <v/>
      </c>
      <c r="T4" s="6">
        <f>IF(F4&gt;0,LN(F4),"")</f>
        <v/>
      </c>
      <c r="U4" s="6">
        <f>IF(G4&gt;0,LN(G4),"")</f>
        <v/>
      </c>
      <c r="V4" s="6">
        <f>IF(H4&gt;0,LN(H4),"")</f>
        <v/>
      </c>
      <c r="W4" s="6">
        <f>IF(L4&gt;0,LN(L4),"")</f>
        <v/>
      </c>
      <c r="X4" s="6">
        <f>IF(M4&gt;0,LN(M4),"")</f>
        <v/>
      </c>
      <c r="Y4" s="6">
        <f>IF(AND(W4&lt;&gt;"",X4&lt;&gt;""),W4-X4,"")</f>
        <v/>
      </c>
      <c r="Z4" s="6">
        <f>IF(AND(S4&lt;&gt;"",V4&lt;&gt;""),S4*V4,"")</f>
        <v/>
      </c>
      <c r="AA4" s="6">
        <f>IF(R4&gt;0,LN(R4),"")</f>
        <v/>
      </c>
    </row>
    <row r="5">
      <c r="A5" s="4" t="inlineStr">
        <is>
          <t>2026Q4</t>
        </is>
      </c>
      <c r="B5" s="4" t="n">
        <v>2026</v>
      </c>
      <c r="C5" s="4" t="n">
        <v>4</v>
      </c>
      <c r="D5" s="4" t="n">
        <v>4</v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6">
        <f>IF(C5=2,1,0)</f>
        <v/>
      </c>
      <c r="O5" s="6">
        <f>IF(C5=3,1,0)</f>
        <v/>
      </c>
      <c r="P5" s="6">
        <f>IF(C5=4,1,0)</f>
        <v/>
      </c>
      <c r="Q5" s="6">
        <f>IF(B5&gt;=2021,1,0)</f>
        <v/>
      </c>
      <c r="R5" s="6">
        <f>D5+104</f>
        <v/>
      </c>
      <c r="S5" s="6">
        <f>IF(E5&gt;0,LN(E5),"")</f>
        <v/>
      </c>
      <c r="T5" s="6">
        <f>IF(F5&gt;0,LN(F5),"")</f>
        <v/>
      </c>
      <c r="U5" s="6">
        <f>IF(G5&gt;0,LN(G5),"")</f>
        <v/>
      </c>
      <c r="V5" s="6">
        <f>IF(H5&gt;0,LN(H5),"")</f>
        <v/>
      </c>
      <c r="W5" s="6">
        <f>IF(L5&gt;0,LN(L5),"")</f>
        <v/>
      </c>
      <c r="X5" s="6">
        <f>IF(M5&gt;0,LN(M5),"")</f>
        <v/>
      </c>
      <c r="Y5" s="6">
        <f>IF(AND(W5&lt;&gt;"",X5&lt;&gt;""),W5-X5,"")</f>
        <v/>
      </c>
      <c r="Z5" s="6">
        <f>IF(AND(S5&lt;&gt;"",V5&lt;&gt;""),S5*V5,"")</f>
        <v/>
      </c>
      <c r="AA5" s="6">
        <f>IF(R5&gt;0,LN(R5),"")</f>
        <v/>
      </c>
    </row>
    <row r="6">
      <c r="A6" s="4" t="inlineStr">
        <is>
          <t>2027Q1</t>
        </is>
      </c>
      <c r="B6" s="4" t="n">
        <v>2027</v>
      </c>
      <c r="C6" s="4" t="n">
        <v>1</v>
      </c>
      <c r="D6" s="4" t="n">
        <v>5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6">
        <f>IF(C6=2,1,0)</f>
        <v/>
      </c>
      <c r="O6" s="6">
        <f>IF(C6=3,1,0)</f>
        <v/>
      </c>
      <c r="P6" s="6">
        <f>IF(C6=4,1,0)</f>
        <v/>
      </c>
      <c r="Q6" s="6">
        <f>IF(B6&gt;=2021,1,0)</f>
        <v/>
      </c>
      <c r="R6" s="6">
        <f>D6+104</f>
        <v/>
      </c>
      <c r="S6" s="6">
        <f>IF(E6&gt;0,LN(E6),"")</f>
        <v/>
      </c>
      <c r="T6" s="6">
        <f>IF(F6&gt;0,LN(F6),"")</f>
        <v/>
      </c>
      <c r="U6" s="6">
        <f>IF(G6&gt;0,LN(G6),"")</f>
        <v/>
      </c>
      <c r="V6" s="6">
        <f>IF(H6&gt;0,LN(H6),"")</f>
        <v/>
      </c>
      <c r="W6" s="6">
        <f>IF(L6&gt;0,LN(L6),"")</f>
        <v/>
      </c>
      <c r="X6" s="6">
        <f>IF(M6&gt;0,LN(M6),"")</f>
        <v/>
      </c>
      <c r="Y6" s="6">
        <f>IF(AND(W6&lt;&gt;"",X6&lt;&gt;""),W6-X6,"")</f>
        <v/>
      </c>
      <c r="Z6" s="6">
        <f>IF(AND(S6&lt;&gt;"",V6&lt;&gt;""),S6*V6,"")</f>
        <v/>
      </c>
      <c r="AA6" s="6">
        <f>IF(R6&gt;0,LN(R6),"")</f>
        <v/>
      </c>
    </row>
    <row r="7">
      <c r="A7" s="4" t="inlineStr">
        <is>
          <t>2027Q2</t>
        </is>
      </c>
      <c r="B7" s="4" t="n">
        <v>2027</v>
      </c>
      <c r="C7" s="4" t="n">
        <v>2</v>
      </c>
      <c r="D7" s="4" t="n">
        <v>6</v>
      </c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6">
        <f>IF(C7=2,1,0)</f>
        <v/>
      </c>
      <c r="O7" s="6">
        <f>IF(C7=3,1,0)</f>
        <v/>
      </c>
      <c r="P7" s="6">
        <f>IF(C7=4,1,0)</f>
        <v/>
      </c>
      <c r="Q7" s="6">
        <f>IF(B7&gt;=2021,1,0)</f>
        <v/>
      </c>
      <c r="R7" s="6">
        <f>D7+104</f>
        <v/>
      </c>
      <c r="S7" s="6">
        <f>IF(E7&gt;0,LN(E7),"")</f>
        <v/>
      </c>
      <c r="T7" s="6">
        <f>IF(F7&gt;0,LN(F7),"")</f>
        <v/>
      </c>
      <c r="U7" s="6">
        <f>IF(G7&gt;0,LN(G7),"")</f>
        <v/>
      </c>
      <c r="V7" s="6">
        <f>IF(H7&gt;0,LN(H7),"")</f>
        <v/>
      </c>
      <c r="W7" s="6">
        <f>IF(L7&gt;0,LN(L7),"")</f>
        <v/>
      </c>
      <c r="X7" s="6">
        <f>IF(M7&gt;0,LN(M7),"")</f>
        <v/>
      </c>
      <c r="Y7" s="6">
        <f>IF(AND(W7&lt;&gt;"",X7&lt;&gt;""),W7-X7,"")</f>
        <v/>
      </c>
      <c r="Z7" s="6">
        <f>IF(AND(S7&lt;&gt;"",V7&lt;&gt;""),S7*V7,"")</f>
        <v/>
      </c>
      <c r="AA7" s="6">
        <f>IF(R7&gt;0,LN(R7),"")</f>
        <v/>
      </c>
    </row>
    <row r="8">
      <c r="A8" s="4" t="inlineStr">
        <is>
          <t>2027Q3</t>
        </is>
      </c>
      <c r="B8" s="4" t="n">
        <v>2027</v>
      </c>
      <c r="C8" s="4" t="n">
        <v>3</v>
      </c>
      <c r="D8" s="4" t="n">
        <v>7</v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6">
        <f>IF(C8=2,1,0)</f>
        <v/>
      </c>
      <c r="O8" s="6">
        <f>IF(C8=3,1,0)</f>
        <v/>
      </c>
      <c r="P8" s="6">
        <f>IF(C8=4,1,0)</f>
        <v/>
      </c>
      <c r="Q8" s="6">
        <f>IF(B8&gt;=2021,1,0)</f>
        <v/>
      </c>
      <c r="R8" s="6">
        <f>D8+104</f>
        <v/>
      </c>
      <c r="S8" s="6">
        <f>IF(E8&gt;0,LN(E8),"")</f>
        <v/>
      </c>
      <c r="T8" s="6">
        <f>IF(F8&gt;0,LN(F8),"")</f>
        <v/>
      </c>
      <c r="U8" s="6">
        <f>IF(G8&gt;0,LN(G8),"")</f>
        <v/>
      </c>
      <c r="V8" s="6">
        <f>IF(H8&gt;0,LN(H8),"")</f>
        <v/>
      </c>
      <c r="W8" s="6">
        <f>IF(L8&gt;0,LN(L8),"")</f>
        <v/>
      </c>
      <c r="X8" s="6">
        <f>IF(M8&gt;0,LN(M8),"")</f>
        <v/>
      </c>
      <c r="Y8" s="6">
        <f>IF(AND(W8&lt;&gt;"",X8&lt;&gt;""),W8-X8,"")</f>
        <v/>
      </c>
      <c r="Z8" s="6">
        <f>IF(AND(S8&lt;&gt;"",V8&lt;&gt;""),S8*V8,"")</f>
        <v/>
      </c>
      <c r="AA8" s="6">
        <f>IF(R8&gt;0,LN(R8),"")</f>
        <v/>
      </c>
    </row>
    <row r="9">
      <c r="A9" s="4" t="inlineStr">
        <is>
          <t>2027Q4</t>
        </is>
      </c>
      <c r="B9" s="4" t="n">
        <v>2027</v>
      </c>
      <c r="C9" s="4" t="n">
        <v>4</v>
      </c>
      <c r="D9" s="4" t="n">
        <v>8</v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6">
        <f>IF(C9=2,1,0)</f>
        <v/>
      </c>
      <c r="O9" s="6">
        <f>IF(C9=3,1,0)</f>
        <v/>
      </c>
      <c r="P9" s="6">
        <f>IF(C9=4,1,0)</f>
        <v/>
      </c>
      <c r="Q9" s="6">
        <f>IF(B9&gt;=2021,1,0)</f>
        <v/>
      </c>
      <c r="R9" s="6">
        <f>D9+104</f>
        <v/>
      </c>
      <c r="S9" s="6">
        <f>IF(E9&gt;0,LN(E9),"")</f>
        <v/>
      </c>
      <c r="T9" s="6">
        <f>IF(F9&gt;0,LN(F9),"")</f>
        <v/>
      </c>
      <c r="U9" s="6">
        <f>IF(G9&gt;0,LN(G9),"")</f>
        <v/>
      </c>
      <c r="V9" s="6">
        <f>IF(H9&gt;0,LN(H9),"")</f>
        <v/>
      </c>
      <c r="W9" s="6">
        <f>IF(L9&gt;0,LN(L9),"")</f>
        <v/>
      </c>
      <c r="X9" s="6">
        <f>IF(M9&gt;0,LN(M9),"")</f>
        <v/>
      </c>
      <c r="Y9" s="6">
        <f>IF(AND(W9&lt;&gt;"",X9&lt;&gt;""),W9-X9,"")</f>
        <v/>
      </c>
      <c r="Z9" s="6">
        <f>IF(AND(S9&lt;&gt;"",V9&lt;&gt;""),S9*V9,"")</f>
        <v/>
      </c>
      <c r="AA9" s="6">
        <f>IF(R9&gt;0,LN(R9),"")</f>
        <v/>
      </c>
    </row>
    <row r="10">
      <c r="A10" s="4" t="inlineStr">
        <is>
          <t>2028Q1</t>
        </is>
      </c>
      <c r="B10" s="4" t="n">
        <v>2028</v>
      </c>
      <c r="C10" s="4" t="n">
        <v>1</v>
      </c>
      <c r="D10" s="4" t="n">
        <v>9</v>
      </c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6">
        <f>IF(C10=2,1,0)</f>
        <v/>
      </c>
      <c r="O10" s="6">
        <f>IF(C10=3,1,0)</f>
        <v/>
      </c>
      <c r="P10" s="6">
        <f>IF(C10=4,1,0)</f>
        <v/>
      </c>
      <c r="Q10" s="6">
        <f>IF(B10&gt;=2021,1,0)</f>
        <v/>
      </c>
      <c r="R10" s="6">
        <f>D10+104</f>
        <v/>
      </c>
      <c r="S10" s="6">
        <f>IF(E10&gt;0,LN(E10),"")</f>
        <v/>
      </c>
      <c r="T10" s="6">
        <f>IF(F10&gt;0,LN(F10),"")</f>
        <v/>
      </c>
      <c r="U10" s="6">
        <f>IF(G10&gt;0,LN(G10),"")</f>
        <v/>
      </c>
      <c r="V10" s="6">
        <f>IF(H10&gt;0,LN(H10),"")</f>
        <v/>
      </c>
      <c r="W10" s="6">
        <f>IF(L10&gt;0,LN(L10),"")</f>
        <v/>
      </c>
      <c r="X10" s="6">
        <f>IF(M10&gt;0,LN(M10),"")</f>
        <v/>
      </c>
      <c r="Y10" s="6">
        <f>IF(AND(W10&lt;&gt;"",X10&lt;&gt;""),W10-X10,"")</f>
        <v/>
      </c>
      <c r="Z10" s="6">
        <f>IF(AND(S10&lt;&gt;"",V10&lt;&gt;""),S10*V10,"")</f>
        <v/>
      </c>
      <c r="AA10" s="6">
        <f>IF(R10&gt;0,LN(R10),"")</f>
        <v/>
      </c>
    </row>
    <row r="11">
      <c r="A11" s="4" t="inlineStr">
        <is>
          <t>2028Q2</t>
        </is>
      </c>
      <c r="B11" s="4" t="n">
        <v>2028</v>
      </c>
      <c r="C11" s="4" t="n">
        <v>2</v>
      </c>
      <c r="D11" s="4" t="n">
        <v>10</v>
      </c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6">
        <f>IF(C11=2,1,0)</f>
        <v/>
      </c>
      <c r="O11" s="6">
        <f>IF(C11=3,1,0)</f>
        <v/>
      </c>
      <c r="P11" s="6">
        <f>IF(C11=4,1,0)</f>
        <v/>
      </c>
      <c r="Q11" s="6">
        <f>IF(B11&gt;=2021,1,0)</f>
        <v/>
      </c>
      <c r="R11" s="6">
        <f>D11+104</f>
        <v/>
      </c>
      <c r="S11" s="6">
        <f>IF(E11&gt;0,LN(E11),"")</f>
        <v/>
      </c>
      <c r="T11" s="6">
        <f>IF(F11&gt;0,LN(F11),"")</f>
        <v/>
      </c>
      <c r="U11" s="6">
        <f>IF(G11&gt;0,LN(G11),"")</f>
        <v/>
      </c>
      <c r="V11" s="6">
        <f>IF(H11&gt;0,LN(H11),"")</f>
        <v/>
      </c>
      <c r="W11" s="6">
        <f>IF(L11&gt;0,LN(L11),"")</f>
        <v/>
      </c>
      <c r="X11" s="6">
        <f>IF(M11&gt;0,LN(M11),"")</f>
        <v/>
      </c>
      <c r="Y11" s="6">
        <f>IF(AND(W11&lt;&gt;"",X11&lt;&gt;""),W11-X11,"")</f>
        <v/>
      </c>
      <c r="Z11" s="6">
        <f>IF(AND(S11&lt;&gt;"",V11&lt;&gt;""),S11*V11,"")</f>
        <v/>
      </c>
      <c r="AA11" s="6">
        <f>IF(R11&gt;0,LN(R11),"")</f>
        <v/>
      </c>
    </row>
    <row r="12">
      <c r="A12" s="4" t="inlineStr">
        <is>
          <t>2028Q3</t>
        </is>
      </c>
      <c r="B12" s="4" t="n">
        <v>2028</v>
      </c>
      <c r="C12" s="4" t="n">
        <v>3</v>
      </c>
      <c r="D12" s="4" t="n">
        <v>11</v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6">
        <f>IF(C12=2,1,0)</f>
        <v/>
      </c>
      <c r="O12" s="6">
        <f>IF(C12=3,1,0)</f>
        <v/>
      </c>
      <c r="P12" s="6">
        <f>IF(C12=4,1,0)</f>
        <v/>
      </c>
      <c r="Q12" s="6">
        <f>IF(B12&gt;=2021,1,0)</f>
        <v/>
      </c>
      <c r="R12" s="6">
        <f>D12+104</f>
        <v/>
      </c>
      <c r="S12" s="6">
        <f>IF(E12&gt;0,LN(E12),"")</f>
        <v/>
      </c>
      <c r="T12" s="6">
        <f>IF(F12&gt;0,LN(F12),"")</f>
        <v/>
      </c>
      <c r="U12" s="6">
        <f>IF(G12&gt;0,LN(G12),"")</f>
        <v/>
      </c>
      <c r="V12" s="6">
        <f>IF(H12&gt;0,LN(H12),"")</f>
        <v/>
      </c>
      <c r="W12" s="6">
        <f>IF(L12&gt;0,LN(L12),"")</f>
        <v/>
      </c>
      <c r="X12" s="6">
        <f>IF(M12&gt;0,LN(M12),"")</f>
        <v/>
      </c>
      <c r="Y12" s="6">
        <f>IF(AND(W12&lt;&gt;"",X12&lt;&gt;""),W12-X12,"")</f>
        <v/>
      </c>
      <c r="Z12" s="6">
        <f>IF(AND(S12&lt;&gt;"",V12&lt;&gt;""),S12*V12,"")</f>
        <v/>
      </c>
      <c r="AA12" s="6">
        <f>IF(R12&gt;0,LN(R12),"")</f>
        <v/>
      </c>
    </row>
    <row r="13">
      <c r="A13" s="4" t="inlineStr">
        <is>
          <t>2028Q4</t>
        </is>
      </c>
      <c r="B13" s="4" t="n">
        <v>2028</v>
      </c>
      <c r="C13" s="4" t="n">
        <v>4</v>
      </c>
      <c r="D13" s="4" t="n">
        <v>12</v>
      </c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6">
        <f>IF(C13=2,1,0)</f>
        <v/>
      </c>
      <c r="O13" s="6">
        <f>IF(C13=3,1,0)</f>
        <v/>
      </c>
      <c r="P13" s="6">
        <f>IF(C13=4,1,0)</f>
        <v/>
      </c>
      <c r="Q13" s="6">
        <f>IF(B13&gt;=2021,1,0)</f>
        <v/>
      </c>
      <c r="R13" s="6">
        <f>D13+104</f>
        <v/>
      </c>
      <c r="S13" s="6">
        <f>IF(E13&gt;0,LN(E13),"")</f>
        <v/>
      </c>
      <c r="T13" s="6">
        <f>IF(F13&gt;0,LN(F13),"")</f>
        <v/>
      </c>
      <c r="U13" s="6">
        <f>IF(G13&gt;0,LN(G13),"")</f>
        <v/>
      </c>
      <c r="V13" s="6">
        <f>IF(H13&gt;0,LN(H13),"")</f>
        <v/>
      </c>
      <c r="W13" s="6">
        <f>IF(L13&gt;0,LN(L13),"")</f>
        <v/>
      </c>
      <c r="X13" s="6">
        <f>IF(M13&gt;0,LN(M13),"")</f>
        <v/>
      </c>
      <c r="Y13" s="6">
        <f>IF(AND(W13&lt;&gt;"",X13&lt;&gt;""),W13-X13,"")</f>
        <v/>
      </c>
      <c r="Z13" s="6">
        <f>IF(AND(S13&lt;&gt;"",V13&lt;&gt;""),S13*V13,"")</f>
        <v/>
      </c>
      <c r="AA13" s="6">
        <f>IF(R13&gt;0,LN(R13),"")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AA13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8" customWidth="1" min="5" max="5"/>
    <col width="34" customWidth="1" min="6" max="6"/>
    <col width="34" customWidth="1" min="7" max="7"/>
    <col width="34" customWidth="1" min="8" max="8"/>
    <col width="24" customWidth="1" min="9" max="9"/>
    <col width="27" customWidth="1" min="10" max="10"/>
    <col width="3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8" customWidth="1" min="17" max="17"/>
    <col width="15" customWidth="1" min="18" max="18"/>
    <col width="15" customWidth="1" min="19" max="19"/>
    <col width="24" customWidth="1" min="20" max="20"/>
    <col width="27" customWidth="1" min="21" max="21"/>
    <col width="34" customWidth="1" min="22" max="22"/>
    <col width="19" customWidth="1" min="23" max="23"/>
    <col width="19" customWidth="1" min="24" max="24"/>
    <col width="20" customWidth="1" min="25" max="25"/>
    <col width="34" customWidth="1" min="26" max="26"/>
  </cols>
  <sheetData>
    <row r="1">
      <c r="A1" s="3" t="inlineStr">
        <is>
          <t>period</t>
        </is>
      </c>
      <c r="B1" s="3" t="inlineStr">
        <is>
          <t>year</t>
        </is>
      </c>
      <c r="C1" s="3" t="inlineStr">
        <is>
          <t>quarter</t>
        </is>
      </c>
      <c r="D1" s="3" t="inlineStr">
        <is>
          <t>horizon</t>
        </is>
      </c>
      <c r="E1" s="3" t="inlineStr">
        <is>
          <t>real_gdp_sa_nzd</t>
        </is>
      </c>
      <c r="F1" s="3" t="inlineStr">
        <is>
          <t>real_diesel_price_cents_per_litre</t>
        </is>
      </c>
      <c r="G1" s="3" t="inlineStr">
        <is>
          <t>real_light_ruc_price_nzd_per_1000km</t>
        </is>
      </c>
      <c r="H1" s="3" t="inlineStr">
        <is>
          <t>light_ruc_nominal_rate_nzd_per_1000km</t>
        </is>
      </c>
      <c r="I1" s="3" t="inlineStr">
        <is>
          <t>light_ruc_rate_source</t>
        </is>
      </c>
      <c r="J1" s="3" t="inlineStr">
        <is>
          <t>light_ruc_rate_cpi_basis</t>
        </is>
      </c>
      <c r="K1" s="3" t="inlineStr">
        <is>
          <t>lagged_real_light_ruc_price_nzd_per_1000km</t>
        </is>
      </c>
      <c r="L1" s="3" t="inlineStr">
        <is>
          <t>target_lag_1</t>
        </is>
      </c>
      <c r="M1" s="3" t="inlineStr">
        <is>
          <t>target_lag_4</t>
        </is>
      </c>
      <c r="N1" s="3" t="inlineStr">
        <is>
          <t>q2_dummy</t>
        </is>
      </c>
      <c r="O1" s="3" t="inlineStr">
        <is>
          <t>q3_dummy</t>
        </is>
      </c>
      <c r="P1" s="3" t="inlineStr">
        <is>
          <t>q4_dummy</t>
        </is>
      </c>
      <c r="Q1" s="3" t="inlineStr">
        <is>
          <t>post_2020_dummy</t>
        </is>
      </c>
      <c r="R1" s="3" t="inlineStr">
        <is>
          <t>trend_index</t>
        </is>
      </c>
      <c r="S1" s="3" t="inlineStr">
        <is>
          <t>log_real_gdp</t>
        </is>
      </c>
      <c r="T1" s="3" t="inlineStr">
        <is>
          <t>log_real_diesel_price</t>
        </is>
      </c>
      <c r="U1" s="3" t="inlineStr">
        <is>
          <t>log_real_light_ruc_price</t>
        </is>
      </c>
      <c r="V1" s="3" t="inlineStr">
        <is>
          <t>log_lagged_real_light_ruc_price</t>
        </is>
      </c>
      <c r="W1" s="3" t="inlineStr">
        <is>
          <t>log_target_lag_1</t>
        </is>
      </c>
      <c r="X1" s="3" t="inlineStr">
        <is>
          <t>log_target_lag_4</t>
        </is>
      </c>
      <c r="Y1" s="3" t="inlineStr">
        <is>
          <t>diff_log_real_gdp</t>
        </is>
      </c>
      <c r="Z1" s="3" t="inlineStr">
        <is>
          <t>gdp_light_ruc_price_interaction</t>
        </is>
      </c>
    </row>
    <row r="2">
      <c r="A2" s="4" t="inlineStr">
        <is>
          <t>2026Q1</t>
        </is>
      </c>
      <c r="B2" s="4" t="n">
        <v>2026</v>
      </c>
      <c r="C2" s="4" t="n">
        <v>1</v>
      </c>
      <c r="D2" s="4" t="n">
        <v>1</v>
      </c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6">
        <f>IF(C2=2,1,0)</f>
        <v/>
      </c>
      <c r="O2" s="6">
        <f>IF(C2=3,1,0)</f>
        <v/>
      </c>
      <c r="P2" s="6">
        <f>IF(C2=4,1,0)</f>
        <v/>
      </c>
      <c r="Q2" s="6">
        <f>IF(B2&gt;=2021,1,0)</f>
        <v/>
      </c>
      <c r="R2" s="6">
        <f>D2+104</f>
        <v/>
      </c>
      <c r="S2" s="6">
        <f>IF(E2&gt;0,LN(E2),"")</f>
        <v/>
      </c>
      <c r="T2" s="6">
        <f>IF(F2&gt;0,LN(F2),"")</f>
        <v/>
      </c>
      <c r="U2" s="6">
        <f>IF(G2&gt;0,LN(G2),"")</f>
        <v/>
      </c>
      <c r="V2" s="6">
        <f>IF(K2&gt;0,LN(K2),"")</f>
        <v/>
      </c>
      <c r="W2" s="6">
        <f>IF(L2&gt;0,LN(L2),"")</f>
        <v/>
      </c>
      <c r="X2" s="6">
        <f>IF(M2&gt;0,LN(M2),"")</f>
        <v/>
      </c>
      <c r="Y2" s="6">
        <f>""</f>
        <v/>
      </c>
      <c r="Z2" s="6">
        <f>IF(AND(S2&lt;&gt;"",U2&lt;&gt;""),S2*U2,"")</f>
        <v/>
      </c>
    </row>
    <row r="3">
      <c r="A3" s="4" t="inlineStr">
        <is>
          <t>2026Q2</t>
        </is>
      </c>
      <c r="B3" s="4" t="n">
        <v>2026</v>
      </c>
      <c r="C3" s="4" t="n">
        <v>2</v>
      </c>
      <c r="D3" s="4" t="n">
        <v>2</v>
      </c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6">
        <f>IF(C3=2,1,0)</f>
        <v/>
      </c>
      <c r="O3" s="6">
        <f>IF(C3=3,1,0)</f>
        <v/>
      </c>
      <c r="P3" s="6">
        <f>IF(C3=4,1,0)</f>
        <v/>
      </c>
      <c r="Q3" s="6">
        <f>IF(B3&gt;=2021,1,0)</f>
        <v/>
      </c>
      <c r="R3" s="6">
        <f>D3+104</f>
        <v/>
      </c>
      <c r="S3" s="6">
        <f>IF(E3&gt;0,LN(E3),"")</f>
        <v/>
      </c>
      <c r="T3" s="6">
        <f>IF(F3&gt;0,LN(F3),"")</f>
        <v/>
      </c>
      <c r="U3" s="6">
        <f>IF(G3&gt;0,LN(G3),"")</f>
        <v/>
      </c>
      <c r="V3" s="6">
        <f>IF(K3&gt;0,LN(K3),"")</f>
        <v/>
      </c>
      <c r="W3" s="6">
        <f>IF(L3&gt;0,LN(L3),"")</f>
        <v/>
      </c>
      <c r="X3" s="6">
        <f>IF(M3&gt;0,LN(M3),"")</f>
        <v/>
      </c>
      <c r="Y3" s="6">
        <f>IF(AND(S3&lt;&gt;"",S2&lt;&gt;""),S3-S2,"")</f>
        <v/>
      </c>
      <c r="Z3" s="6">
        <f>IF(AND(S3&lt;&gt;"",U3&lt;&gt;""),S3*U3,"")</f>
        <v/>
      </c>
    </row>
    <row r="4">
      <c r="A4" s="4" t="inlineStr">
        <is>
          <t>2026Q3</t>
        </is>
      </c>
      <c r="B4" s="4" t="n">
        <v>2026</v>
      </c>
      <c r="C4" s="4" t="n">
        <v>3</v>
      </c>
      <c r="D4" s="4" t="n">
        <v>3</v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6">
        <f>IF(C4=2,1,0)</f>
        <v/>
      </c>
      <c r="O4" s="6">
        <f>IF(C4=3,1,0)</f>
        <v/>
      </c>
      <c r="P4" s="6">
        <f>IF(C4=4,1,0)</f>
        <v/>
      </c>
      <c r="Q4" s="6">
        <f>IF(B4&gt;=2021,1,0)</f>
        <v/>
      </c>
      <c r="R4" s="6">
        <f>D4+104</f>
        <v/>
      </c>
      <c r="S4" s="6">
        <f>IF(E4&gt;0,LN(E4),"")</f>
        <v/>
      </c>
      <c r="T4" s="6">
        <f>IF(F4&gt;0,LN(F4),"")</f>
        <v/>
      </c>
      <c r="U4" s="6">
        <f>IF(G4&gt;0,LN(G4),"")</f>
        <v/>
      </c>
      <c r="V4" s="6">
        <f>IF(K4&gt;0,LN(K4),"")</f>
        <v/>
      </c>
      <c r="W4" s="6">
        <f>IF(L4&gt;0,LN(L4),"")</f>
        <v/>
      </c>
      <c r="X4" s="6">
        <f>IF(M4&gt;0,LN(M4),"")</f>
        <v/>
      </c>
      <c r="Y4" s="6">
        <f>IF(AND(S4&lt;&gt;"",S3&lt;&gt;""),S4-S3,"")</f>
        <v/>
      </c>
      <c r="Z4" s="6">
        <f>IF(AND(S4&lt;&gt;"",U4&lt;&gt;""),S4*U4,"")</f>
        <v/>
      </c>
    </row>
    <row r="5">
      <c r="A5" s="4" t="inlineStr">
        <is>
          <t>2026Q4</t>
        </is>
      </c>
      <c r="B5" s="4" t="n">
        <v>2026</v>
      </c>
      <c r="C5" s="4" t="n">
        <v>4</v>
      </c>
      <c r="D5" s="4" t="n">
        <v>4</v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6">
        <f>IF(C5=2,1,0)</f>
        <v/>
      </c>
      <c r="O5" s="6">
        <f>IF(C5=3,1,0)</f>
        <v/>
      </c>
      <c r="P5" s="6">
        <f>IF(C5=4,1,0)</f>
        <v/>
      </c>
      <c r="Q5" s="6">
        <f>IF(B5&gt;=2021,1,0)</f>
        <v/>
      </c>
      <c r="R5" s="6">
        <f>D5+104</f>
        <v/>
      </c>
      <c r="S5" s="6">
        <f>IF(E5&gt;0,LN(E5),"")</f>
        <v/>
      </c>
      <c r="T5" s="6">
        <f>IF(F5&gt;0,LN(F5),"")</f>
        <v/>
      </c>
      <c r="U5" s="6">
        <f>IF(G5&gt;0,LN(G5),"")</f>
        <v/>
      </c>
      <c r="V5" s="6">
        <f>IF(K5&gt;0,LN(K5),"")</f>
        <v/>
      </c>
      <c r="W5" s="6">
        <f>IF(L5&gt;0,LN(L5),"")</f>
        <v/>
      </c>
      <c r="X5" s="6">
        <f>IF(M5&gt;0,LN(M5),"")</f>
        <v/>
      </c>
      <c r="Y5" s="6">
        <f>IF(AND(S5&lt;&gt;"",S4&lt;&gt;""),S5-S4,"")</f>
        <v/>
      </c>
      <c r="Z5" s="6">
        <f>IF(AND(S5&lt;&gt;"",U5&lt;&gt;""),S5*U5,"")</f>
        <v/>
      </c>
    </row>
    <row r="6">
      <c r="A6" s="4" t="inlineStr">
        <is>
          <t>2027Q1</t>
        </is>
      </c>
      <c r="B6" s="4" t="n">
        <v>2027</v>
      </c>
      <c r="C6" s="4" t="n">
        <v>1</v>
      </c>
      <c r="D6" s="4" t="n">
        <v>5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6">
        <f>IF(C6=2,1,0)</f>
        <v/>
      </c>
      <c r="O6" s="6">
        <f>IF(C6=3,1,0)</f>
        <v/>
      </c>
      <c r="P6" s="6">
        <f>IF(C6=4,1,0)</f>
        <v/>
      </c>
      <c r="Q6" s="6">
        <f>IF(B6&gt;=2021,1,0)</f>
        <v/>
      </c>
      <c r="R6" s="6">
        <f>D6+104</f>
        <v/>
      </c>
      <c r="S6" s="6">
        <f>IF(E6&gt;0,LN(E6),"")</f>
        <v/>
      </c>
      <c r="T6" s="6">
        <f>IF(F6&gt;0,LN(F6),"")</f>
        <v/>
      </c>
      <c r="U6" s="6">
        <f>IF(G6&gt;0,LN(G6),"")</f>
        <v/>
      </c>
      <c r="V6" s="6">
        <f>IF(K6&gt;0,LN(K6),"")</f>
        <v/>
      </c>
      <c r="W6" s="6">
        <f>IF(L6&gt;0,LN(L6),"")</f>
        <v/>
      </c>
      <c r="X6" s="6">
        <f>IF(M6&gt;0,LN(M6),"")</f>
        <v/>
      </c>
      <c r="Y6" s="6">
        <f>IF(AND(S6&lt;&gt;"",S5&lt;&gt;""),S6-S5,"")</f>
        <v/>
      </c>
      <c r="Z6" s="6">
        <f>IF(AND(S6&lt;&gt;"",U6&lt;&gt;""),S6*U6,"")</f>
        <v/>
      </c>
    </row>
    <row r="7">
      <c r="A7" s="4" t="inlineStr">
        <is>
          <t>2027Q2</t>
        </is>
      </c>
      <c r="B7" s="4" t="n">
        <v>2027</v>
      </c>
      <c r="C7" s="4" t="n">
        <v>2</v>
      </c>
      <c r="D7" s="4" t="n">
        <v>6</v>
      </c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6">
        <f>IF(C7=2,1,0)</f>
        <v/>
      </c>
      <c r="O7" s="6">
        <f>IF(C7=3,1,0)</f>
        <v/>
      </c>
      <c r="P7" s="6">
        <f>IF(C7=4,1,0)</f>
        <v/>
      </c>
      <c r="Q7" s="6">
        <f>IF(B7&gt;=2021,1,0)</f>
        <v/>
      </c>
      <c r="R7" s="6">
        <f>D7+104</f>
        <v/>
      </c>
      <c r="S7" s="6">
        <f>IF(E7&gt;0,LN(E7),"")</f>
        <v/>
      </c>
      <c r="T7" s="6">
        <f>IF(F7&gt;0,LN(F7),"")</f>
        <v/>
      </c>
      <c r="U7" s="6">
        <f>IF(G7&gt;0,LN(G7),"")</f>
        <v/>
      </c>
      <c r="V7" s="6">
        <f>IF(K7&gt;0,LN(K7),"")</f>
        <v/>
      </c>
      <c r="W7" s="6">
        <f>IF(L7&gt;0,LN(L7),"")</f>
        <v/>
      </c>
      <c r="X7" s="6">
        <f>IF(M7&gt;0,LN(M7),"")</f>
        <v/>
      </c>
      <c r="Y7" s="6">
        <f>IF(AND(S7&lt;&gt;"",S6&lt;&gt;""),S7-S6,"")</f>
        <v/>
      </c>
      <c r="Z7" s="6">
        <f>IF(AND(S7&lt;&gt;"",U7&lt;&gt;""),S7*U7,"")</f>
        <v/>
      </c>
    </row>
    <row r="8">
      <c r="A8" s="4" t="inlineStr">
        <is>
          <t>2027Q3</t>
        </is>
      </c>
      <c r="B8" s="4" t="n">
        <v>2027</v>
      </c>
      <c r="C8" s="4" t="n">
        <v>3</v>
      </c>
      <c r="D8" s="4" t="n">
        <v>7</v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6">
        <f>IF(C8=2,1,0)</f>
        <v/>
      </c>
      <c r="O8" s="6">
        <f>IF(C8=3,1,0)</f>
        <v/>
      </c>
      <c r="P8" s="6">
        <f>IF(C8=4,1,0)</f>
        <v/>
      </c>
      <c r="Q8" s="6">
        <f>IF(B8&gt;=2021,1,0)</f>
        <v/>
      </c>
      <c r="R8" s="6">
        <f>D8+104</f>
        <v/>
      </c>
      <c r="S8" s="6">
        <f>IF(E8&gt;0,LN(E8),"")</f>
        <v/>
      </c>
      <c r="T8" s="6">
        <f>IF(F8&gt;0,LN(F8),"")</f>
        <v/>
      </c>
      <c r="U8" s="6">
        <f>IF(G8&gt;0,LN(G8),"")</f>
        <v/>
      </c>
      <c r="V8" s="6">
        <f>IF(K8&gt;0,LN(K8),"")</f>
        <v/>
      </c>
      <c r="W8" s="6">
        <f>IF(L8&gt;0,LN(L8),"")</f>
        <v/>
      </c>
      <c r="X8" s="6">
        <f>IF(M8&gt;0,LN(M8),"")</f>
        <v/>
      </c>
      <c r="Y8" s="6">
        <f>IF(AND(S8&lt;&gt;"",S7&lt;&gt;""),S8-S7,"")</f>
        <v/>
      </c>
      <c r="Z8" s="6">
        <f>IF(AND(S8&lt;&gt;"",U8&lt;&gt;""),S8*U8,"")</f>
        <v/>
      </c>
    </row>
    <row r="9">
      <c r="A9" s="4" t="inlineStr">
        <is>
          <t>2027Q4</t>
        </is>
      </c>
      <c r="B9" s="4" t="n">
        <v>2027</v>
      </c>
      <c r="C9" s="4" t="n">
        <v>4</v>
      </c>
      <c r="D9" s="4" t="n">
        <v>8</v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6">
        <f>IF(C9=2,1,0)</f>
        <v/>
      </c>
      <c r="O9" s="6">
        <f>IF(C9=3,1,0)</f>
        <v/>
      </c>
      <c r="P9" s="6">
        <f>IF(C9=4,1,0)</f>
        <v/>
      </c>
      <c r="Q9" s="6">
        <f>IF(B9&gt;=2021,1,0)</f>
        <v/>
      </c>
      <c r="R9" s="6">
        <f>D9+104</f>
        <v/>
      </c>
      <c r="S9" s="6">
        <f>IF(E9&gt;0,LN(E9),"")</f>
        <v/>
      </c>
      <c r="T9" s="6">
        <f>IF(F9&gt;0,LN(F9),"")</f>
        <v/>
      </c>
      <c r="U9" s="6">
        <f>IF(G9&gt;0,LN(G9),"")</f>
        <v/>
      </c>
      <c r="V9" s="6">
        <f>IF(K9&gt;0,LN(K9),"")</f>
        <v/>
      </c>
      <c r="W9" s="6">
        <f>IF(L9&gt;0,LN(L9),"")</f>
        <v/>
      </c>
      <c r="X9" s="6">
        <f>IF(M9&gt;0,LN(M9),"")</f>
        <v/>
      </c>
      <c r="Y9" s="6">
        <f>IF(AND(S9&lt;&gt;"",S8&lt;&gt;""),S9-S8,"")</f>
        <v/>
      </c>
      <c r="Z9" s="6">
        <f>IF(AND(S9&lt;&gt;"",U9&lt;&gt;""),S9*U9,"")</f>
        <v/>
      </c>
    </row>
    <row r="10">
      <c r="A10" s="4" t="inlineStr">
        <is>
          <t>2028Q1</t>
        </is>
      </c>
      <c r="B10" s="4" t="n">
        <v>2028</v>
      </c>
      <c r="C10" s="4" t="n">
        <v>1</v>
      </c>
      <c r="D10" s="4" t="n">
        <v>9</v>
      </c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6">
        <f>IF(C10=2,1,0)</f>
        <v/>
      </c>
      <c r="O10" s="6">
        <f>IF(C10=3,1,0)</f>
        <v/>
      </c>
      <c r="P10" s="6">
        <f>IF(C10=4,1,0)</f>
        <v/>
      </c>
      <c r="Q10" s="6">
        <f>IF(B10&gt;=2021,1,0)</f>
        <v/>
      </c>
      <c r="R10" s="6">
        <f>D10+104</f>
        <v/>
      </c>
      <c r="S10" s="6">
        <f>IF(E10&gt;0,LN(E10),"")</f>
        <v/>
      </c>
      <c r="T10" s="6">
        <f>IF(F10&gt;0,LN(F10),"")</f>
        <v/>
      </c>
      <c r="U10" s="6">
        <f>IF(G10&gt;0,LN(G10),"")</f>
        <v/>
      </c>
      <c r="V10" s="6">
        <f>IF(K10&gt;0,LN(K10),"")</f>
        <v/>
      </c>
      <c r="W10" s="6">
        <f>IF(L10&gt;0,LN(L10),"")</f>
        <v/>
      </c>
      <c r="X10" s="6">
        <f>IF(M10&gt;0,LN(M10),"")</f>
        <v/>
      </c>
      <c r="Y10" s="6">
        <f>IF(AND(S10&lt;&gt;"",S9&lt;&gt;""),S10-S9,"")</f>
        <v/>
      </c>
      <c r="Z10" s="6">
        <f>IF(AND(S10&lt;&gt;"",U10&lt;&gt;""),S10*U10,"")</f>
        <v/>
      </c>
    </row>
    <row r="11">
      <c r="A11" s="4" t="inlineStr">
        <is>
          <t>2028Q2</t>
        </is>
      </c>
      <c r="B11" s="4" t="n">
        <v>2028</v>
      </c>
      <c r="C11" s="4" t="n">
        <v>2</v>
      </c>
      <c r="D11" s="4" t="n">
        <v>10</v>
      </c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6">
        <f>IF(C11=2,1,0)</f>
        <v/>
      </c>
      <c r="O11" s="6">
        <f>IF(C11=3,1,0)</f>
        <v/>
      </c>
      <c r="P11" s="6">
        <f>IF(C11=4,1,0)</f>
        <v/>
      </c>
      <c r="Q11" s="6">
        <f>IF(B11&gt;=2021,1,0)</f>
        <v/>
      </c>
      <c r="R11" s="6">
        <f>D11+104</f>
        <v/>
      </c>
      <c r="S11" s="6">
        <f>IF(E11&gt;0,LN(E11),"")</f>
        <v/>
      </c>
      <c r="T11" s="6">
        <f>IF(F11&gt;0,LN(F11),"")</f>
        <v/>
      </c>
      <c r="U11" s="6">
        <f>IF(G11&gt;0,LN(G11),"")</f>
        <v/>
      </c>
      <c r="V11" s="6">
        <f>IF(K11&gt;0,LN(K11),"")</f>
        <v/>
      </c>
      <c r="W11" s="6">
        <f>IF(L11&gt;0,LN(L11),"")</f>
        <v/>
      </c>
      <c r="X11" s="6">
        <f>IF(M11&gt;0,LN(M11),"")</f>
        <v/>
      </c>
      <c r="Y11" s="6">
        <f>IF(AND(S11&lt;&gt;"",S10&lt;&gt;""),S11-S10,"")</f>
        <v/>
      </c>
      <c r="Z11" s="6">
        <f>IF(AND(S11&lt;&gt;"",U11&lt;&gt;""),S11*U11,"")</f>
        <v/>
      </c>
    </row>
    <row r="12">
      <c r="A12" s="4" t="inlineStr">
        <is>
          <t>2028Q3</t>
        </is>
      </c>
      <c r="B12" s="4" t="n">
        <v>2028</v>
      </c>
      <c r="C12" s="4" t="n">
        <v>3</v>
      </c>
      <c r="D12" s="4" t="n">
        <v>11</v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6">
        <f>IF(C12=2,1,0)</f>
        <v/>
      </c>
      <c r="O12" s="6">
        <f>IF(C12=3,1,0)</f>
        <v/>
      </c>
      <c r="P12" s="6">
        <f>IF(C12=4,1,0)</f>
        <v/>
      </c>
      <c r="Q12" s="6">
        <f>IF(B12&gt;=2021,1,0)</f>
        <v/>
      </c>
      <c r="R12" s="6">
        <f>D12+104</f>
        <v/>
      </c>
      <c r="S12" s="6">
        <f>IF(E12&gt;0,LN(E12),"")</f>
        <v/>
      </c>
      <c r="T12" s="6">
        <f>IF(F12&gt;0,LN(F12),"")</f>
        <v/>
      </c>
      <c r="U12" s="6">
        <f>IF(G12&gt;0,LN(G12),"")</f>
        <v/>
      </c>
      <c r="V12" s="6">
        <f>IF(K12&gt;0,LN(K12),"")</f>
        <v/>
      </c>
      <c r="W12" s="6">
        <f>IF(L12&gt;0,LN(L12),"")</f>
        <v/>
      </c>
      <c r="X12" s="6">
        <f>IF(M12&gt;0,LN(M12),"")</f>
        <v/>
      </c>
      <c r="Y12" s="6">
        <f>IF(AND(S12&lt;&gt;"",S11&lt;&gt;""),S12-S11,"")</f>
        <v/>
      </c>
      <c r="Z12" s="6">
        <f>IF(AND(S12&lt;&gt;"",U12&lt;&gt;""),S12*U12,"")</f>
        <v/>
      </c>
    </row>
    <row r="13">
      <c r="A13" s="4" t="inlineStr">
        <is>
          <t>2028Q4</t>
        </is>
      </c>
      <c r="B13" s="4" t="n">
        <v>2028</v>
      </c>
      <c r="C13" s="4" t="n">
        <v>4</v>
      </c>
      <c r="D13" s="4" t="n">
        <v>12</v>
      </c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6">
        <f>IF(C13=2,1,0)</f>
        <v/>
      </c>
      <c r="O13" s="6">
        <f>IF(C13=3,1,0)</f>
        <v/>
      </c>
      <c r="P13" s="6">
        <f>IF(C13=4,1,0)</f>
        <v/>
      </c>
      <c r="Q13" s="6">
        <f>IF(B13&gt;=2021,1,0)</f>
        <v/>
      </c>
      <c r="R13" s="6">
        <f>D13+104</f>
        <v/>
      </c>
      <c r="S13" s="6">
        <f>IF(E13&gt;0,LN(E13),"")</f>
        <v/>
      </c>
      <c r="T13" s="6">
        <f>IF(F13&gt;0,LN(F13),"")</f>
        <v/>
      </c>
      <c r="U13" s="6">
        <f>IF(G13&gt;0,LN(G13),"")</f>
        <v/>
      </c>
      <c r="V13" s="6">
        <f>IF(K13&gt;0,LN(K13),"")</f>
        <v/>
      </c>
      <c r="W13" s="6">
        <f>IF(L13&gt;0,LN(L13),"")</f>
        <v/>
      </c>
      <c r="X13" s="6">
        <f>IF(M13&gt;0,LN(M13),"")</f>
        <v/>
      </c>
      <c r="Y13" s="6">
        <f>IF(AND(S13&lt;&gt;"",S12&lt;&gt;""),S13-S12,"")</f>
        <v/>
      </c>
      <c r="Z13" s="6">
        <f>IF(AND(S13&lt;&gt;"",U13&lt;&gt;""),S13*U13,"")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Z13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8" customWidth="1" min="5" max="5"/>
    <col width="34" customWidth="1" min="6" max="6"/>
    <col width="20" customWidth="1" min="7" max="7"/>
    <col width="34" customWidth="1" min="8" max="8"/>
    <col width="34" customWidth="1" min="9" max="9"/>
    <col width="34" customWidth="1" min="10" max="10"/>
    <col width="34" customWidth="1" min="11" max="11"/>
    <col width="24" customWidth="1" min="12" max="12"/>
    <col width="27" customWidth="1" min="13" max="13"/>
    <col width="34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8" customWidth="1" min="20" max="20"/>
    <col width="15" customWidth="1" min="21" max="21"/>
    <col width="15" customWidth="1" min="22" max="22"/>
    <col width="24" customWidth="1" min="23" max="23"/>
    <col width="24" customWidth="1" min="24" max="24"/>
    <col width="27" customWidth="1" min="25" max="25"/>
    <col width="34" customWidth="1" min="26" max="26"/>
    <col width="27" customWidth="1" min="27" max="27"/>
    <col width="32" customWidth="1" min="28" max="28"/>
    <col width="19" customWidth="1" min="29" max="29"/>
    <col width="19" customWidth="1" min="30" max="30"/>
    <col width="20" customWidth="1" min="31" max="31"/>
    <col width="34" customWidth="1" min="32" max="32"/>
  </cols>
  <sheetData>
    <row r="1">
      <c r="A1" s="3" t="inlineStr">
        <is>
          <t>period</t>
        </is>
      </c>
      <c r="B1" s="3" t="inlineStr">
        <is>
          <t>year</t>
        </is>
      </c>
      <c r="C1" s="3" t="inlineStr">
        <is>
          <t>quarter</t>
        </is>
      </c>
      <c r="D1" s="3" t="inlineStr">
        <is>
          <t>horizon</t>
        </is>
      </c>
      <c r="E1" s="3" t="inlineStr">
        <is>
          <t>real_gdp_sa_nzd</t>
        </is>
      </c>
      <c r="F1" s="3" t="inlineStr">
        <is>
          <t>real_diesel_price_cents_per_litre</t>
        </is>
      </c>
      <c r="G1" s="3" t="inlineStr">
        <is>
          <t>unemployment_rate</t>
        </is>
      </c>
      <c r="H1" s="3" t="inlineStr">
        <is>
          <t>real_light_ruc_price_nzd_per_1000km</t>
        </is>
      </c>
      <c r="I1" s="3" t="inlineStr">
        <is>
          <t>lagged_real_light_ruc_price_nzd_per_1000km</t>
        </is>
      </c>
      <c r="J1" s="3" t="inlineStr">
        <is>
          <t>real_heavy_ruc_price_nzd_per_1000km</t>
        </is>
      </c>
      <c r="K1" s="3" t="inlineStr">
        <is>
          <t>heavy_ruc_nominal_rate_nzd_per_1000km</t>
        </is>
      </c>
      <c r="L1" s="3" t="inlineStr">
        <is>
          <t>heavy_ruc_rate_source</t>
        </is>
      </c>
      <c r="M1" s="3" t="inlineStr">
        <is>
          <t>heavy_ruc_rate_cpi_basis</t>
        </is>
      </c>
      <c r="N1" s="3" t="inlineStr">
        <is>
          <t>lead_real_heavy_ruc_price_nzd_per_1000km</t>
        </is>
      </c>
      <c r="O1" s="3" t="inlineStr">
        <is>
          <t>target_lag_1</t>
        </is>
      </c>
      <c r="P1" s="3" t="inlineStr">
        <is>
          <t>target_lag_4</t>
        </is>
      </c>
      <c r="Q1" s="3" t="inlineStr">
        <is>
          <t>q2_dummy</t>
        </is>
      </c>
      <c r="R1" s="3" t="inlineStr">
        <is>
          <t>q3_dummy</t>
        </is>
      </c>
      <c r="S1" s="3" t="inlineStr">
        <is>
          <t>q4_dummy</t>
        </is>
      </c>
      <c r="T1" s="3" t="inlineStr">
        <is>
          <t>post_2020_dummy</t>
        </is>
      </c>
      <c r="U1" s="3" t="inlineStr">
        <is>
          <t>trend_index</t>
        </is>
      </c>
      <c r="V1" s="3" t="inlineStr">
        <is>
          <t>log_real_gdp</t>
        </is>
      </c>
      <c r="W1" s="3" t="inlineStr">
        <is>
          <t>log_real_diesel_price</t>
        </is>
      </c>
      <c r="X1" s="3" t="inlineStr">
        <is>
          <t>log_unemployment_rate</t>
        </is>
      </c>
      <c r="Y1" s="3" t="inlineStr">
        <is>
          <t>log_real_light_ruc_price</t>
        </is>
      </c>
      <c r="Z1" s="3" t="inlineStr">
        <is>
          <t>log_lagged_real_light_ruc_price</t>
        </is>
      </c>
      <c r="AA1" s="3" t="inlineStr">
        <is>
          <t>log_real_heavy_ruc_price</t>
        </is>
      </c>
      <c r="AB1" s="3" t="inlineStr">
        <is>
          <t>log_lead_real_heavy_ruc_price</t>
        </is>
      </c>
      <c r="AC1" s="3" t="inlineStr">
        <is>
          <t>log_target_lag_1</t>
        </is>
      </c>
      <c r="AD1" s="3" t="inlineStr">
        <is>
          <t>log_target_lag_4</t>
        </is>
      </c>
      <c r="AE1" s="3" t="inlineStr">
        <is>
          <t>diff_log_real_gdp</t>
        </is>
      </c>
      <c r="AF1" s="3" t="inlineStr">
        <is>
          <t>gdp_heavy_ruc_price_interaction</t>
        </is>
      </c>
    </row>
    <row r="2">
      <c r="A2" s="4" t="inlineStr">
        <is>
          <t>2026Q1</t>
        </is>
      </c>
      <c r="B2" s="4" t="n">
        <v>2026</v>
      </c>
      <c r="C2" s="4" t="n">
        <v>1</v>
      </c>
      <c r="D2" s="4" t="n">
        <v>1</v>
      </c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6">
        <f>IF(C2=2,1,0)</f>
        <v/>
      </c>
      <c r="R2" s="6">
        <f>IF(C2=3,1,0)</f>
        <v/>
      </c>
      <c r="S2" s="6">
        <f>IF(C2=4,1,0)</f>
        <v/>
      </c>
      <c r="T2" s="6">
        <f>IF(B2&gt;=2021,1,0)</f>
        <v/>
      </c>
      <c r="U2" s="6">
        <f>D2+104</f>
        <v/>
      </c>
      <c r="V2" s="6">
        <f>IF(E2&gt;0,LN(E2),"")</f>
        <v/>
      </c>
      <c r="W2" s="6">
        <f>IF(F2&gt;0,LN(F2),"")</f>
        <v/>
      </c>
      <c r="X2" s="6">
        <f>IF(G2&gt;0,LN(G2),"")</f>
        <v/>
      </c>
      <c r="Y2" s="6">
        <f>IF(H2&gt;0,LN(H2),"")</f>
        <v/>
      </c>
      <c r="Z2" s="6">
        <f>IF(I2&gt;0,LN(I2),"")</f>
        <v/>
      </c>
      <c r="AA2" s="6">
        <f>IF(J2&gt;0,LN(J2),"")</f>
        <v/>
      </c>
      <c r="AB2" s="6">
        <f>IF(N2&gt;0,LN(N2),"")</f>
        <v/>
      </c>
      <c r="AC2" s="6">
        <f>IF(O2&gt;0,LN(O2),"")</f>
        <v/>
      </c>
      <c r="AD2" s="6">
        <f>IF(P2&gt;0,LN(P2),"")</f>
        <v/>
      </c>
      <c r="AE2" s="6">
        <f>""</f>
        <v/>
      </c>
      <c r="AF2" s="6">
        <f>IF(AND(V2&lt;&gt;"",AA2&lt;&gt;""),V2*AA2,"")</f>
        <v/>
      </c>
    </row>
    <row r="3">
      <c r="A3" s="4" t="inlineStr">
        <is>
          <t>2026Q2</t>
        </is>
      </c>
      <c r="B3" s="4" t="n">
        <v>2026</v>
      </c>
      <c r="C3" s="4" t="n">
        <v>2</v>
      </c>
      <c r="D3" s="4" t="n">
        <v>2</v>
      </c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6">
        <f>IF(C3=2,1,0)</f>
        <v/>
      </c>
      <c r="R3" s="6">
        <f>IF(C3=3,1,0)</f>
        <v/>
      </c>
      <c r="S3" s="6">
        <f>IF(C3=4,1,0)</f>
        <v/>
      </c>
      <c r="T3" s="6">
        <f>IF(B3&gt;=2021,1,0)</f>
        <v/>
      </c>
      <c r="U3" s="6">
        <f>D3+104</f>
        <v/>
      </c>
      <c r="V3" s="6">
        <f>IF(E3&gt;0,LN(E3),"")</f>
        <v/>
      </c>
      <c r="W3" s="6">
        <f>IF(F3&gt;0,LN(F3),"")</f>
        <v/>
      </c>
      <c r="X3" s="6">
        <f>IF(G3&gt;0,LN(G3),"")</f>
        <v/>
      </c>
      <c r="Y3" s="6">
        <f>IF(H3&gt;0,LN(H3),"")</f>
        <v/>
      </c>
      <c r="Z3" s="6">
        <f>IF(I3&gt;0,LN(I3),"")</f>
        <v/>
      </c>
      <c r="AA3" s="6">
        <f>IF(J3&gt;0,LN(J3),"")</f>
        <v/>
      </c>
      <c r="AB3" s="6">
        <f>IF(N3&gt;0,LN(N3),"")</f>
        <v/>
      </c>
      <c r="AC3" s="6">
        <f>IF(O3&gt;0,LN(O3),"")</f>
        <v/>
      </c>
      <c r="AD3" s="6">
        <f>IF(P3&gt;0,LN(P3),"")</f>
        <v/>
      </c>
      <c r="AE3" s="6">
        <f>IF(AND(V3&lt;&gt;"",V2&lt;&gt;""),V3-V2,"")</f>
        <v/>
      </c>
      <c r="AF3" s="6">
        <f>IF(AND(V3&lt;&gt;"",AA3&lt;&gt;""),V3*AA3,"")</f>
        <v/>
      </c>
    </row>
    <row r="4">
      <c r="A4" s="4" t="inlineStr">
        <is>
          <t>2026Q3</t>
        </is>
      </c>
      <c r="B4" s="4" t="n">
        <v>2026</v>
      </c>
      <c r="C4" s="4" t="n">
        <v>3</v>
      </c>
      <c r="D4" s="4" t="n">
        <v>3</v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6">
        <f>IF(C4=2,1,0)</f>
        <v/>
      </c>
      <c r="R4" s="6">
        <f>IF(C4=3,1,0)</f>
        <v/>
      </c>
      <c r="S4" s="6">
        <f>IF(C4=4,1,0)</f>
        <v/>
      </c>
      <c r="T4" s="6">
        <f>IF(B4&gt;=2021,1,0)</f>
        <v/>
      </c>
      <c r="U4" s="6">
        <f>D4+104</f>
        <v/>
      </c>
      <c r="V4" s="6">
        <f>IF(E4&gt;0,LN(E4),"")</f>
        <v/>
      </c>
      <c r="W4" s="6">
        <f>IF(F4&gt;0,LN(F4),"")</f>
        <v/>
      </c>
      <c r="X4" s="6">
        <f>IF(G4&gt;0,LN(G4),"")</f>
        <v/>
      </c>
      <c r="Y4" s="6">
        <f>IF(H4&gt;0,LN(H4),"")</f>
        <v/>
      </c>
      <c r="Z4" s="6">
        <f>IF(I4&gt;0,LN(I4),"")</f>
        <v/>
      </c>
      <c r="AA4" s="6">
        <f>IF(J4&gt;0,LN(J4),"")</f>
        <v/>
      </c>
      <c r="AB4" s="6">
        <f>IF(N4&gt;0,LN(N4),"")</f>
        <v/>
      </c>
      <c r="AC4" s="6">
        <f>IF(O4&gt;0,LN(O4),"")</f>
        <v/>
      </c>
      <c r="AD4" s="6">
        <f>IF(P4&gt;0,LN(P4),"")</f>
        <v/>
      </c>
      <c r="AE4" s="6">
        <f>IF(AND(V4&lt;&gt;"",V3&lt;&gt;""),V4-V3,"")</f>
        <v/>
      </c>
      <c r="AF4" s="6">
        <f>IF(AND(V4&lt;&gt;"",AA4&lt;&gt;""),V4*AA4,"")</f>
        <v/>
      </c>
    </row>
    <row r="5">
      <c r="A5" s="4" t="inlineStr">
        <is>
          <t>2026Q4</t>
        </is>
      </c>
      <c r="B5" s="4" t="n">
        <v>2026</v>
      </c>
      <c r="C5" s="4" t="n">
        <v>4</v>
      </c>
      <c r="D5" s="4" t="n">
        <v>4</v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6">
        <f>IF(C5=2,1,0)</f>
        <v/>
      </c>
      <c r="R5" s="6">
        <f>IF(C5=3,1,0)</f>
        <v/>
      </c>
      <c r="S5" s="6">
        <f>IF(C5=4,1,0)</f>
        <v/>
      </c>
      <c r="T5" s="6">
        <f>IF(B5&gt;=2021,1,0)</f>
        <v/>
      </c>
      <c r="U5" s="6">
        <f>D5+104</f>
        <v/>
      </c>
      <c r="V5" s="6">
        <f>IF(E5&gt;0,LN(E5),"")</f>
        <v/>
      </c>
      <c r="W5" s="6">
        <f>IF(F5&gt;0,LN(F5),"")</f>
        <v/>
      </c>
      <c r="X5" s="6">
        <f>IF(G5&gt;0,LN(G5),"")</f>
        <v/>
      </c>
      <c r="Y5" s="6">
        <f>IF(H5&gt;0,LN(H5),"")</f>
        <v/>
      </c>
      <c r="Z5" s="6">
        <f>IF(I5&gt;0,LN(I5),"")</f>
        <v/>
      </c>
      <c r="AA5" s="6">
        <f>IF(J5&gt;0,LN(J5),"")</f>
        <v/>
      </c>
      <c r="AB5" s="6">
        <f>IF(N5&gt;0,LN(N5),"")</f>
        <v/>
      </c>
      <c r="AC5" s="6">
        <f>IF(O5&gt;0,LN(O5),"")</f>
        <v/>
      </c>
      <c r="AD5" s="6">
        <f>IF(P5&gt;0,LN(P5),"")</f>
        <v/>
      </c>
      <c r="AE5" s="6">
        <f>IF(AND(V5&lt;&gt;"",V4&lt;&gt;""),V5-V4,"")</f>
        <v/>
      </c>
      <c r="AF5" s="6">
        <f>IF(AND(V5&lt;&gt;"",AA5&lt;&gt;""),V5*AA5,"")</f>
        <v/>
      </c>
    </row>
    <row r="6">
      <c r="A6" s="4" t="inlineStr">
        <is>
          <t>2027Q1</t>
        </is>
      </c>
      <c r="B6" s="4" t="n">
        <v>2027</v>
      </c>
      <c r="C6" s="4" t="n">
        <v>1</v>
      </c>
      <c r="D6" s="4" t="n">
        <v>5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6">
        <f>IF(C6=2,1,0)</f>
        <v/>
      </c>
      <c r="R6" s="6">
        <f>IF(C6=3,1,0)</f>
        <v/>
      </c>
      <c r="S6" s="6">
        <f>IF(C6=4,1,0)</f>
        <v/>
      </c>
      <c r="T6" s="6">
        <f>IF(B6&gt;=2021,1,0)</f>
        <v/>
      </c>
      <c r="U6" s="6">
        <f>D6+104</f>
        <v/>
      </c>
      <c r="V6" s="6">
        <f>IF(E6&gt;0,LN(E6),"")</f>
        <v/>
      </c>
      <c r="W6" s="6">
        <f>IF(F6&gt;0,LN(F6),"")</f>
        <v/>
      </c>
      <c r="X6" s="6">
        <f>IF(G6&gt;0,LN(G6),"")</f>
        <v/>
      </c>
      <c r="Y6" s="6">
        <f>IF(H6&gt;0,LN(H6),"")</f>
        <v/>
      </c>
      <c r="Z6" s="6">
        <f>IF(I6&gt;0,LN(I6),"")</f>
        <v/>
      </c>
      <c r="AA6" s="6">
        <f>IF(J6&gt;0,LN(J6),"")</f>
        <v/>
      </c>
      <c r="AB6" s="6">
        <f>IF(N6&gt;0,LN(N6),"")</f>
        <v/>
      </c>
      <c r="AC6" s="6">
        <f>IF(O6&gt;0,LN(O6),"")</f>
        <v/>
      </c>
      <c r="AD6" s="6">
        <f>IF(P6&gt;0,LN(P6),"")</f>
        <v/>
      </c>
      <c r="AE6" s="6">
        <f>IF(AND(V6&lt;&gt;"",V5&lt;&gt;""),V6-V5,"")</f>
        <v/>
      </c>
      <c r="AF6" s="6">
        <f>IF(AND(V6&lt;&gt;"",AA6&lt;&gt;""),V6*AA6,"")</f>
        <v/>
      </c>
    </row>
    <row r="7">
      <c r="A7" s="4" t="inlineStr">
        <is>
          <t>2027Q2</t>
        </is>
      </c>
      <c r="B7" s="4" t="n">
        <v>2027</v>
      </c>
      <c r="C7" s="4" t="n">
        <v>2</v>
      </c>
      <c r="D7" s="4" t="n">
        <v>6</v>
      </c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>
        <f>IF(C7=2,1,0)</f>
        <v/>
      </c>
      <c r="R7" s="6">
        <f>IF(C7=3,1,0)</f>
        <v/>
      </c>
      <c r="S7" s="6">
        <f>IF(C7=4,1,0)</f>
        <v/>
      </c>
      <c r="T7" s="6">
        <f>IF(B7&gt;=2021,1,0)</f>
        <v/>
      </c>
      <c r="U7" s="6">
        <f>D7+104</f>
        <v/>
      </c>
      <c r="V7" s="6">
        <f>IF(E7&gt;0,LN(E7),"")</f>
        <v/>
      </c>
      <c r="W7" s="6">
        <f>IF(F7&gt;0,LN(F7),"")</f>
        <v/>
      </c>
      <c r="X7" s="6">
        <f>IF(G7&gt;0,LN(G7),"")</f>
        <v/>
      </c>
      <c r="Y7" s="6">
        <f>IF(H7&gt;0,LN(H7),"")</f>
        <v/>
      </c>
      <c r="Z7" s="6">
        <f>IF(I7&gt;0,LN(I7),"")</f>
        <v/>
      </c>
      <c r="AA7" s="6">
        <f>IF(J7&gt;0,LN(J7),"")</f>
        <v/>
      </c>
      <c r="AB7" s="6">
        <f>IF(N7&gt;0,LN(N7),"")</f>
        <v/>
      </c>
      <c r="AC7" s="6">
        <f>IF(O7&gt;0,LN(O7),"")</f>
        <v/>
      </c>
      <c r="AD7" s="6">
        <f>IF(P7&gt;0,LN(P7),"")</f>
        <v/>
      </c>
      <c r="AE7" s="6">
        <f>IF(AND(V7&lt;&gt;"",V6&lt;&gt;""),V7-V6,"")</f>
        <v/>
      </c>
      <c r="AF7" s="6">
        <f>IF(AND(V7&lt;&gt;"",AA7&lt;&gt;""),V7*AA7,"")</f>
        <v/>
      </c>
    </row>
    <row r="8">
      <c r="A8" s="4" t="inlineStr">
        <is>
          <t>2027Q3</t>
        </is>
      </c>
      <c r="B8" s="4" t="n">
        <v>2027</v>
      </c>
      <c r="C8" s="4" t="n">
        <v>3</v>
      </c>
      <c r="D8" s="4" t="n">
        <v>7</v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6">
        <f>IF(C8=2,1,0)</f>
        <v/>
      </c>
      <c r="R8" s="6">
        <f>IF(C8=3,1,0)</f>
        <v/>
      </c>
      <c r="S8" s="6">
        <f>IF(C8=4,1,0)</f>
        <v/>
      </c>
      <c r="T8" s="6">
        <f>IF(B8&gt;=2021,1,0)</f>
        <v/>
      </c>
      <c r="U8" s="6">
        <f>D8+104</f>
        <v/>
      </c>
      <c r="V8" s="6">
        <f>IF(E8&gt;0,LN(E8),"")</f>
        <v/>
      </c>
      <c r="W8" s="6">
        <f>IF(F8&gt;0,LN(F8),"")</f>
        <v/>
      </c>
      <c r="X8" s="6">
        <f>IF(G8&gt;0,LN(G8),"")</f>
        <v/>
      </c>
      <c r="Y8" s="6">
        <f>IF(H8&gt;0,LN(H8),"")</f>
        <v/>
      </c>
      <c r="Z8" s="6">
        <f>IF(I8&gt;0,LN(I8),"")</f>
        <v/>
      </c>
      <c r="AA8" s="6">
        <f>IF(J8&gt;0,LN(J8),"")</f>
        <v/>
      </c>
      <c r="AB8" s="6">
        <f>IF(N8&gt;0,LN(N8),"")</f>
        <v/>
      </c>
      <c r="AC8" s="6">
        <f>IF(O8&gt;0,LN(O8),"")</f>
        <v/>
      </c>
      <c r="AD8" s="6">
        <f>IF(P8&gt;0,LN(P8),"")</f>
        <v/>
      </c>
      <c r="AE8" s="6">
        <f>IF(AND(V8&lt;&gt;"",V7&lt;&gt;""),V8-V7,"")</f>
        <v/>
      </c>
      <c r="AF8" s="6">
        <f>IF(AND(V8&lt;&gt;"",AA8&lt;&gt;""),V8*AA8,"")</f>
        <v/>
      </c>
    </row>
    <row r="9">
      <c r="A9" s="4" t="inlineStr">
        <is>
          <t>2027Q4</t>
        </is>
      </c>
      <c r="B9" s="4" t="n">
        <v>2027</v>
      </c>
      <c r="C9" s="4" t="n">
        <v>4</v>
      </c>
      <c r="D9" s="4" t="n">
        <v>8</v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6">
        <f>IF(C9=2,1,0)</f>
        <v/>
      </c>
      <c r="R9" s="6">
        <f>IF(C9=3,1,0)</f>
        <v/>
      </c>
      <c r="S9" s="6">
        <f>IF(C9=4,1,0)</f>
        <v/>
      </c>
      <c r="T9" s="6">
        <f>IF(B9&gt;=2021,1,0)</f>
        <v/>
      </c>
      <c r="U9" s="6">
        <f>D9+104</f>
        <v/>
      </c>
      <c r="V9" s="6">
        <f>IF(E9&gt;0,LN(E9),"")</f>
        <v/>
      </c>
      <c r="W9" s="6">
        <f>IF(F9&gt;0,LN(F9),"")</f>
        <v/>
      </c>
      <c r="X9" s="6">
        <f>IF(G9&gt;0,LN(G9),"")</f>
        <v/>
      </c>
      <c r="Y9" s="6">
        <f>IF(H9&gt;0,LN(H9),"")</f>
        <v/>
      </c>
      <c r="Z9" s="6">
        <f>IF(I9&gt;0,LN(I9),"")</f>
        <v/>
      </c>
      <c r="AA9" s="6">
        <f>IF(J9&gt;0,LN(J9),"")</f>
        <v/>
      </c>
      <c r="AB9" s="6">
        <f>IF(N9&gt;0,LN(N9),"")</f>
        <v/>
      </c>
      <c r="AC9" s="6">
        <f>IF(O9&gt;0,LN(O9),"")</f>
        <v/>
      </c>
      <c r="AD9" s="6">
        <f>IF(P9&gt;0,LN(P9),"")</f>
        <v/>
      </c>
      <c r="AE9" s="6">
        <f>IF(AND(V9&lt;&gt;"",V8&lt;&gt;""),V9-V8,"")</f>
        <v/>
      </c>
      <c r="AF9" s="6">
        <f>IF(AND(V9&lt;&gt;"",AA9&lt;&gt;""),V9*AA9,"")</f>
        <v/>
      </c>
    </row>
    <row r="10">
      <c r="A10" s="4" t="inlineStr">
        <is>
          <t>2028Q1</t>
        </is>
      </c>
      <c r="B10" s="4" t="n">
        <v>2028</v>
      </c>
      <c r="C10" s="4" t="n">
        <v>1</v>
      </c>
      <c r="D10" s="4" t="n">
        <v>9</v>
      </c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6">
        <f>IF(C10=2,1,0)</f>
        <v/>
      </c>
      <c r="R10" s="6">
        <f>IF(C10=3,1,0)</f>
        <v/>
      </c>
      <c r="S10" s="6">
        <f>IF(C10=4,1,0)</f>
        <v/>
      </c>
      <c r="T10" s="6">
        <f>IF(B10&gt;=2021,1,0)</f>
        <v/>
      </c>
      <c r="U10" s="6">
        <f>D10+104</f>
        <v/>
      </c>
      <c r="V10" s="6">
        <f>IF(E10&gt;0,LN(E10),"")</f>
        <v/>
      </c>
      <c r="W10" s="6">
        <f>IF(F10&gt;0,LN(F10),"")</f>
        <v/>
      </c>
      <c r="X10" s="6">
        <f>IF(G10&gt;0,LN(G10),"")</f>
        <v/>
      </c>
      <c r="Y10" s="6">
        <f>IF(H10&gt;0,LN(H10),"")</f>
        <v/>
      </c>
      <c r="Z10" s="6">
        <f>IF(I10&gt;0,LN(I10),"")</f>
        <v/>
      </c>
      <c r="AA10" s="6">
        <f>IF(J10&gt;0,LN(J10),"")</f>
        <v/>
      </c>
      <c r="AB10" s="6">
        <f>IF(N10&gt;0,LN(N10),"")</f>
        <v/>
      </c>
      <c r="AC10" s="6">
        <f>IF(O10&gt;0,LN(O10),"")</f>
        <v/>
      </c>
      <c r="AD10" s="6">
        <f>IF(P10&gt;0,LN(P10),"")</f>
        <v/>
      </c>
      <c r="AE10" s="6">
        <f>IF(AND(V10&lt;&gt;"",V9&lt;&gt;""),V10-V9,"")</f>
        <v/>
      </c>
      <c r="AF10" s="6">
        <f>IF(AND(V10&lt;&gt;"",AA10&lt;&gt;""),V10*AA10,"")</f>
        <v/>
      </c>
    </row>
    <row r="11">
      <c r="A11" s="4" t="inlineStr">
        <is>
          <t>2028Q2</t>
        </is>
      </c>
      <c r="B11" s="4" t="n">
        <v>2028</v>
      </c>
      <c r="C11" s="4" t="n">
        <v>2</v>
      </c>
      <c r="D11" s="4" t="n">
        <v>10</v>
      </c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6">
        <f>IF(C11=2,1,0)</f>
        <v/>
      </c>
      <c r="R11" s="6">
        <f>IF(C11=3,1,0)</f>
        <v/>
      </c>
      <c r="S11" s="6">
        <f>IF(C11=4,1,0)</f>
        <v/>
      </c>
      <c r="T11" s="6">
        <f>IF(B11&gt;=2021,1,0)</f>
        <v/>
      </c>
      <c r="U11" s="6">
        <f>D11+104</f>
        <v/>
      </c>
      <c r="V11" s="6">
        <f>IF(E11&gt;0,LN(E11),"")</f>
        <v/>
      </c>
      <c r="W11" s="6">
        <f>IF(F11&gt;0,LN(F11),"")</f>
        <v/>
      </c>
      <c r="X11" s="6">
        <f>IF(G11&gt;0,LN(G11),"")</f>
        <v/>
      </c>
      <c r="Y11" s="6">
        <f>IF(H11&gt;0,LN(H11),"")</f>
        <v/>
      </c>
      <c r="Z11" s="6">
        <f>IF(I11&gt;0,LN(I11),"")</f>
        <v/>
      </c>
      <c r="AA11" s="6">
        <f>IF(J11&gt;0,LN(J11),"")</f>
        <v/>
      </c>
      <c r="AB11" s="6">
        <f>IF(N11&gt;0,LN(N11),"")</f>
        <v/>
      </c>
      <c r="AC11" s="6">
        <f>IF(O11&gt;0,LN(O11),"")</f>
        <v/>
      </c>
      <c r="AD11" s="6">
        <f>IF(P11&gt;0,LN(P11),"")</f>
        <v/>
      </c>
      <c r="AE11" s="6">
        <f>IF(AND(V11&lt;&gt;"",V10&lt;&gt;""),V11-V10,"")</f>
        <v/>
      </c>
      <c r="AF11" s="6">
        <f>IF(AND(V11&lt;&gt;"",AA11&lt;&gt;""),V11*AA11,"")</f>
        <v/>
      </c>
    </row>
    <row r="12">
      <c r="A12" s="4" t="inlineStr">
        <is>
          <t>2028Q3</t>
        </is>
      </c>
      <c r="B12" s="4" t="n">
        <v>2028</v>
      </c>
      <c r="C12" s="4" t="n">
        <v>3</v>
      </c>
      <c r="D12" s="4" t="n">
        <v>11</v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6">
        <f>IF(C12=2,1,0)</f>
        <v/>
      </c>
      <c r="R12" s="6">
        <f>IF(C12=3,1,0)</f>
        <v/>
      </c>
      <c r="S12" s="6">
        <f>IF(C12=4,1,0)</f>
        <v/>
      </c>
      <c r="T12" s="6">
        <f>IF(B12&gt;=2021,1,0)</f>
        <v/>
      </c>
      <c r="U12" s="6">
        <f>D12+104</f>
        <v/>
      </c>
      <c r="V12" s="6">
        <f>IF(E12&gt;0,LN(E12),"")</f>
        <v/>
      </c>
      <c r="W12" s="6">
        <f>IF(F12&gt;0,LN(F12),"")</f>
        <v/>
      </c>
      <c r="X12" s="6">
        <f>IF(G12&gt;0,LN(G12),"")</f>
        <v/>
      </c>
      <c r="Y12" s="6">
        <f>IF(H12&gt;0,LN(H12),"")</f>
        <v/>
      </c>
      <c r="Z12" s="6">
        <f>IF(I12&gt;0,LN(I12),"")</f>
        <v/>
      </c>
      <c r="AA12" s="6">
        <f>IF(J12&gt;0,LN(J12),"")</f>
        <v/>
      </c>
      <c r="AB12" s="6">
        <f>IF(N12&gt;0,LN(N12),"")</f>
        <v/>
      </c>
      <c r="AC12" s="6">
        <f>IF(O12&gt;0,LN(O12),"")</f>
        <v/>
      </c>
      <c r="AD12" s="6">
        <f>IF(P12&gt;0,LN(P12),"")</f>
        <v/>
      </c>
      <c r="AE12" s="6">
        <f>IF(AND(V12&lt;&gt;"",V11&lt;&gt;""),V12-V11,"")</f>
        <v/>
      </c>
      <c r="AF12" s="6">
        <f>IF(AND(V12&lt;&gt;"",AA12&lt;&gt;""),V12*AA12,"")</f>
        <v/>
      </c>
    </row>
    <row r="13">
      <c r="A13" s="4" t="inlineStr">
        <is>
          <t>2028Q4</t>
        </is>
      </c>
      <c r="B13" s="4" t="n">
        <v>2028</v>
      </c>
      <c r="C13" s="4" t="n">
        <v>4</v>
      </c>
      <c r="D13" s="4" t="n">
        <v>12</v>
      </c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6">
        <f>IF(C13=2,1,0)</f>
        <v/>
      </c>
      <c r="R13" s="6">
        <f>IF(C13=3,1,0)</f>
        <v/>
      </c>
      <c r="S13" s="6">
        <f>IF(C13=4,1,0)</f>
        <v/>
      </c>
      <c r="T13" s="6">
        <f>IF(B13&gt;=2021,1,0)</f>
        <v/>
      </c>
      <c r="U13" s="6">
        <f>D13+104</f>
        <v/>
      </c>
      <c r="V13" s="6">
        <f>IF(E13&gt;0,LN(E13),"")</f>
        <v/>
      </c>
      <c r="W13" s="6">
        <f>IF(F13&gt;0,LN(F13),"")</f>
        <v/>
      </c>
      <c r="X13" s="6">
        <f>IF(G13&gt;0,LN(G13),"")</f>
        <v/>
      </c>
      <c r="Y13" s="6">
        <f>IF(H13&gt;0,LN(H13),"")</f>
        <v/>
      </c>
      <c r="Z13" s="6">
        <f>IF(I13&gt;0,LN(I13),"")</f>
        <v/>
      </c>
      <c r="AA13" s="6">
        <f>IF(J13&gt;0,LN(J13),"")</f>
        <v/>
      </c>
      <c r="AB13" s="6">
        <f>IF(N13&gt;0,LN(N13),"")</f>
        <v/>
      </c>
      <c r="AC13" s="6">
        <f>IF(O13&gt;0,LN(O13),"")</f>
        <v/>
      </c>
      <c r="AD13" s="6">
        <f>IF(P13&gt;0,LN(P13),"")</f>
        <v/>
      </c>
      <c r="AE13" s="6">
        <f>IF(AND(V13&lt;&gt;"",V12&lt;&gt;""),V13-V12,"")</f>
        <v/>
      </c>
      <c r="AF13" s="6">
        <f>IF(AND(V13&lt;&gt;"",AA13&lt;&gt;""),V13*AA13,"")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AF13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2026-06-24T03:59:55Z</dcterms:created>
  <dcterms:modified xsi:type="dcterms:W3CDTF">2026-06-24T03:59:55Z</dcterms:modified>
</cp:coreProperties>
</file>