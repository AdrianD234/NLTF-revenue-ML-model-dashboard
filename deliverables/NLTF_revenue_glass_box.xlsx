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ad me" sheetId="1" state="visible" r:id="rId1"/>
    <sheet name="2. MoT VFM curves" sheetId="2" state="visible" r:id="rId2"/>
    <sheet name="3. Why an S-curve" sheetId="3" state="visible" r:id="rId3"/>
    <sheet name="4. Engine forecasts" sheetId="4" state="visible" r:id="rId4"/>
    <sheet name="5. Light fleet split" sheetId="5" state="visible" r:id="rId5"/>
    <sheet name="6. Rates &amp; revenue" sheetId="6" state="visible" r:id="rId6"/>
    <sheet name="7. NLTF rollup" sheetId="7" state="visible" r:id="rId7"/>
    <sheet name="8. Reconciliation" sheetId="8" state="visible" r:id="rId8"/>
    <sheet name="9. Mapping &amp; glossary" sheetId="9" state="visible" r:id="rId9"/>
  </sheets>
  <definedNames/>
  <calcPr calcId="124519" fullCalcOnLoad="1"/>
</workbook>
</file>

<file path=xl/styles.xml><?xml version="1.0" encoding="utf-8"?>
<styleSheet xmlns="http://schemas.openxmlformats.org/spreadsheetml/2006/main">
  <numFmts count="10">
    <numFmt numFmtId="164" formatCode="#,##0;(#,##0);&quot;-&quot;"/>
    <numFmt numFmtId="165" formatCode="0.0%;(0.0%);&quot;-&quot;"/>
    <numFmt numFmtId="166" formatCode="0.000"/>
    <numFmt numFmtId="167" formatCode="0.0"/>
    <numFmt numFmtId="168" formatCode="0.00000"/>
    <numFmt numFmtId="169" formatCode="#,##0.0"/>
    <numFmt numFmtId="170" formatCode="#,##0.0;(#,##0.0);&quot;-&quot;"/>
    <numFmt numFmtId="171" formatCode="0.000000"/>
    <numFmt numFmtId="172" formatCode="$0.0000"/>
    <numFmt numFmtId="173" formatCode="$0.00000"/>
  </numFmts>
  <fonts count="9">
    <font>
      <name val="Calibri"/>
      <family val="2"/>
      <color theme="1"/>
      <sz val="11"/>
      <scheme val="minor"/>
    </font>
    <font>
      <name val="Arial"/>
      <b val="1"/>
      <color rgb="00002B5C"/>
      <sz val="14"/>
    </font>
    <font>
      <name val="Arial"/>
      <color rgb="00334155"/>
      <sz val="9"/>
    </font>
    <font>
      <name val="Arial"/>
      <b val="1"/>
      <color rgb="00FFFFFF"/>
      <sz val="11"/>
    </font>
    <font>
      <name val="Arial"/>
      <sz val="10"/>
    </font>
    <font>
      <name val="Arial"/>
      <color rgb="000000FF"/>
      <sz val="10"/>
    </font>
    <font>
      <name val="Arial"/>
      <color rgb="00000000"/>
      <sz val="10"/>
    </font>
    <font>
      <name val="Arial"/>
      <color rgb="00008000"/>
      <sz val="10"/>
    </font>
    <font>
      <name val="Arial"/>
      <b val="1"/>
      <color rgb="00002B5C"/>
      <sz val="9"/>
    </font>
  </fonts>
  <fills count="5">
    <fill>
      <patternFill/>
    </fill>
    <fill>
      <patternFill patternType="gray125"/>
    </fill>
    <fill>
      <patternFill patternType="solid">
        <fgColor rgb="00002B5C"/>
      </patternFill>
    </fill>
    <fill>
      <patternFill patternType="solid">
        <fgColor rgb="00E6EDF5"/>
      </patternFill>
    </fill>
    <fill>
      <patternFill patternType="solid">
        <fgColor rgb="00ECFDF5"/>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
      <left/>
      <right/>
      <top style="thin">
        <color rgb="00CBD5E1"/>
      </top>
      <bottom style="thin">
        <color rgb="00CBD5E1"/>
      </bottom>
      <diagonal/>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4" fillId="0" borderId="0" pivotButton="0" quotePrefix="0" xfId="0"/>
    <xf numFmtId="0" fontId="8" fillId="0" borderId="0" pivotButton="0" quotePrefix="0" xfId="0"/>
    <xf numFmtId="0" fontId="2" fillId="0" borderId="0" applyAlignment="1" pivotButton="0" quotePrefix="0" xfId="0">
      <alignment vertical="top" wrapText="1"/>
    </xf>
    <xf numFmtId="0" fontId="8" fillId="3" borderId="0" pivotButton="0" quotePrefix="0" xfId="0"/>
    <xf numFmtId="0" fontId="8" fillId="3" borderId="1" applyAlignment="1" pivotButton="0" quotePrefix="0" xfId="0">
      <alignment vertical="top" wrapText="1"/>
    </xf>
    <xf numFmtId="164" fontId="4" fillId="0" borderId="1" pivotButton="0" quotePrefix="0" xfId="0"/>
    <xf numFmtId="165" fontId="5" fillId="0" borderId="1" pivotButton="0" quotePrefix="0" xfId="0"/>
    <xf numFmtId="165" fontId="7" fillId="0" borderId="1" pivotButton="0" quotePrefix="0" xfId="0"/>
    <xf numFmtId="165" fontId="6" fillId="0" borderId="1" pivotButton="0" quotePrefix="0" xfId="0"/>
    <xf numFmtId="166" fontId="6" fillId="0" borderId="1" pivotButton="0" quotePrefix="0" xfId="0"/>
    <xf numFmtId="0" fontId="8" fillId="0" borderId="1" pivotButton="0" quotePrefix="0" xfId="0"/>
    <xf numFmtId="0" fontId="0" fillId="0" borderId="4" pivotButton="0" quotePrefix="0" xfId="0"/>
    <xf numFmtId="166" fontId="6" fillId="4" borderId="1" pivotButton="0" quotePrefix="0" xfId="0"/>
    <xf numFmtId="166" fontId="7" fillId="4" borderId="1" pivotButton="0" quotePrefix="0" xfId="0"/>
    <xf numFmtId="0" fontId="4" fillId="0" borderId="1" pivotButton="0" quotePrefix="0" xfId="0"/>
    <xf numFmtId="164" fontId="5" fillId="0" borderId="1" pivotButton="0" quotePrefix="0" xfId="0"/>
    <xf numFmtId="2" fontId="5" fillId="0" borderId="1" pivotButton="0" quotePrefix="0" xfId="0"/>
    <xf numFmtId="167" fontId="5" fillId="0" borderId="1" pivotButton="0" quotePrefix="0" xfId="0"/>
    <xf numFmtId="2" fontId="6" fillId="0" borderId="1" pivotButton="0" quotePrefix="0" xfId="0"/>
    <xf numFmtId="166" fontId="5" fillId="0" borderId="1" pivotButton="0" quotePrefix="0" xfId="0"/>
    <xf numFmtId="168" fontId="5" fillId="0" borderId="1" pivotButton="0" quotePrefix="0" xfId="0"/>
    <xf numFmtId="168" fontId="6" fillId="0" borderId="1" pivotButton="0" quotePrefix="0" xfId="0"/>
    <xf numFmtId="2" fontId="6" fillId="4" borderId="1" pivotButton="0" quotePrefix="0" xfId="0"/>
    <xf numFmtId="0" fontId="2" fillId="0" borderId="1" pivotButton="0" quotePrefix="0" xfId="0"/>
    <xf numFmtId="169" fontId="5" fillId="0" borderId="1" pivotButton="0" quotePrefix="0" xfId="0"/>
    <xf numFmtId="3" fontId="5" fillId="0" borderId="1" pivotButton="0" quotePrefix="0" xfId="0"/>
    <xf numFmtId="170" fontId="6" fillId="0" borderId="1" pivotButton="0" quotePrefix="0" xfId="0"/>
    <xf numFmtId="170" fontId="7" fillId="0" borderId="1" pivotButton="0" quotePrefix="0" xfId="0"/>
    <xf numFmtId="170" fontId="5" fillId="0" borderId="1" pivotButton="0" quotePrefix="0" xfId="0"/>
    <xf numFmtId="171" fontId="6" fillId="4" borderId="1" pivotButton="0" quotePrefix="0" xfId="0"/>
    <xf numFmtId="172" fontId="6" fillId="0" borderId="1" pivotButton="0" quotePrefix="0" xfId="0"/>
    <xf numFmtId="173" fontId="6" fillId="0" borderId="1" pivotButton="0" quotePrefix="0" xfId="0"/>
    <xf numFmtId="0" fontId="8" fillId="4" borderId="0" pivotButton="0" quotePrefix="0" xfId="0"/>
    <xf numFmtId="0" fontId="4" fillId="0" borderId="1" applyAlignment="1" pivotButton="0" quotePrefix="0" xfId="0">
      <alignment vertical="top" wrapText="1"/>
    </xf>
    <xf numFmtId="0" fontId="2" fillId="0" borderId="1" applyAlignment="1" pivotButton="0" quotePrefix="0" xfId="0">
      <alignment vertical="top" wrapText="1"/>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3" customWidth="1" min="1" max="1"/>
    <col width="30" customWidth="1" min="2" max="2"/>
    <col width="100" customWidth="1" min="3" max="3"/>
    <col width="14" customWidth="1" min="4" max="4"/>
    <col width="14" customWidth="1" min="5" max="5"/>
    <col width="14" customWidth="1" min="6" max="6"/>
    <col width="14" customWidth="1" min="7" max="7"/>
  </cols>
  <sheetData>
    <row r="1">
      <c r="A1" s="1" t="inlineStr">
        <is>
          <t>NLTF revenue model - glass-box walkthrough</t>
        </is>
      </c>
    </row>
    <row r="2">
      <c r="A2" s="2" t="inlineStr">
        <is>
          <t>How the revenue forecasts on the dashboard are built, end to end, in plain language.</t>
        </is>
      </c>
    </row>
    <row r="4">
      <c r="A4" s="3" t="inlineStr">
        <is>
          <t>What this workbook shows</t>
        </is>
      </c>
      <c r="B4" s="4" t="n"/>
      <c r="C4" s="4" t="n"/>
    </row>
    <row r="5" ht="28" customHeight="1">
      <c r="B5" s="5" t="inlineStr">
        <is>
          <t>Our statistical models forecast three activity streams each quarter: petrol-vehicle travel per person (the AR(1) time-series model), light road-user-charge kilometres, and heavy road-user-charge kilometres.</t>
        </is>
      </c>
    </row>
    <row r="6" ht="28" customHeight="1">
      <c r="B6" s="5" t="inlineStr">
        <is>
          <t>Those forecasts are turned into revenue with assumptions taken directly from the Ministry of Transport: the MBU26 class mix (how light travel divides into petrol, conventional RUC, battery-electric and plug-in hybrid), fuel intensity (litres per 100 km), and the effective duty and RUC rates.</t>
        </is>
      </c>
    </row>
    <row r="7" ht="28" customHeight="1">
      <c r="B7" s="5" t="inlineStr">
        <is>
          <t>The electric-vehicle transition itself comes from MoT's Vehicle Fleet Model (VFM 202405): sheet 2 shows the official share curves, and sheet 3 shows the evidence that the S-shape is a property of the data - a no-fitting growth-rate signature, a nine-way form tournament judged on an unseen decade, a fleet-turnover reconstruction with no curve at all, and the observed NZ outturns - before presenting the dashboard's dials as measurements of that shape.</t>
        </is>
      </c>
    </row>
    <row r="8" ht="28" customHeight="1">
      <c r="B8" s="5" t="inlineStr">
        <is>
          <t>Sheets 4-7 then walk line by line from the model forecasts to total NLTF revenue. Sheet 8 proves the result: every line reconciles to the committed dashboard data to well under $0.01m.</t>
        </is>
      </c>
    </row>
    <row r="9" ht="28" customHeight="1">
      <c r="B9" s="5" t="inlineStr">
        <is>
          <t>No opaque weights are used anywhere: every step is an ordinary spreadsheet formula you can audit.</t>
        </is>
      </c>
    </row>
    <row r="11">
      <c r="A11" s="3" t="inlineStr">
        <is>
          <t>How to read the colours</t>
        </is>
      </c>
      <c r="B11" s="4" t="n"/>
      <c r="C11" s="4" t="n"/>
    </row>
    <row r="12">
      <c r="B12" s="6" t="inlineStr">
        <is>
          <t>Blue - an input taken from a named source (the source cell/row is written beside it)</t>
        </is>
      </c>
    </row>
    <row r="13">
      <c r="B13" s="7" t="inlineStr">
        <is>
          <t>Black - a formula computed on the same sheet</t>
        </is>
      </c>
    </row>
    <row r="14">
      <c r="B14" s="8" t="inlineStr">
        <is>
          <t>Green - a value linked from another sheet in this workbook</t>
        </is>
      </c>
    </row>
    <row r="16">
      <c r="A16" s="3" t="inlineStr">
        <is>
          <t>The pipeline at a glance</t>
        </is>
      </c>
      <c r="B16" s="4" t="n"/>
      <c r="C16" s="4" t="n"/>
    </row>
    <row r="17">
      <c r="B17" s="9" t="inlineStr">
        <is>
          <t>Model forecasts (sheet 4)  -&gt;  light-fleet split using MoT class mix (sheet 5)  -&gt;  litres, rates and revenue per stream (sheet 6)  -&gt;  NLTF rollup (sheet 7)  -&gt;  reconciliation to the dashboard (sheet 8)</t>
        </is>
      </c>
    </row>
    <row r="19">
      <c r="A19" s="3" t="inlineStr">
        <is>
          <t>Provenance (hash-verified sources)</t>
        </is>
      </c>
      <c r="B19" s="4" t="n"/>
      <c r="C19" s="4" t="n"/>
    </row>
    <row r="20">
      <c r="B20" s="10" t="inlineStr">
        <is>
          <t>MoT Vehicle Fleet Model outputs</t>
        </is>
      </c>
      <c r="C20" s="2" t="inlineStr">
        <is>
          <t>data/source_workbooks/VFM202405_outputs_summary_V3.xlsx   |   2c49dc3e2fd6b4f083c0d8e8f52b36f34216bc37eac78ed4329347692ac4b4ab</t>
        </is>
      </c>
    </row>
    <row r="21">
      <c r="B21" s="10" t="inlineStr">
        <is>
          <t>VFM documentation</t>
        </is>
      </c>
      <c r="C21" s="2" t="inlineStr">
        <is>
          <t>data/source_workbooks/Vehicle-Fleet-Model-Documentation_202405_v7.pdf   |   4cf223d522545131b9cba0d8a765ff0d3a56f751bb7192e97306d61e942fdd4c</t>
        </is>
      </c>
    </row>
    <row r="22">
      <c r="B22" s="10" t="inlineStr">
        <is>
          <t>MBU26 official spine</t>
        </is>
      </c>
      <c r="C22" s="2" t="inlineStr">
        <is>
          <t>data/revenue_model_source_pack/mbu26_annual_spine/mbu26_official_annual.csv   |   row/cell references quoted per line in sheets 5-7</t>
        </is>
      </c>
    </row>
    <row r="23">
      <c r="B23" s="10" t="inlineStr">
        <is>
          <t>Committed dashboard pack (AR(1) engine)</t>
        </is>
      </c>
      <c r="C23" s="2" t="inlineStr">
        <is>
          <t>data/engine_ar1/current_revenue_outlook/   |   reconciled line by line on sheet 8</t>
        </is>
      </c>
    </row>
    <row r="25">
      <c r="A25" s="3" t="inlineStr">
        <is>
          <t>Scope notes</t>
        </is>
      </c>
      <c r="B25" s="4" t="n"/>
      <c r="C25" s="4" t="n"/>
    </row>
    <row r="26" ht="24" customHeight="1">
      <c r="B26" s="11" t="inlineStr">
        <is>
          <t>Scenario: Base case, June years FY2026-FY2050 (the dashboard's default view). FY2025 is anchored to published MBU26 actuals and is not recomputed.</t>
        </is>
      </c>
    </row>
    <row r="27" ht="24" customHeight="1">
      <c r="B27" s="11" t="inlineStr">
        <is>
          <t>All revenue is $m nominal, excluding GST - the same basis as MBU26. June year FY(t) runs July(t-1) to June(t).</t>
        </is>
      </c>
    </row>
    <row r="28" ht="24" customHeight="1">
      <c r="B28" s="11" t="inlineStr">
        <is>
          <t>Admin fees, refunds, LPG/CNG, motor-vehicle registration components and the track-user charge are taken directly from MBU26 (they are not modelled); each is labelled with its MBU26 source cell.</t>
        </is>
      </c>
    </row>
    <row r="29" ht="24" customHeight="1">
      <c r="B29" s="11" t="inlineStr">
        <is>
          <t>The e-RUC transition and the advanced dashboard levers are display-time what-ifs and sit outside this committed baseline.</t>
        </is>
      </c>
    </row>
  </sheetData>
  <mergeCells count="9">
    <mergeCell ref="B6:C6"/>
    <mergeCell ref="B29:C29"/>
    <mergeCell ref="B7:C7"/>
    <mergeCell ref="B5:C5"/>
    <mergeCell ref="B27:C27"/>
    <mergeCell ref="B28:C28"/>
    <mergeCell ref="B26:C26"/>
    <mergeCell ref="B9:C9"/>
    <mergeCell ref="B8:C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c r="A1" s="1" t="inlineStr">
        <is>
          <t>MoT Vehicle Fleet Model 202405 - official share curves</t>
        </is>
      </c>
    </row>
    <row r="2">
      <c r="A2" s="2" t="inlineStr">
        <is>
          <t>Read straight from the MoT workbook, sheet 'Raw data (wem202405)' (WEM = with existing measures). Light pool = diesel + diesel-hybrid (conventional) + battery-electric + petrol plug-in VKT for light passenger + light commercial vehicles. June year = average of the two calendar years.</t>
        </is>
      </c>
    </row>
    <row r="4">
      <c r="A4" s="3" t="inlineStr">
        <is>
          <t>Share of the light RUC pool by power type, plus heavy electric share and petrol share of all light travel</t>
        </is>
      </c>
      <c r="B4" s="4" t="n"/>
      <c r="C4" s="4" t="n"/>
      <c r="D4" s="4" t="n"/>
      <c r="E4" s="4" t="n"/>
      <c r="F4" s="4" t="n"/>
      <c r="G4" s="4" t="n"/>
      <c r="H4" s="4" t="n"/>
      <c r="I4" s="4" t="n"/>
      <c r="J4" s="4" t="n"/>
      <c r="K4" s="4" t="n"/>
      <c r="L4" s="4" t="n"/>
      <c r="M4" s="4" t="n"/>
      <c r="N4" s="4" t="n"/>
      <c r="O4" s="4" t="n"/>
      <c r="P4" s="4" t="n"/>
      <c r="Q4" s="4" t="n"/>
    </row>
    <row r="5">
      <c r="B5" s="12" t="inlineStr">
        <is>
          <t>Base EV scenario</t>
        </is>
      </c>
      <c r="G5" s="12" t="inlineStr">
        <is>
          <t>Fast EV scenario</t>
        </is>
      </c>
      <c r="L5" s="12" t="inlineStr">
        <is>
          <t>Slow EV scenario</t>
        </is>
      </c>
    </row>
    <row r="6">
      <c r="A6" s="13" t="inlineStr">
        <is>
          <t>June year</t>
        </is>
      </c>
      <c r="B6" s="13" t="inlineStr">
        <is>
          <t>Conventional light (share)</t>
        </is>
      </c>
      <c r="C6" s="13" t="inlineStr">
        <is>
          <t>Battery-electric light (share)</t>
        </is>
      </c>
      <c r="D6" s="13" t="inlineStr">
        <is>
          <t>Plug-in hybrid (share)</t>
        </is>
      </c>
      <c r="E6" s="13" t="inlineStr">
        <is>
          <t>Heavy electric (share)</t>
        </is>
      </c>
      <c r="F6" s="13" t="inlineStr">
        <is>
          <t>Petrol share of light VKT</t>
        </is>
      </c>
      <c r="G6" s="13" t="inlineStr">
        <is>
          <t>Conventional light (share)</t>
        </is>
      </c>
      <c r="H6" s="13" t="inlineStr">
        <is>
          <t>Battery-electric light (share)</t>
        </is>
      </c>
      <c r="I6" s="13" t="inlineStr">
        <is>
          <t>Plug-in hybrid (share)</t>
        </is>
      </c>
      <c r="J6" s="13" t="inlineStr">
        <is>
          <t>Heavy electric (share)</t>
        </is>
      </c>
      <c r="K6" s="13" t="inlineStr">
        <is>
          <t>Petrol share of light VKT</t>
        </is>
      </c>
      <c r="L6" s="13" t="inlineStr">
        <is>
          <t>Conventional light (share)</t>
        </is>
      </c>
      <c r="M6" s="13" t="inlineStr">
        <is>
          <t>Battery-electric light (share)</t>
        </is>
      </c>
      <c r="N6" s="13" t="inlineStr">
        <is>
          <t>Plug-in hybrid (share)</t>
        </is>
      </c>
      <c r="O6" s="13" t="inlineStr">
        <is>
          <t>Heavy electric (share)</t>
        </is>
      </c>
      <c r="P6" s="13" t="inlineStr">
        <is>
          <t>Petrol share of light VKT</t>
        </is>
      </c>
    </row>
    <row r="7">
      <c r="A7" s="14" t="n">
        <v>2025</v>
      </c>
      <c r="B7" s="15" t="n">
        <v>0.892358</v>
      </c>
      <c r="C7" s="15" t="n">
        <v>0.072132</v>
      </c>
      <c r="D7" s="15" t="n">
        <v>0.03551</v>
      </c>
      <c r="E7" s="15" t="n">
        <v>0.001932</v>
      </c>
      <c r="F7" s="15" t="n">
        <v>0.682852</v>
      </c>
      <c r="G7" s="15" t="n">
        <v>0.886565</v>
      </c>
      <c r="H7" s="15" t="n">
        <v>0.07474600000000001</v>
      </c>
      <c r="I7" s="15" t="n">
        <v>0.038689</v>
      </c>
      <c r="J7" s="15" t="n">
        <v>0.001992</v>
      </c>
      <c r="K7" s="15" t="n">
        <v>0.681079</v>
      </c>
      <c r="L7" s="15" t="n">
        <v>0.901566</v>
      </c>
      <c r="M7" s="15" t="n">
        <v>0.06485200000000001</v>
      </c>
      <c r="N7" s="15" t="n">
        <v>0.033583</v>
      </c>
      <c r="O7" s="15" t="n">
        <v>0.001803</v>
      </c>
      <c r="P7" s="15" t="n">
        <v>0.685554</v>
      </c>
    </row>
    <row r="8">
      <c r="A8" s="14" t="n">
        <v>2026</v>
      </c>
      <c r="B8" s="15" t="n">
        <v>0.871553</v>
      </c>
      <c r="C8" s="15" t="n">
        <v>0.0843</v>
      </c>
      <c r="D8" s="15" t="n">
        <v>0.044146</v>
      </c>
      <c r="E8" s="15" t="n">
        <v>0.002179</v>
      </c>
      <c r="F8" s="15" t="n">
        <v>0.6772</v>
      </c>
      <c r="G8" s="15" t="n">
        <v>0.860699</v>
      </c>
      <c r="H8" s="15" t="n">
        <v>0.08871800000000001</v>
      </c>
      <c r="I8" s="15" t="n">
        <v>0.050583</v>
      </c>
      <c r="J8" s="15" t="n">
        <v>0.002317</v>
      </c>
      <c r="K8" s="15" t="n">
        <v>0.674189</v>
      </c>
      <c r="L8" s="15" t="n">
        <v>0.887705</v>
      </c>
      <c r="M8" s="15" t="n">
        <v>0.072452</v>
      </c>
      <c r="N8" s="15" t="n">
        <v>0.039843</v>
      </c>
      <c r="O8" s="15" t="n">
        <v>0.001905</v>
      </c>
      <c r="P8" s="15" t="n">
        <v>0.68194</v>
      </c>
    </row>
    <row r="9">
      <c r="A9" s="14" t="n">
        <v>2027</v>
      </c>
      <c r="B9" s="15" t="n">
        <v>0.8438870000000001</v>
      </c>
      <c r="C9" s="15" t="n">
        <v>0.100828</v>
      </c>
      <c r="D9" s="15" t="n">
        <v>0.055284</v>
      </c>
      <c r="E9" s="15" t="n">
        <v>0.002525</v>
      </c>
      <c r="F9" s="15" t="n">
        <v>0.669529</v>
      </c>
      <c r="G9" s="15" t="n">
        <v>0.825712</v>
      </c>
      <c r="H9" s="15" t="n">
        <v>0.108262</v>
      </c>
      <c r="I9" s="15" t="n">
        <v>0.066026</v>
      </c>
      <c r="J9" s="15" t="n">
        <v>0.002807</v>
      </c>
      <c r="K9" s="15" t="n">
        <v>0.664652</v>
      </c>
      <c r="L9" s="15" t="n">
        <v>0.869223</v>
      </c>
      <c r="M9" s="15" t="n">
        <v>0.082746</v>
      </c>
      <c r="N9" s="15" t="n">
        <v>0.048031</v>
      </c>
      <c r="O9" s="15" t="n">
        <v>0.002051</v>
      </c>
      <c r="P9" s="15" t="n">
        <v>0.677005</v>
      </c>
    </row>
    <row r="10">
      <c r="A10" s="14" t="n">
        <v>2028</v>
      </c>
      <c r="B10" s="15" t="n">
        <v>0.809462</v>
      </c>
      <c r="C10" s="15" t="n">
        <v>0.122362</v>
      </c>
      <c r="D10" s="15" t="n">
        <v>0.068176</v>
      </c>
      <c r="E10" s="15" t="n">
        <v>0.003192</v>
      </c>
      <c r="F10" s="15" t="n">
        <v>0.659778</v>
      </c>
      <c r="G10" s="15" t="n">
        <v>0.783022</v>
      </c>
      <c r="H10" s="15" t="n">
        <v>0.134209</v>
      </c>
      <c r="I10" s="15" t="n">
        <v>0.082769</v>
      </c>
      <c r="J10" s="15" t="n">
        <v>0.003798</v>
      </c>
      <c r="K10" s="15" t="n">
        <v>0.652474</v>
      </c>
      <c r="L10" s="15" t="n">
        <v>0.844429</v>
      </c>
      <c r="M10" s="15" t="n">
        <v>0.097848</v>
      </c>
      <c r="N10" s="15" t="n">
        <v>0.057723</v>
      </c>
      <c r="O10" s="15" t="n">
        <v>0.002414</v>
      </c>
      <c r="P10" s="15" t="n">
        <v>0.670367</v>
      </c>
    </row>
    <row r="11">
      <c r="A11" s="14" t="n">
        <v>2029</v>
      </c>
      <c r="B11" s="15" t="n">
        <v>0.771248</v>
      </c>
      <c r="C11" s="15" t="n">
        <v>0.14713</v>
      </c>
      <c r="D11" s="15" t="n">
        <v>0.081621</v>
      </c>
      <c r="E11" s="15" t="n">
        <v>0.00433</v>
      </c>
      <c r="F11" s="15" t="n">
        <v>0.648739</v>
      </c>
      <c r="G11" s="15" t="n">
        <v>0.7366819999999999</v>
      </c>
      <c r="H11" s="15" t="n">
        <v>0.164417</v>
      </c>
      <c r="I11" s="15" t="n">
        <v>0.098901</v>
      </c>
      <c r="J11" s="15" t="n">
        <v>0.00556</v>
      </c>
      <c r="K11" s="15" t="n">
        <v>0.638693</v>
      </c>
      <c r="L11" s="15" t="n">
        <v>0.8147489999999999</v>
      </c>
      <c r="M11" s="15" t="n">
        <v>0.116915</v>
      </c>
      <c r="N11" s="15" t="n">
        <v>0.06833599999999999</v>
      </c>
      <c r="O11" s="15" t="n">
        <v>0.003095</v>
      </c>
      <c r="P11" s="15" t="n">
        <v>0.662481</v>
      </c>
    </row>
    <row r="12">
      <c r="A12" s="14" t="n">
        <v>2030</v>
      </c>
      <c r="B12" s="15" t="n">
        <v>0.732447</v>
      </c>
      <c r="C12" s="15" t="n">
        <v>0.172989</v>
      </c>
      <c r="D12" s="15" t="n">
        <v>0.094564</v>
      </c>
      <c r="E12" s="15" t="n">
        <v>0.005965</v>
      </c>
      <c r="F12" s="15" t="n">
        <v>0.6371559999999999</v>
      </c>
      <c r="G12" s="15" t="n">
        <v>0.690103</v>
      </c>
      <c r="H12" s="15" t="n">
        <v>0.196166</v>
      </c>
      <c r="I12" s="15" t="n">
        <v>0.113731</v>
      </c>
      <c r="J12" s="15" t="n">
        <v>0.008215999999999999</v>
      </c>
      <c r="K12" s="15" t="n">
        <v>0.624099</v>
      </c>
      <c r="L12" s="15" t="n">
        <v>0.783782</v>
      </c>
      <c r="M12" s="15" t="n">
        <v>0.13728</v>
      </c>
      <c r="N12" s="15" t="n">
        <v>0.07893799999999999</v>
      </c>
      <c r="O12" s="15" t="n">
        <v>0.004054</v>
      </c>
      <c r="P12" s="15" t="n">
        <v>0.654162</v>
      </c>
    </row>
    <row r="13">
      <c r="A13" s="14" t="n">
        <v>2031</v>
      </c>
      <c r="B13" s="15" t="n">
        <v>0.694056</v>
      </c>
      <c r="C13" s="15" t="n">
        <v>0.199459</v>
      </c>
      <c r="D13" s="15" t="n">
        <v>0.106485</v>
      </c>
      <c r="E13" s="15" t="n">
        <v>0.008248</v>
      </c>
      <c r="F13" s="15" t="n">
        <v>0.62527</v>
      </c>
      <c r="G13" s="15" t="n">
        <v>0.644526</v>
      </c>
      <c r="H13" s="15" t="n">
        <v>0.228373</v>
      </c>
      <c r="I13" s="15" t="n">
        <v>0.127101</v>
      </c>
      <c r="J13" s="15" t="n">
        <v>0.01211</v>
      </c>
      <c r="K13" s="15" t="n">
        <v>0.608828</v>
      </c>
      <c r="L13" s="15" t="n">
        <v>0.753142</v>
      </c>
      <c r="M13" s="15" t="n">
        <v>0.157968</v>
      </c>
      <c r="N13" s="15" t="n">
        <v>0.08889</v>
      </c>
      <c r="O13" s="15" t="n">
        <v>0.005305</v>
      </c>
      <c r="P13" s="15" t="n">
        <v>0.645784</v>
      </c>
    </row>
    <row r="14">
      <c r="A14" s="14" t="n">
        <v>2032</v>
      </c>
      <c r="B14" s="15" t="n">
        <v>0.655046</v>
      </c>
      <c r="C14" s="15" t="n">
        <v>0.227075</v>
      </c>
      <c r="D14" s="15" t="n">
        <v>0.117879</v>
      </c>
      <c r="E14" s="15" t="n">
        <v>0.011465</v>
      </c>
      <c r="F14" s="15" t="n">
        <v>0.612422</v>
      </c>
      <c r="G14" s="15" t="n">
        <v>0.599059</v>
      </c>
      <c r="H14" s="15" t="n">
        <v>0.261642</v>
      </c>
      <c r="I14" s="15" t="n">
        <v>0.1393</v>
      </c>
      <c r="J14" s="15" t="n">
        <v>0.017855</v>
      </c>
      <c r="K14" s="15" t="n">
        <v>0.592261</v>
      </c>
      <c r="L14" s="15" t="n">
        <v>0.722167</v>
      </c>
      <c r="M14" s="15" t="n">
        <v>0.179424</v>
      </c>
      <c r="N14" s="15" t="n">
        <v>0.098409</v>
      </c>
      <c r="O14" s="15" t="n">
        <v>0.006932</v>
      </c>
      <c r="P14" s="15" t="n">
        <v>0.636907</v>
      </c>
    </row>
    <row r="15">
      <c r="A15" s="14" t="n">
        <v>2033</v>
      </c>
      <c r="B15" s="15" t="n">
        <v>0.6149520000000001</v>
      </c>
      <c r="C15" s="15" t="n">
        <v>0.256837</v>
      </c>
      <c r="D15" s="15" t="n">
        <v>0.12821</v>
      </c>
      <c r="E15" s="15" t="n">
        <v>0.015686</v>
      </c>
      <c r="F15" s="15" t="n">
        <v>0.597969</v>
      </c>
      <c r="G15" s="15" t="n">
        <v>0.553243</v>
      </c>
      <c r="H15" s="15" t="n">
        <v>0.297176</v>
      </c>
      <c r="I15" s="15" t="n">
        <v>0.149581</v>
      </c>
      <c r="J15" s="15" t="n">
        <v>0.025776</v>
      </c>
      <c r="K15" s="15" t="n">
        <v>0.573856</v>
      </c>
      <c r="L15" s="15" t="n">
        <v>0.690293</v>
      </c>
      <c r="M15" s="15" t="n">
        <v>0.202578</v>
      </c>
      <c r="N15" s="15" t="n">
        <v>0.107129</v>
      </c>
      <c r="O15" s="15" t="n">
        <v>0.008909</v>
      </c>
      <c r="P15" s="15" t="n">
        <v>0.626973</v>
      </c>
    </row>
    <row r="16">
      <c r="A16" s="14" t="n">
        <v>2034</v>
      </c>
      <c r="B16" s="15" t="n">
        <v>0.573192</v>
      </c>
      <c r="C16" s="15" t="n">
        <v>0.290136</v>
      </c>
      <c r="D16" s="15" t="n">
        <v>0.136672</v>
      </c>
      <c r="E16" s="15" t="n">
        <v>0.020694</v>
      </c>
      <c r="F16" s="15" t="n">
        <v>0.581547</v>
      </c>
      <c r="G16" s="15" t="n">
        <v>0.506409</v>
      </c>
      <c r="H16" s="15" t="n">
        <v>0.336032</v>
      </c>
      <c r="I16" s="15" t="n">
        <v>0.157559</v>
      </c>
      <c r="J16" s="15" t="n">
        <v>0.035671</v>
      </c>
      <c r="K16" s="15" t="n">
        <v>0.553045</v>
      </c>
      <c r="L16" s="15" t="n">
        <v>0.656578</v>
      </c>
      <c r="M16" s="15" t="n">
        <v>0.228937</v>
      </c>
      <c r="N16" s="15" t="n">
        <v>0.114485</v>
      </c>
      <c r="O16" s="15" t="n">
        <v>0.011106</v>
      </c>
      <c r="P16" s="15" t="n">
        <v>0.615689</v>
      </c>
    </row>
    <row r="17">
      <c r="A17" s="14" t="n">
        <v>2035</v>
      </c>
      <c r="B17" s="15" t="n">
        <v>0.530272</v>
      </c>
      <c r="C17" s="15" t="n">
        <v>0.327151</v>
      </c>
      <c r="D17" s="15" t="n">
        <v>0.142577</v>
      </c>
      <c r="E17" s="15" t="n">
        <v>0.026349</v>
      </c>
      <c r="F17" s="15" t="n">
        <v>0.5627760000000001</v>
      </c>
      <c r="G17" s="15" t="n">
        <v>0.459004</v>
      </c>
      <c r="H17" s="15" t="n">
        <v>0.378044</v>
      </c>
      <c r="I17" s="15" t="n">
        <v>0.162952</v>
      </c>
      <c r="J17" s="15" t="n">
        <v>0.047285</v>
      </c>
      <c r="K17" s="15" t="n">
        <v>0.529479</v>
      </c>
      <c r="L17" s="15" t="n">
        <v>0.621051</v>
      </c>
      <c r="M17" s="15" t="n">
        <v>0.258895</v>
      </c>
      <c r="N17" s="15" t="n">
        <v>0.120054</v>
      </c>
      <c r="O17" s="15" t="n">
        <v>0.013453</v>
      </c>
      <c r="P17" s="15" t="n">
        <v>0.602654</v>
      </c>
    </row>
    <row r="18">
      <c r="A18" s="14" t="n">
        <v>2036</v>
      </c>
      <c r="B18" s="15" t="n">
        <v>0.48761</v>
      </c>
      <c r="C18" s="15" t="n">
        <v>0.36751</v>
      </c>
      <c r="D18" s="15" t="n">
        <v>0.14488</v>
      </c>
      <c r="E18" s="15" t="n">
        <v>0.032767</v>
      </c>
      <c r="F18" s="15" t="n">
        <v>0.54169</v>
      </c>
      <c r="G18" s="15" t="n">
        <v>0.4129</v>
      </c>
      <c r="H18" s="15" t="n">
        <v>0.422558</v>
      </c>
      <c r="I18" s="15" t="n">
        <v>0.164542</v>
      </c>
      <c r="J18" s="15" t="n">
        <v>0.060637</v>
      </c>
      <c r="K18" s="15" t="n">
        <v>0.503517</v>
      </c>
      <c r="L18" s="15" t="n">
        <v>0.584361</v>
      </c>
      <c r="M18" s="15" t="n">
        <v>0.292092</v>
      </c>
      <c r="N18" s="15" t="n">
        <v>0.123547</v>
      </c>
      <c r="O18" s="15" t="n">
        <v>0.01604</v>
      </c>
      <c r="P18" s="15" t="n">
        <v>0.587642</v>
      </c>
    </row>
    <row r="19">
      <c r="A19" s="14" t="n">
        <v>2037</v>
      </c>
      <c r="B19" s="15" t="n">
        <v>0.445254</v>
      </c>
      <c r="C19" s="15" t="n">
        <v>0.411012</v>
      </c>
      <c r="D19" s="15" t="n">
        <v>0.143734</v>
      </c>
      <c r="E19" s="15" t="n">
        <v>0.040042</v>
      </c>
      <c r="F19" s="15" t="n">
        <v>0.518171</v>
      </c>
      <c r="G19" s="15" t="n">
        <v>0.369239</v>
      </c>
      <c r="H19" s="15" t="n">
        <v>0.469003</v>
      </c>
      <c r="I19" s="15" t="n">
        <v>0.161759</v>
      </c>
      <c r="J19" s="15" t="n">
        <v>0.075615</v>
      </c>
      <c r="K19" s="15" t="n">
        <v>0.475521</v>
      </c>
      <c r="L19" s="15" t="n">
        <v>0.5462320000000001</v>
      </c>
      <c r="M19" s="15" t="n">
        <v>0.32875</v>
      </c>
      <c r="N19" s="15" t="n">
        <v>0.125018</v>
      </c>
      <c r="O19" s="15" t="n">
        <v>0.018978</v>
      </c>
      <c r="P19" s="15" t="n">
        <v>0.570434</v>
      </c>
    </row>
    <row r="20">
      <c r="A20" s="14" t="n">
        <v>2038</v>
      </c>
      <c r="B20" s="15" t="n">
        <v>0.403268</v>
      </c>
      <c r="C20" s="15" t="n">
        <v>0.45657</v>
      </c>
      <c r="D20" s="15" t="n">
        <v>0.140162</v>
      </c>
      <c r="E20" s="15" t="n">
        <v>0.048134</v>
      </c>
      <c r="F20" s="15" t="n">
        <v>0.492029</v>
      </c>
      <c r="G20" s="15" t="n">
        <v>0.328226</v>
      </c>
      <c r="H20" s="15" t="n">
        <v>0.515715</v>
      </c>
      <c r="I20" s="15" t="n">
        <v>0.156059</v>
      </c>
      <c r="J20" s="15" t="n">
        <v>0.091957</v>
      </c>
      <c r="K20" s="15" t="n">
        <v>0.445648</v>
      </c>
      <c r="L20" s="15" t="n">
        <v>0.506345</v>
      </c>
      <c r="M20" s="15" t="n">
        <v>0.369131</v>
      </c>
      <c r="N20" s="15" t="n">
        <v>0.124524</v>
      </c>
      <c r="O20" s="15" t="n">
        <v>0.022289</v>
      </c>
      <c r="P20" s="15" t="n">
        <v>0.550597</v>
      </c>
    </row>
    <row r="21">
      <c r="A21" s="14" t="n">
        <v>2039</v>
      </c>
      <c r="B21" s="15" t="n">
        <v>0.361796</v>
      </c>
      <c r="C21" s="15" t="n">
        <v>0.503171</v>
      </c>
      <c r="D21" s="15" t="n">
        <v>0.135033</v>
      </c>
      <c r="E21" s="15" t="n">
        <v>0.05697</v>
      </c>
      <c r="F21" s="15" t="n">
        <v>0.462934</v>
      </c>
      <c r="G21" s="15" t="n">
        <v>0.290069</v>
      </c>
      <c r="H21" s="15" t="n">
        <v>0.562581</v>
      </c>
      <c r="I21" s="15" t="n">
        <v>0.14735</v>
      </c>
      <c r="J21" s="15" t="n">
        <v>0.109417</v>
      </c>
      <c r="K21" s="15" t="n">
        <v>0.414547</v>
      </c>
      <c r="L21" s="15" t="n">
        <v>0.464195</v>
      </c>
      <c r="M21" s="15" t="n">
        <v>0.413653</v>
      </c>
      <c r="N21" s="15" t="n">
        <v>0.122151</v>
      </c>
      <c r="O21" s="15" t="n">
        <v>0.025961</v>
      </c>
      <c r="P21" s="15" t="n">
        <v>0.527439</v>
      </c>
    </row>
    <row r="22">
      <c r="A22" s="14" t="n">
        <v>2040</v>
      </c>
      <c r="B22" s="15" t="n">
        <v>0.322306</v>
      </c>
      <c r="C22" s="15" t="n">
        <v>0.550009</v>
      </c>
      <c r="D22" s="15" t="n">
        <v>0.127685</v>
      </c>
      <c r="E22" s="15" t="n">
        <v>0.066513</v>
      </c>
      <c r="F22" s="15" t="n">
        <v>0.431582</v>
      </c>
      <c r="G22" s="15" t="n">
        <v>0.255155</v>
      </c>
      <c r="H22" s="15" t="n">
        <v>0.608517</v>
      </c>
      <c r="I22" s="15" t="n">
        <v>0.136328</v>
      </c>
      <c r="J22" s="15" t="n">
        <v>0.1278</v>
      </c>
      <c r="K22" s="15" t="n">
        <v>0.382364</v>
      </c>
      <c r="L22" s="15" t="n">
        <v>0.420874</v>
      </c>
      <c r="M22" s="15" t="n">
        <v>0.460984</v>
      </c>
      <c r="N22" s="15" t="n">
        <v>0.118142</v>
      </c>
      <c r="O22" s="15" t="n">
        <v>0.030011</v>
      </c>
      <c r="P22" s="15" t="n">
        <v>0.500439</v>
      </c>
    </row>
    <row r="23">
      <c r="A23" s="14" t="n">
        <v>2041</v>
      </c>
      <c r="B23" s="15" t="n">
        <v>0.286889</v>
      </c>
      <c r="C23" s="15" t="n">
        <v>0.594783</v>
      </c>
      <c r="D23" s="15" t="n">
        <v>0.118328</v>
      </c>
      <c r="E23" s="15" t="n">
        <v>0.07677299999999999</v>
      </c>
      <c r="F23" s="15" t="n">
        <v>0.399038</v>
      </c>
      <c r="G23" s="15" t="n">
        <v>0.224127</v>
      </c>
      <c r="H23" s="15" t="n">
        <v>0.650661</v>
      </c>
      <c r="I23" s="15" t="n">
        <v>0.125211</v>
      </c>
      <c r="J23" s="15" t="n">
        <v>0.147017</v>
      </c>
      <c r="K23" s="15" t="n">
        <v>0.349105</v>
      </c>
      <c r="L23" s="15" t="n">
        <v>0.379394</v>
      </c>
      <c r="M23" s="15" t="n">
        <v>0.507815</v>
      </c>
      <c r="N23" s="15" t="n">
        <v>0.112791</v>
      </c>
      <c r="O23" s="15" t="n">
        <v>0.034469</v>
      </c>
      <c r="P23" s="15" t="n">
        <v>0.470103</v>
      </c>
    </row>
    <row r="24">
      <c r="A24" s="14" t="n">
        <v>2042</v>
      </c>
      <c r="B24" s="15" t="n">
        <v>0.256141</v>
      </c>
      <c r="C24" s="15" t="n">
        <v>0.6350980000000001</v>
      </c>
      <c r="D24" s="15" t="n">
        <v>0.108761</v>
      </c>
      <c r="E24" s="15" t="n">
        <v>0.087715</v>
      </c>
      <c r="F24" s="15" t="n">
        <v>0.365743</v>
      </c>
      <c r="G24" s="15" t="n">
        <v>0.197506</v>
      </c>
      <c r="H24" s="15" t="n">
        <v>0.688024</v>
      </c>
      <c r="I24" s="15" t="n">
        <v>0.11447</v>
      </c>
      <c r="J24" s="15" t="n">
        <v>0.166945</v>
      </c>
      <c r="K24" s="15" t="n">
        <v>0.315693</v>
      </c>
      <c r="L24" s="15" t="n">
        <v>0.342318</v>
      </c>
      <c r="M24" s="15" t="n">
        <v>0.552101</v>
      </c>
      <c r="N24" s="15" t="n">
        <v>0.105581</v>
      </c>
      <c r="O24" s="15" t="n">
        <v>0.039338</v>
      </c>
      <c r="P24" s="15" t="n">
        <v>0.438192</v>
      </c>
    </row>
    <row r="25">
      <c r="A25" s="14" t="n">
        <v>2043</v>
      </c>
      <c r="B25" s="15" t="n">
        <v>0.229783</v>
      </c>
      <c r="C25" s="15" t="n">
        <v>0.670273</v>
      </c>
      <c r="D25" s="15" t="n">
        <v>0.099943</v>
      </c>
      <c r="E25" s="15" t="n">
        <v>0.0993</v>
      </c>
      <c r="F25" s="15" t="n">
        <v>0.333068</v>
      </c>
      <c r="G25" s="15" t="n">
        <v>0.174926</v>
      </c>
      <c r="H25" s="15" t="n">
        <v>0.720424</v>
      </c>
      <c r="I25" s="15" t="n">
        <v>0.104649</v>
      </c>
      <c r="J25" s="15" t="n">
        <v>0.187473</v>
      </c>
      <c r="K25" s="15" t="n">
        <v>0.283545</v>
      </c>
      <c r="L25" s="15" t="n">
        <v>0.310155</v>
      </c>
      <c r="M25" s="15" t="n">
        <v>0.592373</v>
      </c>
      <c r="N25" s="15" t="n">
        <v>0.097472</v>
      </c>
      <c r="O25" s="15" t="n">
        <v>0.044619</v>
      </c>
      <c r="P25" s="15" t="n">
        <v>0.406454</v>
      </c>
    </row>
    <row r="26">
      <c r="A26" s="14" t="n">
        <v>2044</v>
      </c>
      <c r="B26" s="15" t="n">
        <v>0.207647</v>
      </c>
      <c r="C26" s="15" t="n">
        <v>0.700139</v>
      </c>
      <c r="D26" s="15" t="n">
        <v>0.092214</v>
      </c>
      <c r="E26" s="15" t="n">
        <v>0.111613</v>
      </c>
      <c r="F26" s="15" t="n">
        <v>0.30264</v>
      </c>
      <c r="G26" s="15" t="n">
        <v>0.156098</v>
      </c>
      <c r="H26" s="15" t="n">
        <v>0.747887</v>
      </c>
      <c r="I26" s="15" t="n">
        <v>0.096015</v>
      </c>
      <c r="J26" s="15" t="n">
        <v>0.208671</v>
      </c>
      <c r="K26" s="15" t="n">
        <v>0.254122</v>
      </c>
      <c r="L26" s="15" t="n">
        <v>0.282813</v>
      </c>
      <c r="M26" s="15" t="n">
        <v>0.626992</v>
      </c>
      <c r="N26" s="15" t="n">
        <v>0.090195</v>
      </c>
      <c r="O26" s="15" t="n">
        <v>0.050374</v>
      </c>
      <c r="P26" s="15" t="n">
        <v>0.376161</v>
      </c>
    </row>
    <row r="27">
      <c r="A27" s="14" t="n">
        <v>2045</v>
      </c>
      <c r="B27" s="15" t="n">
        <v>0.188746</v>
      </c>
      <c r="C27" s="15" t="n">
        <v>0.72598</v>
      </c>
      <c r="D27" s="15" t="n">
        <v>0.085274</v>
      </c>
      <c r="E27" s="15" t="n">
        <v>0.12472</v>
      </c>
      <c r="F27" s="15" t="n">
        <v>0.274485</v>
      </c>
      <c r="G27" s="15" t="n">
        <v>0.140132</v>
      </c>
      <c r="H27" s="15" t="n">
        <v>0.771549</v>
      </c>
      <c r="I27" s="15" t="n">
        <v>0.08831899999999999</v>
      </c>
      <c r="J27" s="15" t="n">
        <v>0.230577</v>
      </c>
      <c r="K27" s="15" t="n">
        <v>0.227261</v>
      </c>
      <c r="L27" s="15" t="n">
        <v>0.259295</v>
      </c>
      <c r="M27" s="15" t="n">
        <v>0.657111</v>
      </c>
      <c r="N27" s="15" t="n">
        <v>0.083594</v>
      </c>
      <c r="O27" s="15" t="n">
        <v>0.056664</v>
      </c>
      <c r="P27" s="15" t="n">
        <v>0.347624</v>
      </c>
    </row>
    <row r="28">
      <c r="A28" s="14" t="n">
        <v>2046</v>
      </c>
      <c r="B28" s="15" t="n">
        <v>0.171777</v>
      </c>
      <c r="C28" s="15" t="n">
        <v>0.749417</v>
      </c>
      <c r="D28" s="15" t="n">
        <v>0.078806</v>
      </c>
      <c r="E28" s="15" t="n">
        <v>0.138509</v>
      </c>
      <c r="F28" s="15" t="n">
        <v>0.248105</v>
      </c>
      <c r="G28" s="15" t="n">
        <v>0.125921</v>
      </c>
      <c r="H28" s="15" t="n">
        <v>0.792851</v>
      </c>
      <c r="I28" s="15" t="n">
        <v>0.08122699999999999</v>
      </c>
      <c r="J28" s="15" t="n">
        <v>0.252934</v>
      </c>
      <c r="K28" s="15" t="n">
        <v>0.202375</v>
      </c>
      <c r="L28" s="15" t="n">
        <v>0.238064</v>
      </c>
      <c r="M28" s="15" t="n">
        <v>0.684544</v>
      </c>
      <c r="N28" s="15" t="n">
        <v>0.077392</v>
      </c>
      <c r="O28" s="15" t="n">
        <v>0.06346300000000001</v>
      </c>
      <c r="P28" s="15" t="n">
        <v>0.320573</v>
      </c>
    </row>
    <row r="29">
      <c r="A29" s="14" t="n">
        <v>2047</v>
      </c>
      <c r="B29" s="15" t="n">
        <v>0.156516</v>
      </c>
      <c r="C29" s="15" t="n">
        <v>0.770567</v>
      </c>
      <c r="D29" s="15" t="n">
        <v>0.072917</v>
      </c>
      <c r="E29" s="15" t="n">
        <v>0.152862</v>
      </c>
      <c r="F29" s="15" t="n">
        <v>0.223712</v>
      </c>
      <c r="G29" s="15" t="n">
        <v>0.113211</v>
      </c>
      <c r="H29" s="15" t="n">
        <v>0.812002</v>
      </c>
      <c r="I29" s="15" t="n">
        <v>0.07478700000000001</v>
      </c>
      <c r="J29" s="15" t="n">
        <v>0.275522</v>
      </c>
      <c r="K29" s="15" t="n">
        <v>0.17955</v>
      </c>
      <c r="L29" s="15" t="n">
        <v>0.218924</v>
      </c>
      <c r="M29" s="15" t="n">
        <v>0.709378</v>
      </c>
      <c r="N29" s="15" t="n">
        <v>0.071697</v>
      </c>
      <c r="O29" s="15" t="n">
        <v>0.07073400000000001</v>
      </c>
      <c r="P29" s="15" t="n">
        <v>0.295289</v>
      </c>
    </row>
    <row r="30">
      <c r="A30" s="14" t="n">
        <v>2048</v>
      </c>
      <c r="B30" s="15" t="n">
        <v>0.14263</v>
      </c>
      <c r="C30" s="15" t="n">
        <v>0.789759</v>
      </c>
      <c r="D30" s="15" t="n">
        <v>0.067611</v>
      </c>
      <c r="E30" s="15" t="n">
        <v>0.167713</v>
      </c>
      <c r="F30" s="15" t="n">
        <v>0.201353</v>
      </c>
      <c r="G30" s="15" t="n">
        <v>0.101694</v>
      </c>
      <c r="H30" s="15" t="n">
        <v>0.829335</v>
      </c>
      <c r="I30" s="15" t="n">
        <v>0.06897200000000001</v>
      </c>
      <c r="J30" s="15" t="n">
        <v>0.298224</v>
      </c>
      <c r="K30" s="15" t="n">
        <v>0.158742</v>
      </c>
      <c r="L30" s="15" t="n">
        <v>0.20148</v>
      </c>
      <c r="M30" s="15" t="n">
        <v>0.731982</v>
      </c>
      <c r="N30" s="15" t="n">
        <v>0.066537</v>
      </c>
      <c r="O30" s="15" t="n">
        <v>0.078458</v>
      </c>
      <c r="P30" s="15" t="n">
        <v>0.271871</v>
      </c>
    </row>
    <row r="31">
      <c r="A31" s="14" t="n">
        <v>2049</v>
      </c>
      <c r="B31" s="15" t="n">
        <v>0.13039</v>
      </c>
      <c r="C31" s="15" t="n">
        <v>0.806719</v>
      </c>
      <c r="D31" s="15" t="n">
        <v>0.062891</v>
      </c>
      <c r="E31" s="15" t="n">
        <v>0.183004</v>
      </c>
      <c r="F31" s="15" t="n">
        <v>0.181396</v>
      </c>
      <c r="G31" s="15" t="n">
        <v>0.09150700000000001</v>
      </c>
      <c r="H31" s="15" t="n">
        <v>0.844675</v>
      </c>
      <c r="I31" s="15" t="n">
        <v>0.063818</v>
      </c>
      <c r="J31" s="15" t="n">
        <v>0.320915</v>
      </c>
      <c r="K31" s="15" t="n">
        <v>0.140255</v>
      </c>
      <c r="L31" s="15" t="n">
        <v>0.186152</v>
      </c>
      <c r="M31" s="15" t="n">
        <v>0.751918</v>
      </c>
      <c r="N31" s="15" t="n">
        <v>0.061929</v>
      </c>
      <c r="O31" s="15" t="n">
        <v>0.08662599999999999</v>
      </c>
      <c r="P31" s="15" t="n">
        <v>0.250728</v>
      </c>
    </row>
    <row r="32">
      <c r="A32" s="14" t="n">
        <v>2050</v>
      </c>
      <c r="B32" s="15" t="n">
        <v>0.119794</v>
      </c>
      <c r="C32" s="15" t="n">
        <v>0.821498</v>
      </c>
      <c r="D32" s="15" t="n">
        <v>0.058708</v>
      </c>
      <c r="E32" s="15" t="n">
        <v>0.198635</v>
      </c>
      <c r="F32" s="15" t="n">
        <v>0.163893</v>
      </c>
      <c r="G32" s="15" t="n">
        <v>0.082622</v>
      </c>
      <c r="H32" s="15" t="n">
        <v>0.857992</v>
      </c>
      <c r="I32" s="15" t="n">
        <v>0.059386</v>
      </c>
      <c r="J32" s="15" t="n">
        <v>0.343394</v>
      </c>
      <c r="K32" s="15" t="n">
        <v>0.1241</v>
      </c>
      <c r="L32" s="15" t="n">
        <v>0.172955</v>
      </c>
      <c r="M32" s="15" t="n">
        <v>0.76919</v>
      </c>
      <c r="N32" s="15" t="n">
        <v>0.057856</v>
      </c>
      <c r="O32" s="15" t="n">
        <v>0.095209</v>
      </c>
      <c r="P32" s="15" t="n">
        <v>0.231935</v>
      </c>
    </row>
    <row r="34">
      <c r="A34" s="2" t="inlineStr">
        <is>
          <t>Source rows: VKT by scenario x vehicle type (LPV, LCV, M Truck, H Truck) x power type (Petrol, Hybrid petrol, Diesel, Hybrid diesel, Electric, Petrol plug-in) x calendar year, from the raw-output sheet of VFM202405_outputs_summary_V3.xlsx.</t>
        </is>
      </c>
    </row>
  </sheetData>
  <mergeCells count="3">
    <mergeCell ref="L5:P5"/>
    <mergeCell ref="G5:K5"/>
    <mergeCell ref="B5:F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7"/>
  <sheetViews>
    <sheetView showGridLines="0" workbookViewId="0">
      <selection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Why an S-curve? Because the data says so - four tests our formula could fail</t>
        </is>
      </c>
    </row>
    <row r="2">
      <c r="A2" s="2" t="inlineStr">
        <is>
          <t>A fitted curve proves nothing by itself: with enough parameters a formula can mimic anything. So this sheet starts from falsifiable tests of the shape, not from our formula.</t>
        </is>
      </c>
    </row>
    <row r="4">
      <c r="A4" s="3" t="inlineStr">
        <is>
          <t>The four tests</t>
        </is>
      </c>
      <c r="B4" s="4" t="n"/>
      <c r="C4" s="4" t="n"/>
      <c r="D4" s="4" t="n"/>
      <c r="E4" s="4" t="n"/>
      <c r="F4" s="4" t="n"/>
      <c r="G4" s="4" t="n"/>
      <c r="H4" s="4" t="n"/>
      <c r="I4" s="4" t="n"/>
      <c r="J4" s="4" t="n"/>
      <c r="K4" s="4" t="n"/>
    </row>
    <row r="5" ht="26" customHeight="1">
      <c r="A5" s="5" t="inlineStr">
        <is>
          <t>1. Growth-rate signature - saturating adoption has a straight-line fingerprint that needs NO curve fitting; the line's endpoints ARE the ceiling and speed, measured from MoT's own series.</t>
        </is>
      </c>
    </row>
    <row r="6" ht="26" customHeight="1">
      <c r="A6" s="5" t="inlineStr">
        <is>
          <t>2. Form tournament - fit nine candidate shapes on 2001-2040, judge them on the unseen 2041-2050 decade. Flexible forms mimic in-sample and fail out-of-sample; only a form whose shape matches the data survives.</t>
        </is>
      </c>
    </row>
    <row r="7" ht="26" customHeight="1">
      <c r="A7" s="5" t="inlineStr">
        <is>
          <t>3. Mechanism - rebuild the fleet share from MoT's own registration flows and fleet turnover with no functional form at all: the S-curve emerges from the arithmetic.</t>
        </is>
      </c>
    </row>
    <row r="8" ht="26" customHeight="1">
      <c r="A8" s="5" t="inlineStr">
        <is>
          <t>4. Observed outturns - New Zealand's actual fleet shares (outside the VFM) sit on the projected toe.</t>
        </is>
      </c>
    </row>
    <row r="10">
      <c r="A10" s="3" t="inlineStr">
        <is>
          <t>Test 1 - the growth-rate signature (no curve fitting anywhere)</t>
        </is>
      </c>
      <c r="B10" s="4" t="n"/>
      <c r="C10" s="4" t="n"/>
      <c r="D10" s="4" t="n"/>
      <c r="E10" s="4" t="n"/>
      <c r="F10" s="4" t="n"/>
      <c r="G10" s="4" t="n"/>
      <c r="H10" s="4" t="n"/>
      <c r="I10" s="4" t="n"/>
      <c r="J10" s="4" t="n"/>
      <c r="K10" s="4" t="n"/>
    </row>
    <row r="11" ht="30" customHeight="1">
      <c r="A11" s="11" t="inlineStr">
        <is>
          <t>If adoption saturates, the relative growth rate s'/s falls in a straight line as the share s rises: s'/s = speed x (1 - s / ceiling). Straight-line behaviour is falsifiable - and the intercept and x-intercept of that line ARE the speed and ceiling, read from MoT's series rather than chosen by us.</t>
        </is>
      </c>
    </row>
    <row r="12">
      <c r="A12" s="13" t="inlineStr">
        <is>
          <t>June year</t>
        </is>
      </c>
      <c r="B12" s="13" t="inlineStr">
        <is>
          <t>BEV share (sheet 2, base)</t>
        </is>
      </c>
      <c r="C12" s="13" t="inlineStr">
        <is>
          <t>Mid-point share</t>
        </is>
      </c>
      <c r="D12" s="13" t="inlineStr">
        <is>
          <t>Relative growth = change / mid share</t>
        </is>
      </c>
    </row>
    <row r="13">
      <c r="A13" s="14" t="n">
        <v>2025</v>
      </c>
      <c r="B13" s="16">
        <f>'2. MoT VFM curves'!C7</f>
        <v/>
      </c>
    </row>
    <row r="14">
      <c r="A14" s="14" t="n">
        <v>2026</v>
      </c>
      <c r="B14" s="16">
        <f>'2. MoT VFM curves'!C8</f>
        <v/>
      </c>
      <c r="C14" s="17">
        <f>(B14+B13)/2</f>
        <v/>
      </c>
      <c r="D14" s="18">
        <f>(B14-B13)/C14</f>
        <v/>
      </c>
      <c r="F14" s="19" t="inlineStr">
        <is>
          <t>Straight-line fit R-squared</t>
        </is>
      </c>
      <c r="G14" s="20" t="n"/>
      <c r="H14" s="21">
        <f>RSQ(D14:D38,C14:C38)</f>
        <v/>
      </c>
    </row>
    <row r="15">
      <c r="A15" s="14" t="n">
        <v>2027</v>
      </c>
      <c r="B15" s="16">
        <f>'2. MoT VFM curves'!C9</f>
        <v/>
      </c>
      <c r="C15" s="17">
        <f>(B15+B14)/2</f>
        <v/>
      </c>
      <c r="D15" s="18">
        <f>(B15-B14)/C15</f>
        <v/>
      </c>
      <c r="F15" s="19" t="inlineStr">
        <is>
          <t>Speed constant (line intercept)</t>
        </is>
      </c>
      <c r="G15" s="20" t="n"/>
      <c r="H15" s="21">
        <f>INTERCEPT(D14:D38,C14:C38)</f>
        <v/>
      </c>
    </row>
    <row r="16">
      <c r="A16" s="14" t="n">
        <v>2028</v>
      </c>
      <c r="B16" s="16">
        <f>'2. MoT VFM curves'!C10</f>
        <v/>
      </c>
      <c r="C16" s="17">
        <f>(B16+B15)/2</f>
        <v/>
      </c>
      <c r="D16" s="18">
        <f>(B16-B15)/C16</f>
        <v/>
      </c>
      <c r="F16" s="19" t="inlineStr">
        <is>
          <t>Ceiling (line's x-intercept)</t>
        </is>
      </c>
      <c r="G16" s="20" t="n"/>
      <c r="H16" s="21">
        <f>-INTERCEPT(D14:D38,C14:C38)/SLOPE(D14:D38,C14:C38)</f>
        <v/>
      </c>
    </row>
    <row r="17">
      <c r="A17" s="14" t="n">
        <v>2029</v>
      </c>
      <c r="B17" s="16">
        <f>'2. MoT VFM curves'!C11</f>
        <v/>
      </c>
      <c r="C17" s="17">
        <f>(B17+B16)/2</f>
        <v/>
      </c>
      <c r="D17" s="18">
        <f>(B17-B16)/C17</f>
        <v/>
      </c>
      <c r="F17" s="19" t="inlineStr">
        <is>
          <t>Dashboard dial: speed</t>
        </is>
      </c>
      <c r="G17" s="20" t="n"/>
      <c r="H17" s="22">
        <f>B130</f>
        <v/>
      </c>
    </row>
    <row r="18">
      <c r="A18" s="14" t="n">
        <v>2030</v>
      </c>
      <c r="B18" s="16">
        <f>'2. MoT VFM curves'!C12</f>
        <v/>
      </c>
      <c r="C18" s="17">
        <f>(B18+B17)/2</f>
        <v/>
      </c>
      <c r="D18" s="18">
        <f>(B18-B17)/C18</f>
        <v/>
      </c>
      <c r="F18" s="19" t="inlineStr">
        <is>
          <t>Dashboard dial: ceiling</t>
        </is>
      </c>
      <c r="G18" s="20" t="n"/>
      <c r="H18" s="22">
        <f>B129</f>
        <v/>
      </c>
    </row>
    <row r="19">
      <c r="A19" s="14" t="n">
        <v>2031</v>
      </c>
      <c r="B19" s="16">
        <f>'2. MoT VFM curves'!C13</f>
        <v/>
      </c>
      <c r="C19" s="17">
        <f>(B19+B18)/2</f>
        <v/>
      </c>
      <c r="D19" s="18">
        <f>(B19-B18)/C19</f>
        <v/>
      </c>
    </row>
    <row r="20">
      <c r="A20" s="14" t="n">
        <v>2032</v>
      </c>
      <c r="B20" s="16">
        <f>'2. MoT VFM curves'!C14</f>
        <v/>
      </c>
      <c r="C20" s="17">
        <f>(B20+B19)/2</f>
        <v/>
      </c>
      <c r="D20" s="18">
        <f>(B20-B19)/C20</f>
        <v/>
      </c>
      <c r="F20" s="11" t="inlineStr">
        <is>
          <t>The measured speed and ceiling match the dashboard's dials - the dials are measurements of MoT's series, not free coefficients.</t>
        </is>
      </c>
    </row>
    <row r="21">
      <c r="A21" s="14" t="n">
        <v>2033</v>
      </c>
      <c r="B21" s="16">
        <f>'2. MoT VFM curves'!C15</f>
        <v/>
      </c>
      <c r="C21" s="17">
        <f>(B21+B20)/2</f>
        <v/>
      </c>
      <c r="D21" s="18">
        <f>(B21-B20)/C21</f>
        <v/>
      </c>
    </row>
    <row r="22">
      <c r="A22" s="14" t="n">
        <v>2034</v>
      </c>
      <c r="B22" s="16">
        <f>'2. MoT VFM curves'!C16</f>
        <v/>
      </c>
      <c r="C22" s="17">
        <f>(B22+B21)/2</f>
        <v/>
      </c>
      <c r="D22" s="18">
        <f>(B22-B21)/C22</f>
        <v/>
      </c>
    </row>
    <row r="23">
      <c r="A23" s="14" t="n">
        <v>2035</v>
      </c>
      <c r="B23" s="16">
        <f>'2. MoT VFM curves'!C17</f>
        <v/>
      </c>
      <c r="C23" s="17">
        <f>(B23+B22)/2</f>
        <v/>
      </c>
      <c r="D23" s="18">
        <f>(B23-B22)/C23</f>
        <v/>
      </c>
    </row>
    <row r="24">
      <c r="A24" s="14" t="n">
        <v>2036</v>
      </c>
      <c r="B24" s="16">
        <f>'2. MoT VFM curves'!C18</f>
        <v/>
      </c>
      <c r="C24" s="17">
        <f>(B24+B23)/2</f>
        <v/>
      </c>
      <c r="D24" s="18">
        <f>(B24-B23)/C24</f>
        <v/>
      </c>
    </row>
    <row r="25">
      <c r="A25" s="14" t="n">
        <v>2037</v>
      </c>
      <c r="B25" s="16">
        <f>'2. MoT VFM curves'!C19</f>
        <v/>
      </c>
      <c r="C25" s="17">
        <f>(B25+B24)/2</f>
        <v/>
      </c>
      <c r="D25" s="18">
        <f>(B25-B24)/C25</f>
        <v/>
      </c>
    </row>
    <row r="26">
      <c r="A26" s="14" t="n">
        <v>2038</v>
      </c>
      <c r="B26" s="16">
        <f>'2. MoT VFM curves'!C20</f>
        <v/>
      </c>
      <c r="C26" s="17">
        <f>(B26+B25)/2</f>
        <v/>
      </c>
      <c r="D26" s="18">
        <f>(B26-B25)/C26</f>
        <v/>
      </c>
    </row>
    <row r="27">
      <c r="A27" s="14" t="n">
        <v>2039</v>
      </c>
      <c r="B27" s="16">
        <f>'2. MoT VFM curves'!C21</f>
        <v/>
      </c>
      <c r="C27" s="17">
        <f>(B27+B26)/2</f>
        <v/>
      </c>
      <c r="D27" s="18">
        <f>(B27-B26)/C27</f>
        <v/>
      </c>
    </row>
    <row r="28">
      <c r="A28" s="14" t="n">
        <v>2040</v>
      </c>
      <c r="B28" s="16">
        <f>'2. MoT VFM curves'!C22</f>
        <v/>
      </c>
      <c r="C28" s="17">
        <f>(B28+B27)/2</f>
        <v/>
      </c>
      <c r="D28" s="18">
        <f>(B28-B27)/C28</f>
        <v/>
      </c>
    </row>
    <row r="29">
      <c r="A29" s="14" t="n">
        <v>2041</v>
      </c>
      <c r="B29" s="16">
        <f>'2. MoT VFM curves'!C23</f>
        <v/>
      </c>
      <c r="C29" s="17">
        <f>(B29+B28)/2</f>
        <v/>
      </c>
      <c r="D29" s="18">
        <f>(B29-B28)/C29</f>
        <v/>
      </c>
    </row>
    <row r="30">
      <c r="A30" s="14" t="n">
        <v>2042</v>
      </c>
      <c r="B30" s="16">
        <f>'2. MoT VFM curves'!C24</f>
        <v/>
      </c>
      <c r="C30" s="17">
        <f>(B30+B29)/2</f>
        <v/>
      </c>
      <c r="D30" s="18">
        <f>(B30-B29)/C30</f>
        <v/>
      </c>
    </row>
    <row r="31">
      <c r="A31" s="14" t="n">
        <v>2043</v>
      </c>
      <c r="B31" s="16">
        <f>'2. MoT VFM curves'!C25</f>
        <v/>
      </c>
      <c r="C31" s="17">
        <f>(B31+B30)/2</f>
        <v/>
      </c>
      <c r="D31" s="18">
        <f>(B31-B30)/C31</f>
        <v/>
      </c>
    </row>
    <row r="32">
      <c r="A32" s="14" t="n">
        <v>2044</v>
      </c>
      <c r="B32" s="16">
        <f>'2. MoT VFM curves'!C26</f>
        <v/>
      </c>
      <c r="C32" s="17">
        <f>(B32+B31)/2</f>
        <v/>
      </c>
      <c r="D32" s="18">
        <f>(B32-B31)/C32</f>
        <v/>
      </c>
    </row>
    <row r="33">
      <c r="A33" s="14" t="n">
        <v>2045</v>
      </c>
      <c r="B33" s="16">
        <f>'2. MoT VFM curves'!C27</f>
        <v/>
      </c>
      <c r="C33" s="17">
        <f>(B33+B32)/2</f>
        <v/>
      </c>
      <c r="D33" s="18">
        <f>(B33-B32)/C33</f>
        <v/>
      </c>
    </row>
    <row r="34">
      <c r="A34" s="14" t="n">
        <v>2046</v>
      </c>
      <c r="B34" s="16">
        <f>'2. MoT VFM curves'!C28</f>
        <v/>
      </c>
      <c r="C34" s="17">
        <f>(B34+B33)/2</f>
        <v/>
      </c>
      <c r="D34" s="18">
        <f>(B34-B33)/C34</f>
        <v/>
      </c>
    </row>
    <row r="35">
      <c r="A35" s="14" t="n">
        <v>2047</v>
      </c>
      <c r="B35" s="16">
        <f>'2. MoT VFM curves'!C29</f>
        <v/>
      </c>
      <c r="C35" s="17">
        <f>(B35+B34)/2</f>
        <v/>
      </c>
      <c r="D35" s="18">
        <f>(B35-B34)/C35</f>
        <v/>
      </c>
    </row>
    <row r="36">
      <c r="A36" s="14" t="n">
        <v>2048</v>
      </c>
      <c r="B36" s="16">
        <f>'2. MoT VFM curves'!C30</f>
        <v/>
      </c>
      <c r="C36" s="17">
        <f>(B36+B35)/2</f>
        <v/>
      </c>
      <c r="D36" s="18">
        <f>(B36-B35)/C36</f>
        <v/>
      </c>
    </row>
    <row r="37">
      <c r="A37" s="14" t="n">
        <v>2049</v>
      </c>
      <c r="B37" s="16">
        <f>'2. MoT VFM curves'!C31</f>
        <v/>
      </c>
      <c r="C37" s="17">
        <f>(B37+B36)/2</f>
        <v/>
      </c>
      <c r="D37" s="18">
        <f>(B37-B36)/C37</f>
        <v/>
      </c>
    </row>
    <row r="38">
      <c r="A38" s="14" t="n">
        <v>2050</v>
      </c>
      <c r="B38" s="16">
        <f>'2. MoT VFM curves'!C32</f>
        <v/>
      </c>
      <c r="C38" s="17">
        <f>(B38+B37)/2</f>
        <v/>
      </c>
      <c r="D38" s="18">
        <f>(B38-B37)/C38</f>
        <v/>
      </c>
    </row>
    <row r="40">
      <c r="A40" s="3" t="inlineStr">
        <is>
          <t>Test 2 - the form tournament (fit 2001-2040, judged on the unseen 2041-2050)</t>
        </is>
      </c>
      <c r="B40" s="4" t="n"/>
      <c r="C40" s="4" t="n"/>
      <c r="D40" s="4" t="n"/>
      <c r="E40" s="4" t="n"/>
      <c r="F40" s="4" t="n"/>
      <c r="G40" s="4" t="n"/>
      <c r="H40" s="4" t="n"/>
      <c r="I40" s="4" t="n"/>
      <c r="J40" s="4" t="n"/>
      <c r="K40" s="4" t="n"/>
    </row>
    <row r="41">
      <c r="A41" s="13" t="inlineStr">
        <is>
          <t>Functional form</t>
        </is>
      </c>
      <c r="B41" s="13" t="inlineStr">
        <is>
          <t>Parameters</t>
        </is>
      </c>
      <c r="C41" s="13" t="inlineStr">
        <is>
          <t>Fit error 2001-2040 (pp)</t>
        </is>
      </c>
      <c r="D41" s="13" t="inlineStr">
        <is>
          <t>Error on unseen 2041-2050 (pp)</t>
        </is>
      </c>
      <c r="E41" s="13" t="inlineStr">
        <is>
          <t>Predicted 2050 share (%)</t>
        </is>
      </c>
    </row>
    <row r="42">
      <c r="A42" s="23" t="inlineStr">
        <is>
          <t>logistic (S-curve)</t>
        </is>
      </c>
      <c r="B42" s="24" t="n">
        <v>3</v>
      </c>
      <c r="C42" s="25" t="n">
        <v>0.72364484831121</v>
      </c>
      <c r="D42" s="25" t="n">
        <v>2.574319158425325</v>
      </c>
      <c r="E42" s="26" t="n">
        <v>79.29926948303246</v>
      </c>
    </row>
    <row r="43">
      <c r="A43" s="23" t="inlineStr">
        <is>
          <t>power</t>
        </is>
      </c>
      <c r="B43" s="24" t="n">
        <v>2</v>
      </c>
      <c r="C43" s="25" t="n">
        <v>2.020498127892759</v>
      </c>
      <c r="D43" s="25" t="n">
        <v>4.968732841402957</v>
      </c>
      <c r="E43" s="26" t="n">
        <v>93.356834883442</v>
      </c>
    </row>
    <row r="44">
      <c r="A44" s="23" t="inlineStr">
        <is>
          <t>quadratic</t>
        </is>
      </c>
      <c r="B44" s="24" t="n">
        <v>3</v>
      </c>
      <c r="C44" s="25" t="n">
        <v>2.155421862407445</v>
      </c>
      <c r="D44" s="25" t="n">
        <v>8.122450089155549</v>
      </c>
      <c r="E44" s="26" t="n">
        <v>99.98675801523464</v>
      </c>
    </row>
    <row r="45">
      <c r="A45" s="23" t="inlineStr">
        <is>
          <t>Richards (S-curve)</t>
        </is>
      </c>
      <c r="B45" s="24" t="n">
        <v>4</v>
      </c>
      <c r="C45" s="25" t="n">
        <v>0.3717456266685024</v>
      </c>
      <c r="D45" s="25" t="n">
        <v>11.70054839869524</v>
      </c>
      <c r="E45" s="26" t="n">
        <v>104.3240724965861</v>
      </c>
    </row>
    <row r="46">
      <c r="A46" s="23" t="inlineStr">
        <is>
          <t>Gompertz (S-curve)</t>
        </is>
      </c>
      <c r="B46" s="24" t="n">
        <v>3</v>
      </c>
      <c r="C46" s="25" t="n">
        <v>0.35038036490172</v>
      </c>
      <c r="D46" s="25" t="n">
        <v>12.68666938825327</v>
      </c>
      <c r="E46" s="26" t="n">
        <v>106.1719340884481</v>
      </c>
    </row>
    <row r="47">
      <c r="A47" s="23" t="inlineStr">
        <is>
          <t>Bass diffusion (S-curve)</t>
        </is>
      </c>
      <c r="B47" s="24" t="n">
        <v>3</v>
      </c>
      <c r="C47" s="25" t="n">
        <v>3.783329360050432</v>
      </c>
      <c r="D47" s="25" t="n">
        <v>20.37244873393859</v>
      </c>
      <c r="E47" s="26" t="n">
        <v>55.11707495161966</v>
      </c>
    </row>
    <row r="48">
      <c r="A48" s="23" t="inlineStr">
        <is>
          <t>cubic</t>
        </is>
      </c>
      <c r="B48" s="24" t="n">
        <v>4</v>
      </c>
      <c r="C48" s="25" t="n">
        <v>0.3381059864410916</v>
      </c>
      <c r="D48" s="25" t="n">
        <v>26.96725535652572</v>
      </c>
      <c r="E48" s="26" t="n">
        <v>132.8720389192517</v>
      </c>
    </row>
    <row r="49">
      <c r="A49" s="23" t="inlineStr">
        <is>
          <t>linear</t>
        </is>
      </c>
      <c r="B49" s="24" t="n">
        <v>2</v>
      </c>
      <c r="C49" s="25" t="n">
        <v>8.593167601601049</v>
      </c>
      <c r="D49" s="25" t="n">
        <v>31.17292852868617</v>
      </c>
      <c r="E49" s="26" t="n">
        <v>48.49879475204876</v>
      </c>
    </row>
    <row r="50">
      <c r="A50" s="23" t="inlineStr">
        <is>
          <t>exponential</t>
        </is>
      </c>
      <c r="B50" s="24" t="n">
        <v>2</v>
      </c>
      <c r="C50" s="25" t="n">
        <v>1.920792687974943</v>
      </c>
      <c r="D50" s="25" t="n">
        <v>75.18339909593547</v>
      </c>
      <c r="E50" s="26" t="n">
        <v>226.7154019019007</v>
      </c>
    </row>
    <row r="52" ht="30" customHeight="1">
      <c r="A52" s="11" t="inlineStr">
        <is>
          <t>VFM's actual 2050 base-scenario share: 82.1%. The forms that fit BEST in-sample (cubic, Gompertz, Richards, 0.3-0.4pp) miss the unseen decade by 12-27 points - that is exactly what 'a formula can mimic anything' looks like. The logistic is the only form that both fits and extrapolates: the shape, not parameter flexibility, is doing the work.</t>
        </is>
      </c>
    </row>
    <row r="54" ht="30" customHeight="1">
      <c r="A54" s="11" t="inlineStr">
        <is>
          <t>Computed by scripts/uptake_shape_lab.py from the VFM workbook's raw outputs; full results (all three scenarios) in artifacts/uptake_shape_lab/.</t>
        </is>
      </c>
    </row>
    <row r="56">
      <c r="A56" s="3" t="inlineStr">
        <is>
          <t>Test 3 - the mechanism: fleet-turnover arithmetic (no curve at all)</t>
        </is>
      </c>
      <c r="B56" s="4" t="n"/>
      <c r="C56" s="4" t="n"/>
      <c r="D56" s="4" t="n"/>
      <c r="E56" s="4" t="n"/>
      <c r="F56" s="4" t="n"/>
      <c r="G56" s="4" t="n"/>
      <c r="H56" s="4" t="n"/>
      <c r="I56" s="4" t="n"/>
      <c r="J56" s="4" t="n"/>
      <c r="K56" s="4" t="n"/>
    </row>
    <row r="57" ht="30" customHeight="1">
      <c r="A57" s="11" t="inlineStr">
        <is>
          <t>VFM is a fleet-turnover model. Take the 2023 fleet share as the only starting value, then apply next year = this year + turnover x (new-entry share - this year), using MoT's own registration mix and turnover. No functional form appears anywhere - and the S-curve emerges from the arithmetic.</t>
        </is>
      </c>
    </row>
    <row r="58">
      <c r="A58" s="13" t="inlineStr">
        <is>
          <t>Calendar year</t>
        </is>
      </c>
      <c r="B58" s="13" t="inlineStr">
        <is>
          <t>BEV share of new light entries</t>
        </is>
      </c>
      <c r="C58" s="13" t="inlineStr">
        <is>
          <t>Fleet turnover (entries/stock)</t>
        </is>
      </c>
      <c r="D58" s="13" t="inlineStr">
        <is>
          <t>VFM fleet BEV share</t>
        </is>
      </c>
      <c r="E58" s="13" t="inlineStr">
        <is>
          <t>Reconstructed share (formula)</t>
        </is>
      </c>
      <c r="F58" s="13" t="inlineStr">
        <is>
          <t>Gap (pp)</t>
        </is>
      </c>
    </row>
    <row r="59">
      <c r="A59" s="14" t="n">
        <v>2023</v>
      </c>
      <c r="B59" s="15" t="n">
        <v>0.3433106308931825</v>
      </c>
      <c r="C59" s="15" t="n">
        <v>0.07555164168825459</v>
      </c>
      <c r="D59" s="15" t="n">
        <v>0.0718664751650593</v>
      </c>
      <c r="E59" s="17">
        <f>D59</f>
        <v/>
      </c>
      <c r="F59" s="27">
        <f>(E59-D59)*100</f>
        <v/>
      </c>
    </row>
    <row r="60">
      <c r="A60" s="14" t="n">
        <v>2024</v>
      </c>
      <c r="B60" s="15" t="n">
        <v>0.2049529589461333</v>
      </c>
      <c r="C60" s="15" t="n">
        <v>0.0600025764768952</v>
      </c>
      <c r="D60" s="15" t="n">
        <v>0.080931726822421</v>
      </c>
      <c r="E60" s="17">
        <f>E59+C59*(B59-E59)</f>
        <v/>
      </c>
      <c r="F60" s="27">
        <f>(E60-D60)*100</f>
        <v/>
      </c>
    </row>
    <row r="61">
      <c r="A61" s="14" t="n">
        <v>2025</v>
      </c>
      <c r="B61" s="15" t="n">
        <v>0.2376194082096269</v>
      </c>
      <c r="C61" s="15" t="n">
        <v>0.0640220946339695</v>
      </c>
      <c r="D61" s="15" t="n">
        <v>0.0920643593332196</v>
      </c>
      <c r="E61" s="17">
        <f>E60+C60*(B60-E60)</f>
        <v/>
      </c>
      <c r="F61" s="27">
        <f>(E61-D61)*100</f>
        <v/>
      </c>
    </row>
    <row r="62">
      <c r="A62" s="14" t="n">
        <v>2026</v>
      </c>
      <c r="B62" s="15" t="n">
        <v>0.3064648534030783</v>
      </c>
      <c r="C62" s="15" t="n">
        <v>0.0684318073676097</v>
      </c>
      <c r="D62" s="15" t="n">
        <v>0.1078987776254112</v>
      </c>
      <c r="E62" s="17">
        <f>E61+C61*(B61-E61)</f>
        <v/>
      </c>
      <c r="F62" s="27">
        <f>(E62-D62)*100</f>
        <v/>
      </c>
    </row>
    <row r="63">
      <c r="A63" s="14" t="n">
        <v>2027</v>
      </c>
      <c r="B63" s="15" t="n">
        <v>0.3649065036162091</v>
      </c>
      <c r="C63" s="15" t="n">
        <v>0.0739705355271289</v>
      </c>
      <c r="D63" s="15" t="n">
        <v>0.1283040885075264</v>
      </c>
      <c r="E63" s="17">
        <f>E62+C62*(B62-E62)</f>
        <v/>
      </c>
      <c r="F63" s="27">
        <f>(E63-D63)*100</f>
        <v/>
      </c>
    </row>
    <row r="64">
      <c r="A64" s="14" t="n">
        <v>2028</v>
      </c>
      <c r="B64" s="15" t="n">
        <v>0.4031463731475723</v>
      </c>
      <c r="C64" s="15" t="n">
        <v>0.0770157887789379</v>
      </c>
      <c r="D64" s="15" t="n">
        <v>0.1511795227663629</v>
      </c>
      <c r="E64" s="17">
        <f>E63+C63*(B63-E63)</f>
        <v/>
      </c>
      <c r="F64" s="27">
        <f>(E64-D64)*100</f>
        <v/>
      </c>
    </row>
    <row r="65">
      <c r="A65" s="14" t="n">
        <v>2029</v>
      </c>
      <c r="B65" s="15" t="n">
        <v>0.4216702550269405</v>
      </c>
      <c r="C65" s="15" t="n">
        <v>0.0776232147631493</v>
      </c>
      <c r="D65" s="15" t="n">
        <v>0.1741927557251665</v>
      </c>
      <c r="E65" s="17">
        <f>E64+C64*(B64-E64)</f>
        <v/>
      </c>
      <c r="F65" s="27">
        <f>(E65-D65)*100</f>
        <v/>
      </c>
    </row>
    <row r="66">
      <c r="A66" s="14" t="n">
        <v>2030</v>
      </c>
      <c r="B66" s="15" t="n">
        <v>0.443292849230991</v>
      </c>
      <c r="C66" s="15" t="n">
        <v>0.0769740115376326</v>
      </c>
      <c r="D66" s="15" t="n">
        <v>0.1972903980955024</v>
      </c>
      <c r="E66" s="17">
        <f>E65+C65*(B65-E65)</f>
        <v/>
      </c>
      <c r="F66" s="27">
        <f>(E66-D66)*100</f>
        <v/>
      </c>
    </row>
    <row r="67">
      <c r="A67" s="14" t="n">
        <v>2031</v>
      </c>
      <c r="B67" s="15" t="n">
        <v>0.468183502961314</v>
      </c>
      <c r="C67" s="15" t="n">
        <v>0.0777811671974977</v>
      </c>
      <c r="D67" s="15" t="n">
        <v>0.2211401160410803</v>
      </c>
      <c r="E67" s="17">
        <f>E66+C66*(B66-E66)</f>
        <v/>
      </c>
      <c r="F67" s="27">
        <f>(E67-D67)*100</f>
        <v/>
      </c>
    </row>
    <row r="68">
      <c r="A68" s="14" t="n">
        <v>2032</v>
      </c>
      <c r="B68" s="15" t="n">
        <v>0.4972986818733316</v>
      </c>
      <c r="C68" s="15" t="n">
        <v>0.0809525355246395</v>
      </c>
      <c r="D68" s="15" t="n">
        <v>0.2466505448456313</v>
      </c>
      <c r="E68" s="17">
        <f>E67+C67*(B67-E67)</f>
        <v/>
      </c>
      <c r="F68" s="27">
        <f>(E68-D68)*100</f>
        <v/>
      </c>
    </row>
    <row r="69">
      <c r="A69" s="14" t="n">
        <v>2033</v>
      </c>
      <c r="B69" s="15" t="n">
        <v>0.5492982014500025</v>
      </c>
      <c r="C69" s="15" t="n">
        <v>0.0829062633709798</v>
      </c>
      <c r="D69" s="15" t="n">
        <v>0.2752829279952347</v>
      </c>
      <c r="E69" s="17">
        <f>E68+C68*(B68-E68)</f>
        <v/>
      </c>
      <c r="F69" s="27">
        <f>(E69-D69)*100</f>
        <v/>
      </c>
    </row>
    <row r="70">
      <c r="A70" s="14" t="n">
        <v>2034</v>
      </c>
      <c r="B70" s="15" t="n">
        <v>0.5998178150555499</v>
      </c>
      <c r="C70" s="15" t="n">
        <v>0.08599644336755979</v>
      </c>
      <c r="D70" s="15" t="n">
        <v>0.3070523777217284</v>
      </c>
      <c r="E70" s="17">
        <f>E69+C69*(B69-E69)</f>
        <v/>
      </c>
      <c r="F70" s="27">
        <f>(E70-D70)*100</f>
        <v/>
      </c>
    </row>
    <row r="71">
      <c r="A71" s="14" t="n">
        <v>2035</v>
      </c>
      <c r="B71" s="15" t="n">
        <v>0.6617427634016015</v>
      </c>
      <c r="C71" s="15" t="n">
        <v>0.08775517745879451</v>
      </c>
      <c r="D71" s="15" t="n">
        <v>0.3423373160653223</v>
      </c>
      <c r="E71" s="17">
        <f>E70+C70*(B70-E70)</f>
        <v/>
      </c>
      <c r="F71" s="27">
        <f>(E71-D71)*100</f>
        <v/>
      </c>
    </row>
    <row r="72">
      <c r="A72" s="14" t="n">
        <v>2036</v>
      </c>
      <c r="B72" s="15" t="n">
        <v>0.7314193072483643</v>
      </c>
      <c r="C72" s="15" t="n">
        <v>0.0894644116171162</v>
      </c>
      <c r="D72" s="15" t="n">
        <v>0.3815227226469306</v>
      </c>
      <c r="E72" s="17">
        <f>E71+C71*(B71-E71)</f>
        <v/>
      </c>
      <c r="F72" s="27">
        <f>(E72-D72)*100</f>
        <v/>
      </c>
    </row>
    <row r="73">
      <c r="A73" s="14" t="n">
        <v>2037</v>
      </c>
      <c r="B73" s="15" t="n">
        <v>0.7826167961240924</v>
      </c>
      <c r="C73" s="15" t="n">
        <v>0.0925108721496484</v>
      </c>
      <c r="D73" s="15" t="n">
        <v>0.423221292287389</v>
      </c>
      <c r="E73" s="17">
        <f>E72+C72*(B72-E72)</f>
        <v/>
      </c>
      <c r="F73" s="27">
        <f>(E73-D73)*100</f>
        <v/>
      </c>
    </row>
    <row r="74">
      <c r="A74" s="14" t="n">
        <v>2038</v>
      </c>
      <c r="B74" s="15" t="n">
        <v>0.8289076923897912</v>
      </c>
      <c r="C74" s="15" t="n">
        <v>0.0948512381578277</v>
      </c>
      <c r="D74" s="15" t="n">
        <v>0.4664406569417816</v>
      </c>
      <c r="E74" s="17">
        <f>E73+C73*(B73-E73)</f>
        <v/>
      </c>
      <c r="F74" s="27">
        <f>(E74-D74)*100</f>
        <v/>
      </c>
    </row>
    <row r="75">
      <c r="A75" s="14" t="n">
        <v>2039</v>
      </c>
      <c r="B75" s="15" t="n">
        <v>0.8522412976091194</v>
      </c>
      <c r="C75" s="15" t="n">
        <v>0.0981361219267491</v>
      </c>
      <c r="D75" s="15" t="n">
        <v>0.5091432642429446</v>
      </c>
      <c r="E75" s="17">
        <f>E74+C74*(B74-E74)</f>
        <v/>
      </c>
      <c r="F75" s="27">
        <f>(E75-D75)*100</f>
        <v/>
      </c>
    </row>
    <row r="76">
      <c r="A76" s="14" t="n">
        <v>2040</v>
      </c>
      <c r="B76" s="15" t="n">
        <v>0.9020436104177372</v>
      </c>
      <c r="C76" s="15" t="n">
        <v>0.09654360178718011</v>
      </c>
      <c r="D76" s="15" t="n">
        <v>0.5519413150489183</v>
      </c>
      <c r="E76" s="17">
        <f>E75+C75*(B75-E75)</f>
        <v/>
      </c>
      <c r="F76" s="27">
        <f>(E76-D76)*100</f>
        <v/>
      </c>
    </row>
    <row r="77">
      <c r="A77" s="14" t="n">
        <v>2041</v>
      </c>
      <c r="B77" s="15" t="n">
        <v>0.9079177652168204</v>
      </c>
      <c r="C77" s="15" t="n">
        <v>0.09539838592559401</v>
      </c>
      <c r="D77" s="15" t="n">
        <v>0.5907619080321638</v>
      </c>
      <c r="E77" s="17">
        <f>E76+C76*(B76-E76)</f>
        <v/>
      </c>
      <c r="F77" s="27">
        <f>(E77-D77)*100</f>
        <v/>
      </c>
    </row>
    <row r="78">
      <c r="A78" s="14" t="n">
        <v>2042</v>
      </c>
      <c r="B78" s="15" t="n">
        <v>0.9195905249076032</v>
      </c>
      <c r="C78" s="15" t="n">
        <v>0.0942802968270969</v>
      </c>
      <c r="D78" s="15" t="n">
        <v>0.6265184372201652</v>
      </c>
      <c r="E78" s="17">
        <f>E77+C77*(B77-E77)</f>
        <v/>
      </c>
      <c r="F78" s="27">
        <f>(E78-D78)*100</f>
        <v/>
      </c>
    </row>
    <row r="79">
      <c r="A79" s="14" t="n">
        <v>2043</v>
      </c>
      <c r="B79" s="15" t="n">
        <v>0.92493383656906</v>
      </c>
      <c r="C79" s="15" t="n">
        <v>0.08997769359382481</v>
      </c>
      <c r="D79" s="15" t="n">
        <v>0.658001636994484</v>
      </c>
      <c r="E79" s="17">
        <f>E78+C78*(B78-E78)</f>
        <v/>
      </c>
      <c r="F79" s="27">
        <f>(E79-D79)*100</f>
        <v/>
      </c>
    </row>
    <row r="80">
      <c r="A80" s="14" t="n">
        <v>2044</v>
      </c>
      <c r="B80" s="15" t="n">
        <v>0.9294981316577754</v>
      </c>
      <c r="C80" s="15" t="n">
        <v>0.0836124894078967</v>
      </c>
      <c r="D80" s="15" t="n">
        <v>0.6852149186202704</v>
      </c>
      <c r="E80" s="17">
        <f>E79+C79*(B79-E79)</f>
        <v/>
      </c>
      <c r="F80" s="27">
        <f>(E80-D80)*100</f>
        <v/>
      </c>
    </row>
    <row r="81">
      <c r="A81" s="14" t="n">
        <v>2045</v>
      </c>
      <c r="B81" s="15" t="n">
        <v>0.9328479239011638</v>
      </c>
      <c r="C81" s="15" t="n">
        <v>0.08016802608633709</v>
      </c>
      <c r="D81" s="15" t="n">
        <v>0.7094462849926862</v>
      </c>
      <c r="E81" s="17">
        <f>E80+C80*(B80-E80)</f>
        <v/>
      </c>
      <c r="F81" s="27">
        <f>(E81-D81)*100</f>
        <v/>
      </c>
    </row>
    <row r="82">
      <c r="A82" s="14" t="n">
        <v>2046</v>
      </c>
      <c r="B82" s="15" t="n">
        <v>0.9353790759874619</v>
      </c>
      <c r="C82" s="15" t="n">
        <v>0.0771758145638249</v>
      </c>
      <c r="D82" s="15" t="n">
        <v>0.7311187115770816</v>
      </c>
      <c r="E82" s="17">
        <f>E81+C81*(B81-E81)</f>
        <v/>
      </c>
      <c r="F82" s="27">
        <f>(E82-D82)*100</f>
        <v/>
      </c>
    </row>
    <row r="83">
      <c r="A83" s="14" t="n">
        <v>2047</v>
      </c>
      <c r="B83" s="15" t="n">
        <v>0.9376023125194241</v>
      </c>
      <c r="C83" s="15" t="n">
        <v>0.0745576697885045</v>
      </c>
      <c r="D83" s="15" t="n">
        <v>0.7506153320857004</v>
      </c>
      <c r="E83" s="17">
        <f>E82+C82*(B82-E82)</f>
        <v/>
      </c>
      <c r="F83" s="27">
        <f>(E83-D83)*100</f>
        <v/>
      </c>
    </row>
    <row r="84">
      <c r="A84" s="14" t="n">
        <v>2048</v>
      </c>
      <c r="B84" s="15" t="n">
        <v>0.9397581024257198</v>
      </c>
      <c r="C84" s="15" t="n">
        <v>0.072195294470406</v>
      </c>
      <c r="D84" s="15" t="n">
        <v>0.7682442215197173</v>
      </c>
      <c r="E84" s="17">
        <f>E83+C83*(B83-E83)</f>
        <v/>
      </c>
      <c r="F84" s="27">
        <f>(E84-D84)*100</f>
        <v/>
      </c>
    </row>
    <row r="85">
      <c r="A85" s="14" t="n">
        <v>2049</v>
      </c>
      <c r="B85" s="15" t="n">
        <v>0.942337549070816</v>
      </c>
      <c r="C85" s="15" t="n">
        <v>0.0698542075029608</v>
      </c>
      <c r="D85" s="15" t="n">
        <v>0.7842447511280947</v>
      </c>
      <c r="E85" s="17">
        <f>E84+C84*(B84-E84)</f>
        <v/>
      </c>
      <c r="F85" s="27">
        <f>(E85-D85)*100</f>
        <v/>
      </c>
    </row>
    <row r="86">
      <c r="A86" s="14" t="n">
        <v>2050</v>
      </c>
      <c r="B86" s="15" t="n">
        <v>0.9446843878096142</v>
      </c>
      <c r="C86" s="15" t="n">
        <v>0.06837017064721</v>
      </c>
      <c r="D86" s="15" t="n">
        <v>0.7988928625848628</v>
      </c>
      <c r="E86" s="17">
        <f>E85+C85*(B85-E85)</f>
        <v/>
      </c>
      <c r="F86" s="27">
        <f>(E86-D86)*100</f>
        <v/>
      </c>
    </row>
    <row r="88" ht="42" customHeight="1">
      <c r="A88" s="11" t="inlineStr">
        <is>
          <t>The reconstruction tracks VFM's fleet share within ~7 points over three decades and sits consistently BELOW it - exactly as it should, because real scrappage retires older conventional vehicles first while this simple version retires the average mix. A rising sales mix filtered through roughly 8% a year of fleet turnover IS the S-curve. Source: 'Registrations' and raw-output sheets of the VFM workbook.</t>
        </is>
      </c>
    </row>
    <row r="90">
      <c r="A90" s="3" t="inlineStr">
        <is>
          <t>Test 4 - observed New Zealand outturns (outside the VFM)</t>
        </is>
      </c>
      <c r="B90" s="4" t="n"/>
      <c r="C90" s="4" t="n"/>
      <c r="D90" s="4" t="n"/>
      <c r="E90" s="4" t="n"/>
      <c r="F90" s="4" t="n"/>
      <c r="G90" s="4" t="n"/>
      <c r="H90" s="4" t="n"/>
      <c r="I90" s="4" t="n"/>
      <c r="J90" s="4" t="n"/>
      <c r="K90" s="4" t="n"/>
    </row>
    <row r="91">
      <c r="A91" s="13" t="inlineStr">
        <is>
          <t>June year</t>
        </is>
      </c>
      <c r="B91" s="13" t="inlineStr">
        <is>
          <t>Observed light BEV share (MBU26 actuals)</t>
        </is>
      </c>
      <c r="C91" s="13" t="inlineStr">
        <is>
          <t>VFM base scenario</t>
        </is>
      </c>
      <c r="D91" s="13" t="inlineStr">
        <is>
          <t>Gap (pp)</t>
        </is>
      </c>
    </row>
    <row r="92">
      <c r="A92" s="14" t="n">
        <v>2024</v>
      </c>
      <c r="B92" s="15" t="n">
        <v>0.0377160110540632</v>
      </c>
      <c r="C92" s="15" t="n">
        <v>0.05943072380317361</v>
      </c>
      <c r="D92" s="27">
        <f>(B92-C92)*100</f>
        <v/>
      </c>
    </row>
    <row r="93">
      <c r="A93" s="14" t="n">
        <v>2025</v>
      </c>
      <c r="B93" s="15" t="n">
        <v>0.06065462182192369</v>
      </c>
      <c r="C93" s="15" t="n">
        <v>0.07213193635415513</v>
      </c>
      <c r="D93" s="27">
        <f>(B93-C93)*100</f>
        <v/>
      </c>
    </row>
    <row r="95" ht="42" customHeight="1">
      <c r="A95" s="11" t="inlineStr">
        <is>
          <t>MBU26 splits the light BEV class out only from FY2024, so two observed points exist so far; both sit on the toe of the projected curve with the gap closing. This test grows teeth every year as outturns land. The straight-line growth signature above is also the classic technology-substitution result (Fisher &amp; Pry, 1971), observed across dozens of adoptions from colour TV to smartphones - and famously completed by Norway's electric fleet.</t>
        </is>
      </c>
    </row>
    <row r="112">
      <c r="A112" s="3" t="inlineStr">
        <is>
          <t>The dashboard's dials - a readable parameterisation of the measured shape</t>
        </is>
      </c>
      <c r="B112" s="4" t="n"/>
      <c r="C112" s="4" t="n"/>
      <c r="D112" s="4" t="n"/>
      <c r="E112" s="4" t="n"/>
      <c r="F112" s="4" t="n"/>
      <c r="G112" s="4" t="n"/>
      <c r="H112" s="4" t="n"/>
      <c r="I112" s="4" t="n"/>
      <c r="J112" s="4" t="n"/>
      <c r="K112" s="4" t="n"/>
    </row>
    <row r="113">
      <c r="A113" s="13" t="inlineStr">
        <is>
          <t>Lever (plain language)</t>
        </is>
      </c>
      <c r="B113" s="13" t="inlineStr">
        <is>
          <t>MoT VFM base</t>
        </is>
      </c>
      <c r="C113" s="13" t="inlineStr">
        <is>
          <t>MoT VFM fast</t>
        </is>
      </c>
      <c r="D113" s="13" t="inlineStr">
        <is>
          <t>MoT VFM slow</t>
        </is>
      </c>
    </row>
    <row r="114">
      <c r="A114" s="23" t="inlineStr">
        <is>
          <t>Battery-electric: fastest uptake speed (share points per year)</t>
        </is>
      </c>
      <c r="B114" s="15" t="n">
        <v>0.0425</v>
      </c>
      <c r="C114" s="15" t="n">
        <v>0.0475</v>
      </c>
      <c r="D114" s="15" t="n">
        <v>0.0425</v>
      </c>
    </row>
    <row r="115">
      <c r="A115" s="23" t="inlineStr">
        <is>
          <t>Battery-electric: year of fastest uptake</t>
        </is>
      </c>
      <c r="B115" s="24" t="n">
        <v>2038</v>
      </c>
      <c r="C115" s="24" t="n">
        <v>2036.5</v>
      </c>
      <c r="D115" s="24" t="n">
        <v>2039.5</v>
      </c>
    </row>
    <row r="116">
      <c r="A116" s="23" t="inlineStr">
        <is>
          <t>Battery-electric: share of light RUC pool reached by 2050</t>
        </is>
      </c>
      <c r="B116" s="15" t="n">
        <v>0.83</v>
      </c>
      <c r="C116" s="15" t="n">
        <v>0.86</v>
      </c>
      <c r="D116" s="15" t="n">
        <v>0.78</v>
      </c>
    </row>
    <row r="117">
      <c r="A117" s="23" t="inlineStr">
        <is>
          <t>Plug-in hybrid: share at FY2025</t>
        </is>
      </c>
      <c r="B117" s="15" t="n">
        <v>0.036</v>
      </c>
      <c r="C117" s="15" t="n">
        <v>0.039</v>
      </c>
      <c r="D117" s="15" t="n">
        <v>0.034</v>
      </c>
    </row>
    <row r="118">
      <c r="A118" s="23" t="inlineStr">
        <is>
          <t>Plug-in hybrid: rise per year while growing (share points)</t>
        </is>
      </c>
      <c r="B118" s="15" t="n">
        <v>0.011</v>
      </c>
      <c r="C118" s="15" t="n">
        <v>0.013</v>
      </c>
      <c r="D118" s="15" t="n">
        <v>0.008999999999999999</v>
      </c>
    </row>
    <row r="119">
      <c r="A119" s="23" t="inlineStr">
        <is>
          <t>Plug-in hybrid: peak share</t>
        </is>
      </c>
      <c r="B119" s="15" t="n">
        <v>0.155</v>
      </c>
      <c r="C119" s="15" t="n">
        <v>0.175</v>
      </c>
      <c r="D119" s="15" t="n">
        <v>0.135</v>
      </c>
    </row>
    <row r="120">
      <c r="A120" s="23" t="inlineStr">
        <is>
          <t>Plug-in hybrid: decline rate after the peak (per year)</t>
        </is>
      </c>
      <c r="B120" s="28" t="n">
        <v>0.06</v>
      </c>
      <c r="C120" s="28" t="n">
        <v>0.065</v>
      </c>
      <c r="D120" s="28" t="n">
        <v>0.055</v>
      </c>
    </row>
    <row r="121">
      <c r="A121" s="23" t="inlineStr">
        <is>
          <t>Petrol displacement: fastest speed (share points per year)</t>
        </is>
      </c>
      <c r="B121" s="15" t="n">
        <v>0.0425</v>
      </c>
      <c r="C121" s="15" t="n">
        <v>0.0425</v>
      </c>
      <c r="D121" s="15" t="n">
        <v>0.0425</v>
      </c>
    </row>
    <row r="122">
      <c r="A122" s="23" t="inlineStr">
        <is>
          <t>Petrol displacement: year of fastest displacement</t>
        </is>
      </c>
      <c r="B122" s="24" t="n">
        <v>2042</v>
      </c>
      <c r="C122" s="24" t="n">
        <v>2040.5</v>
      </c>
      <c r="D122" s="24" t="n">
        <v>2043.5</v>
      </c>
    </row>
    <row r="123">
      <c r="A123" s="23" t="inlineStr">
        <is>
          <t>Petrol displacement: share of FY2025 petrol travel displaced by 2050</t>
        </is>
      </c>
      <c r="B123" s="15" t="n">
        <v>0.78</v>
      </c>
      <c r="C123" s="15" t="n">
        <v>0.84</v>
      </c>
      <c r="D123" s="15" t="n">
        <v>0.68</v>
      </c>
    </row>
    <row r="124">
      <c r="A124" s="23" t="inlineStr">
        <is>
          <t>Heavy electric: fastest uptake speed (share points per year)</t>
        </is>
      </c>
      <c r="B124" s="15" t="n">
        <v>0.0175</v>
      </c>
      <c r="C124" s="15" t="n">
        <v>0.025</v>
      </c>
      <c r="D124" s="15" t="n">
        <v>0.01</v>
      </c>
    </row>
    <row r="125">
      <c r="A125" s="23" t="inlineStr">
        <is>
          <t>Heavy electric: midpoint year</t>
        </is>
      </c>
      <c r="B125" s="24" t="n">
        <v>2051</v>
      </c>
      <c r="C125" s="24" t="n">
        <v>2046</v>
      </c>
      <c r="D125" s="24" t="n">
        <v>2054</v>
      </c>
    </row>
    <row r="126">
      <c r="A126" s="23" t="inlineStr">
        <is>
          <t>Heavy electric: share of heavy pool by 2050</t>
        </is>
      </c>
      <c r="B126" s="15" t="n">
        <v>0.21</v>
      </c>
      <c r="C126" s="15" t="n">
        <v>0.36</v>
      </c>
      <c r="D126" s="15" t="n">
        <v>0.1</v>
      </c>
    </row>
    <row r="128">
      <c r="A128" s="3" t="inlineStr">
        <is>
          <t>Derived curve constants (base preset) - solved so each S-curve passes through its 2050 share at the stated speed</t>
        </is>
      </c>
      <c r="B128" s="4" t="n"/>
      <c r="C128" s="4" t="n"/>
      <c r="D128" s="4" t="n"/>
      <c r="E128" s="4" t="n"/>
      <c r="F128" s="4" t="n"/>
      <c r="G128" s="4" t="n"/>
      <c r="H128" s="4" t="n"/>
      <c r="I128" s="4" t="n"/>
      <c r="J128" s="4" t="n"/>
      <c r="K128" s="4" t="n"/>
    </row>
    <row r="129">
      <c r="A129" s="23" t="inlineStr">
        <is>
          <t>BEV curve ceiling (saturation share)</t>
        </is>
      </c>
      <c r="B129" s="29" t="n">
        <v>0.9204871564994974</v>
      </c>
      <c r="C129" s="2" t="inlineStr">
        <is>
          <t>Solved numerically (bisection) so the S-curve hits the 2050 share at the stated peak speed</t>
        </is>
      </c>
    </row>
    <row r="130">
      <c r="A130" s="23" t="inlineStr">
        <is>
          <t>BEV curve steepness</t>
        </is>
      </c>
      <c r="B130" s="30">
        <f>4*B114/B129</f>
        <v/>
      </c>
      <c r="C130" s="2" t="inlineStr">
        <is>
          <t>Equals 4 x peak speed / ceiling</t>
        </is>
      </c>
    </row>
    <row r="131">
      <c r="A131" s="23" t="inlineStr">
        <is>
          <t>Petrol displacement ceiling</t>
        </is>
      </c>
      <c r="B131" s="29" t="n">
        <v>0.9726971487783567</v>
      </c>
      <c r="C131" s="2" t="inlineStr">
        <is>
          <t>Solved the same way for the petrol displacement curve</t>
        </is>
      </c>
    </row>
    <row r="132">
      <c r="A132" s="23" t="inlineStr">
        <is>
          <t>Petrol displacement steepness</t>
        </is>
      </c>
      <c r="B132" s="30">
        <f>4*B121/B131</f>
        <v/>
      </c>
      <c r="C132" s="2" t="inlineStr">
        <is>
          <t>Equals 4 x peak speed / ceiling</t>
        </is>
      </c>
    </row>
    <row r="133">
      <c r="A133" s="23" t="inlineStr">
        <is>
          <t>Heavy electric ceiling</t>
        </is>
      </c>
      <c r="B133" s="29" t="n">
        <v>0.4549311086612247</v>
      </c>
      <c r="C133" s="2" t="inlineStr">
        <is>
          <t>Solved the same way for the heavy curve</t>
        </is>
      </c>
    </row>
    <row r="134">
      <c r="A134" s="23" t="inlineStr">
        <is>
          <t>Heavy electric steepness</t>
        </is>
      </c>
      <c r="B134" s="30">
        <f>4*B124/B133</f>
        <v/>
      </c>
      <c r="C134" s="2" t="inlineStr">
        <is>
          <t>Equals 4 x peak speed / ceiling</t>
        </is>
      </c>
    </row>
    <row r="135">
      <c r="A135" s="23" t="inlineStr">
        <is>
          <t>Plug-in hybrid peak year</t>
        </is>
      </c>
      <c r="B135" s="30">
        <f>2025+(B119-B117)/B118</f>
        <v/>
      </c>
      <c r="C135" s="2" t="inlineStr">
        <is>
          <t>Start share rises linearly until it reaches the peak share</t>
        </is>
      </c>
    </row>
    <row r="137">
      <c r="A137" s="3" t="inlineStr">
        <is>
          <t>Base-preset curves vs MoT official base scenario (green = linked from sheet 2)</t>
        </is>
      </c>
      <c r="B137" s="4" t="n"/>
      <c r="C137" s="4" t="n"/>
      <c r="D137" s="4" t="n"/>
      <c r="E137" s="4" t="n"/>
      <c r="F137" s="4" t="n"/>
      <c r="G137" s="4" t="n"/>
      <c r="H137" s="4" t="n"/>
      <c r="I137" s="4" t="n"/>
      <c r="J137" s="4" t="n"/>
      <c r="K137" s="4" t="n"/>
    </row>
    <row r="138">
      <c r="A138" s="13" t="inlineStr">
        <is>
          <t>June year</t>
        </is>
      </c>
      <c r="B138" s="13" t="inlineStr">
        <is>
          <t>BEV share (our formula)</t>
        </is>
      </c>
      <c r="C138" s="13" t="inlineStr">
        <is>
          <t>BEV share (MoT VFM)</t>
        </is>
      </c>
      <c r="D138" s="13" t="inlineStr">
        <is>
          <t>BEV gap (pp)</t>
        </is>
      </c>
      <c r="E138" s="13" t="inlineStr">
        <is>
          <t>PHEV share (our formula)</t>
        </is>
      </c>
      <c r="F138" s="13" t="inlineStr">
        <is>
          <t>PHEV share (MoT VFM)</t>
        </is>
      </c>
      <c r="G138" s="13" t="inlineStr">
        <is>
          <t>PHEV gap (pp)</t>
        </is>
      </c>
      <c r="H138" s="13" t="inlineStr">
        <is>
          <t>Petrol retained vs FY2025 (our formula)</t>
        </is>
      </c>
      <c r="I138" s="13" t="inlineStr">
        <is>
          <t>Heavy electric share (our formula)</t>
        </is>
      </c>
      <c r="J138" s="13" t="inlineStr">
        <is>
          <t>Heavy electric share (MoT VFM)</t>
        </is>
      </c>
      <c r="K138" s="13" t="inlineStr">
        <is>
          <t>Heavy gap (pp)</t>
        </is>
      </c>
    </row>
    <row r="139">
      <c r="A139" s="14" t="n">
        <v>2025</v>
      </c>
      <c r="B139" s="17">
        <f>B129/(1+EXP(-B130*(A139-B115)))</f>
        <v/>
      </c>
      <c r="C139" s="16">
        <f>'2. MoT VFM curves'!C7</f>
        <v/>
      </c>
      <c r="D139" s="27">
        <f>(B139-C139)*100</f>
        <v/>
      </c>
      <c r="E139" s="17">
        <f>IF(A139&lt;=B135,MIN(B117+B118*(A139-2025),B119),B119*EXP(-B120*(A139-B135)))</f>
        <v/>
      </c>
      <c r="F139" s="16">
        <f>'2. MoT VFM curves'!D7</f>
        <v/>
      </c>
      <c r="G139" s="27">
        <f>(E139-F139)*100</f>
        <v/>
      </c>
      <c r="H139" s="17">
        <f>(1-B131/(1+EXP(-B132*(A139-B122))))/(1-B131/(1+EXP(-B132*(2025-B122))))</f>
        <v/>
      </c>
      <c r="I139" s="17">
        <f>B133/(1+EXP(-B134*(A139-B125)))-B133/(1+EXP(-B134*(2025-B125)))</f>
        <v/>
      </c>
      <c r="J139" s="16">
        <f>'2. MoT VFM curves'!E7</f>
        <v/>
      </c>
      <c r="K139" s="27">
        <f>(I139-J139)*100</f>
        <v/>
      </c>
    </row>
    <row r="140">
      <c r="A140" s="14" t="n">
        <v>2026</v>
      </c>
      <c r="B140" s="17">
        <f>B129/(1+EXP(-B130*(A140-B115)))</f>
        <v/>
      </c>
      <c r="C140" s="16">
        <f>'2. MoT VFM curves'!C8</f>
        <v/>
      </c>
      <c r="D140" s="27">
        <f>(B140-C140)*100</f>
        <v/>
      </c>
      <c r="E140" s="17">
        <f>IF(A140&lt;=B135,MIN(B117+B118*(A140-2025),B119),B119*EXP(-B120*(A140-B135)))</f>
        <v/>
      </c>
      <c r="F140" s="16">
        <f>'2. MoT VFM curves'!D8</f>
        <v/>
      </c>
      <c r="G140" s="27">
        <f>(E140-F140)*100</f>
        <v/>
      </c>
      <c r="H140" s="17">
        <f>(1-B131/(1+EXP(-B132*(A140-B122))))/(1-B131/(1+EXP(-B132*(2025-B122))))</f>
        <v/>
      </c>
      <c r="I140" s="17">
        <f>B133/(1+EXP(-B134*(A140-B125)))-B133/(1+EXP(-B134*(2025-B125)))</f>
        <v/>
      </c>
      <c r="J140" s="16">
        <f>'2. MoT VFM curves'!E8</f>
        <v/>
      </c>
      <c r="K140" s="27">
        <f>(I140-J140)*100</f>
        <v/>
      </c>
    </row>
    <row r="141">
      <c r="A141" s="14" t="n">
        <v>2027</v>
      </c>
      <c r="B141" s="17">
        <f>B129/(1+EXP(-B130*(A141-B115)))</f>
        <v/>
      </c>
      <c r="C141" s="16">
        <f>'2. MoT VFM curves'!C9</f>
        <v/>
      </c>
      <c r="D141" s="27">
        <f>(B141-C141)*100</f>
        <v/>
      </c>
      <c r="E141" s="17">
        <f>IF(A141&lt;=B135,MIN(B117+B118*(A141-2025),B119),B119*EXP(-B120*(A141-B135)))</f>
        <v/>
      </c>
      <c r="F141" s="16">
        <f>'2. MoT VFM curves'!D9</f>
        <v/>
      </c>
      <c r="G141" s="27">
        <f>(E141-F141)*100</f>
        <v/>
      </c>
      <c r="H141" s="17">
        <f>(1-B131/(1+EXP(-B132*(A141-B122))))/(1-B131/(1+EXP(-B132*(2025-B122))))</f>
        <v/>
      </c>
      <c r="I141" s="17">
        <f>B133/(1+EXP(-B134*(A141-B125)))-B133/(1+EXP(-B134*(2025-B125)))</f>
        <v/>
      </c>
      <c r="J141" s="16">
        <f>'2. MoT VFM curves'!E9</f>
        <v/>
      </c>
      <c r="K141" s="27">
        <f>(I141-J141)*100</f>
        <v/>
      </c>
    </row>
    <row r="142">
      <c r="A142" s="14" t="n">
        <v>2028</v>
      </c>
      <c r="B142" s="17">
        <f>B129/(1+EXP(-B130*(A142-B115)))</f>
        <v/>
      </c>
      <c r="C142" s="16">
        <f>'2. MoT VFM curves'!C10</f>
        <v/>
      </c>
      <c r="D142" s="27">
        <f>(B142-C142)*100</f>
        <v/>
      </c>
      <c r="E142" s="17">
        <f>IF(A142&lt;=B135,MIN(B117+B118*(A142-2025),B119),B119*EXP(-B120*(A142-B135)))</f>
        <v/>
      </c>
      <c r="F142" s="16">
        <f>'2. MoT VFM curves'!D10</f>
        <v/>
      </c>
      <c r="G142" s="27">
        <f>(E142-F142)*100</f>
        <v/>
      </c>
      <c r="H142" s="17">
        <f>(1-B131/(1+EXP(-B132*(A142-B122))))/(1-B131/(1+EXP(-B132*(2025-B122))))</f>
        <v/>
      </c>
      <c r="I142" s="17">
        <f>B133/(1+EXP(-B134*(A142-B125)))-B133/(1+EXP(-B134*(2025-B125)))</f>
        <v/>
      </c>
      <c r="J142" s="16">
        <f>'2. MoT VFM curves'!E10</f>
        <v/>
      </c>
      <c r="K142" s="27">
        <f>(I142-J142)*100</f>
        <v/>
      </c>
    </row>
    <row r="143">
      <c r="A143" s="14" t="n">
        <v>2029</v>
      </c>
      <c r="B143" s="17">
        <f>B129/(1+EXP(-B130*(A143-B115)))</f>
        <v/>
      </c>
      <c r="C143" s="16">
        <f>'2. MoT VFM curves'!C11</f>
        <v/>
      </c>
      <c r="D143" s="27">
        <f>(B143-C143)*100</f>
        <v/>
      </c>
      <c r="E143" s="17">
        <f>IF(A143&lt;=B135,MIN(B117+B118*(A143-2025),B119),B119*EXP(-B120*(A143-B135)))</f>
        <v/>
      </c>
      <c r="F143" s="16">
        <f>'2. MoT VFM curves'!D11</f>
        <v/>
      </c>
      <c r="G143" s="27">
        <f>(E143-F143)*100</f>
        <v/>
      </c>
      <c r="H143" s="17">
        <f>(1-B131/(1+EXP(-B132*(A143-B122))))/(1-B131/(1+EXP(-B132*(2025-B122))))</f>
        <v/>
      </c>
      <c r="I143" s="17">
        <f>B133/(1+EXP(-B134*(A143-B125)))-B133/(1+EXP(-B134*(2025-B125)))</f>
        <v/>
      </c>
      <c r="J143" s="16">
        <f>'2. MoT VFM curves'!E11</f>
        <v/>
      </c>
      <c r="K143" s="27">
        <f>(I143-J143)*100</f>
        <v/>
      </c>
    </row>
    <row r="144">
      <c r="A144" s="14" t="n">
        <v>2030</v>
      </c>
      <c r="B144" s="17">
        <f>B129/(1+EXP(-B130*(A144-B115)))</f>
        <v/>
      </c>
      <c r="C144" s="16">
        <f>'2. MoT VFM curves'!C12</f>
        <v/>
      </c>
      <c r="D144" s="27">
        <f>(B144-C144)*100</f>
        <v/>
      </c>
      <c r="E144" s="17">
        <f>IF(A144&lt;=B135,MIN(B117+B118*(A144-2025),B119),B119*EXP(-B120*(A144-B135)))</f>
        <v/>
      </c>
      <c r="F144" s="16">
        <f>'2. MoT VFM curves'!D12</f>
        <v/>
      </c>
      <c r="G144" s="27">
        <f>(E144-F144)*100</f>
        <v/>
      </c>
      <c r="H144" s="17">
        <f>(1-B131/(1+EXP(-B132*(A144-B122))))/(1-B131/(1+EXP(-B132*(2025-B122))))</f>
        <v/>
      </c>
      <c r="I144" s="17">
        <f>B133/(1+EXP(-B134*(A144-B125)))-B133/(1+EXP(-B134*(2025-B125)))</f>
        <v/>
      </c>
      <c r="J144" s="16">
        <f>'2. MoT VFM curves'!E12</f>
        <v/>
      </c>
      <c r="K144" s="27">
        <f>(I144-J144)*100</f>
        <v/>
      </c>
    </row>
    <row r="145">
      <c r="A145" s="14" t="n">
        <v>2031</v>
      </c>
      <c r="B145" s="17">
        <f>B129/(1+EXP(-B130*(A145-B115)))</f>
        <v/>
      </c>
      <c r="C145" s="16">
        <f>'2. MoT VFM curves'!C13</f>
        <v/>
      </c>
      <c r="D145" s="27">
        <f>(B145-C145)*100</f>
        <v/>
      </c>
      <c r="E145" s="17">
        <f>IF(A145&lt;=B135,MIN(B117+B118*(A145-2025),B119),B119*EXP(-B120*(A145-B135)))</f>
        <v/>
      </c>
      <c r="F145" s="16">
        <f>'2. MoT VFM curves'!D13</f>
        <v/>
      </c>
      <c r="G145" s="27">
        <f>(E145-F145)*100</f>
        <v/>
      </c>
      <c r="H145" s="17">
        <f>(1-B131/(1+EXP(-B132*(A145-B122))))/(1-B131/(1+EXP(-B132*(2025-B122))))</f>
        <v/>
      </c>
      <c r="I145" s="17">
        <f>B133/(1+EXP(-B134*(A145-B125)))-B133/(1+EXP(-B134*(2025-B125)))</f>
        <v/>
      </c>
      <c r="J145" s="16">
        <f>'2. MoT VFM curves'!E13</f>
        <v/>
      </c>
      <c r="K145" s="27">
        <f>(I145-J145)*100</f>
        <v/>
      </c>
    </row>
    <row r="146">
      <c r="A146" s="14" t="n">
        <v>2032</v>
      </c>
      <c r="B146" s="17">
        <f>B129/(1+EXP(-B130*(A146-B115)))</f>
        <v/>
      </c>
      <c r="C146" s="16">
        <f>'2. MoT VFM curves'!C14</f>
        <v/>
      </c>
      <c r="D146" s="27">
        <f>(B146-C146)*100</f>
        <v/>
      </c>
      <c r="E146" s="17">
        <f>IF(A146&lt;=B135,MIN(B117+B118*(A146-2025),B119),B119*EXP(-B120*(A146-B135)))</f>
        <v/>
      </c>
      <c r="F146" s="16">
        <f>'2. MoT VFM curves'!D14</f>
        <v/>
      </c>
      <c r="G146" s="27">
        <f>(E146-F146)*100</f>
        <v/>
      </c>
      <c r="H146" s="17">
        <f>(1-B131/(1+EXP(-B132*(A146-B122))))/(1-B131/(1+EXP(-B132*(2025-B122))))</f>
        <v/>
      </c>
      <c r="I146" s="17">
        <f>B133/(1+EXP(-B134*(A146-B125)))-B133/(1+EXP(-B134*(2025-B125)))</f>
        <v/>
      </c>
      <c r="J146" s="16">
        <f>'2. MoT VFM curves'!E14</f>
        <v/>
      </c>
      <c r="K146" s="27">
        <f>(I146-J146)*100</f>
        <v/>
      </c>
    </row>
    <row r="147">
      <c r="A147" s="14" t="n">
        <v>2033</v>
      </c>
      <c r="B147" s="17">
        <f>B129/(1+EXP(-B130*(A147-B115)))</f>
        <v/>
      </c>
      <c r="C147" s="16">
        <f>'2. MoT VFM curves'!C15</f>
        <v/>
      </c>
      <c r="D147" s="27">
        <f>(B147-C147)*100</f>
        <v/>
      </c>
      <c r="E147" s="17">
        <f>IF(A147&lt;=B135,MIN(B117+B118*(A147-2025),B119),B119*EXP(-B120*(A147-B135)))</f>
        <v/>
      </c>
      <c r="F147" s="16">
        <f>'2. MoT VFM curves'!D15</f>
        <v/>
      </c>
      <c r="G147" s="27">
        <f>(E147-F147)*100</f>
        <v/>
      </c>
      <c r="H147" s="17">
        <f>(1-B131/(1+EXP(-B132*(A147-B122))))/(1-B131/(1+EXP(-B132*(2025-B122))))</f>
        <v/>
      </c>
      <c r="I147" s="17">
        <f>B133/(1+EXP(-B134*(A147-B125)))-B133/(1+EXP(-B134*(2025-B125)))</f>
        <v/>
      </c>
      <c r="J147" s="16">
        <f>'2. MoT VFM curves'!E15</f>
        <v/>
      </c>
      <c r="K147" s="27">
        <f>(I147-J147)*100</f>
        <v/>
      </c>
    </row>
    <row r="148">
      <c r="A148" s="14" t="n">
        <v>2034</v>
      </c>
      <c r="B148" s="17">
        <f>B129/(1+EXP(-B130*(A148-B115)))</f>
        <v/>
      </c>
      <c r="C148" s="16">
        <f>'2. MoT VFM curves'!C16</f>
        <v/>
      </c>
      <c r="D148" s="27">
        <f>(B148-C148)*100</f>
        <v/>
      </c>
      <c r="E148" s="17">
        <f>IF(A148&lt;=B135,MIN(B117+B118*(A148-2025),B119),B119*EXP(-B120*(A148-B135)))</f>
        <v/>
      </c>
      <c r="F148" s="16">
        <f>'2. MoT VFM curves'!D16</f>
        <v/>
      </c>
      <c r="G148" s="27">
        <f>(E148-F148)*100</f>
        <v/>
      </c>
      <c r="H148" s="17">
        <f>(1-B131/(1+EXP(-B132*(A148-B122))))/(1-B131/(1+EXP(-B132*(2025-B122))))</f>
        <v/>
      </c>
      <c r="I148" s="17">
        <f>B133/(1+EXP(-B134*(A148-B125)))-B133/(1+EXP(-B134*(2025-B125)))</f>
        <v/>
      </c>
      <c r="J148" s="16">
        <f>'2. MoT VFM curves'!E16</f>
        <v/>
      </c>
      <c r="K148" s="27">
        <f>(I148-J148)*100</f>
        <v/>
      </c>
    </row>
    <row r="149">
      <c r="A149" s="14" t="n">
        <v>2035</v>
      </c>
      <c r="B149" s="17">
        <f>B129/(1+EXP(-B130*(A149-B115)))</f>
        <v/>
      </c>
      <c r="C149" s="16">
        <f>'2. MoT VFM curves'!C17</f>
        <v/>
      </c>
      <c r="D149" s="27">
        <f>(B149-C149)*100</f>
        <v/>
      </c>
      <c r="E149" s="17">
        <f>IF(A149&lt;=B135,MIN(B117+B118*(A149-2025),B119),B119*EXP(-B120*(A149-B135)))</f>
        <v/>
      </c>
      <c r="F149" s="16">
        <f>'2. MoT VFM curves'!D17</f>
        <v/>
      </c>
      <c r="G149" s="27">
        <f>(E149-F149)*100</f>
        <v/>
      </c>
      <c r="H149" s="17">
        <f>(1-B131/(1+EXP(-B132*(A149-B122))))/(1-B131/(1+EXP(-B132*(2025-B122))))</f>
        <v/>
      </c>
      <c r="I149" s="17">
        <f>B133/(1+EXP(-B134*(A149-B125)))-B133/(1+EXP(-B134*(2025-B125)))</f>
        <v/>
      </c>
      <c r="J149" s="16">
        <f>'2. MoT VFM curves'!E17</f>
        <v/>
      </c>
      <c r="K149" s="27">
        <f>(I149-J149)*100</f>
        <v/>
      </c>
    </row>
    <row r="150">
      <c r="A150" s="14" t="n">
        <v>2036</v>
      </c>
      <c r="B150" s="17">
        <f>B129/(1+EXP(-B130*(A150-B115)))</f>
        <v/>
      </c>
      <c r="C150" s="16">
        <f>'2. MoT VFM curves'!C18</f>
        <v/>
      </c>
      <c r="D150" s="27">
        <f>(B150-C150)*100</f>
        <v/>
      </c>
      <c r="E150" s="17">
        <f>IF(A150&lt;=B135,MIN(B117+B118*(A150-2025),B119),B119*EXP(-B120*(A150-B135)))</f>
        <v/>
      </c>
      <c r="F150" s="16">
        <f>'2. MoT VFM curves'!D18</f>
        <v/>
      </c>
      <c r="G150" s="27">
        <f>(E150-F150)*100</f>
        <v/>
      </c>
      <c r="H150" s="17">
        <f>(1-B131/(1+EXP(-B132*(A150-B122))))/(1-B131/(1+EXP(-B132*(2025-B122))))</f>
        <v/>
      </c>
      <c r="I150" s="17">
        <f>B133/(1+EXP(-B134*(A150-B125)))-B133/(1+EXP(-B134*(2025-B125)))</f>
        <v/>
      </c>
      <c r="J150" s="16">
        <f>'2. MoT VFM curves'!E18</f>
        <v/>
      </c>
      <c r="K150" s="27">
        <f>(I150-J150)*100</f>
        <v/>
      </c>
    </row>
    <row r="151">
      <c r="A151" s="14" t="n">
        <v>2037</v>
      </c>
      <c r="B151" s="17">
        <f>B129/(1+EXP(-B130*(A151-B115)))</f>
        <v/>
      </c>
      <c r="C151" s="16">
        <f>'2. MoT VFM curves'!C19</f>
        <v/>
      </c>
      <c r="D151" s="27">
        <f>(B151-C151)*100</f>
        <v/>
      </c>
      <c r="E151" s="17">
        <f>IF(A151&lt;=B135,MIN(B117+B118*(A151-2025),B119),B119*EXP(-B120*(A151-B135)))</f>
        <v/>
      </c>
      <c r="F151" s="16">
        <f>'2. MoT VFM curves'!D19</f>
        <v/>
      </c>
      <c r="G151" s="27">
        <f>(E151-F151)*100</f>
        <v/>
      </c>
      <c r="H151" s="17">
        <f>(1-B131/(1+EXP(-B132*(A151-B122))))/(1-B131/(1+EXP(-B132*(2025-B122))))</f>
        <v/>
      </c>
      <c r="I151" s="17">
        <f>B133/(1+EXP(-B134*(A151-B125)))-B133/(1+EXP(-B134*(2025-B125)))</f>
        <v/>
      </c>
      <c r="J151" s="16">
        <f>'2. MoT VFM curves'!E19</f>
        <v/>
      </c>
      <c r="K151" s="27">
        <f>(I151-J151)*100</f>
        <v/>
      </c>
    </row>
    <row r="152">
      <c r="A152" s="14" t="n">
        <v>2038</v>
      </c>
      <c r="B152" s="17">
        <f>B129/(1+EXP(-B130*(A152-B115)))</f>
        <v/>
      </c>
      <c r="C152" s="16">
        <f>'2. MoT VFM curves'!C20</f>
        <v/>
      </c>
      <c r="D152" s="27">
        <f>(B152-C152)*100</f>
        <v/>
      </c>
      <c r="E152" s="17">
        <f>IF(A152&lt;=B135,MIN(B117+B118*(A152-2025),B119),B119*EXP(-B120*(A152-B135)))</f>
        <v/>
      </c>
      <c r="F152" s="16">
        <f>'2. MoT VFM curves'!D20</f>
        <v/>
      </c>
      <c r="G152" s="27">
        <f>(E152-F152)*100</f>
        <v/>
      </c>
      <c r="H152" s="17">
        <f>(1-B131/(1+EXP(-B132*(A152-B122))))/(1-B131/(1+EXP(-B132*(2025-B122))))</f>
        <v/>
      </c>
      <c r="I152" s="17">
        <f>B133/(1+EXP(-B134*(A152-B125)))-B133/(1+EXP(-B134*(2025-B125)))</f>
        <v/>
      </c>
      <c r="J152" s="16">
        <f>'2. MoT VFM curves'!E20</f>
        <v/>
      </c>
      <c r="K152" s="27">
        <f>(I152-J152)*100</f>
        <v/>
      </c>
    </row>
    <row r="153">
      <c r="A153" s="14" t="n">
        <v>2039</v>
      </c>
      <c r="B153" s="17">
        <f>B129/(1+EXP(-B130*(A153-B115)))</f>
        <v/>
      </c>
      <c r="C153" s="16">
        <f>'2. MoT VFM curves'!C21</f>
        <v/>
      </c>
      <c r="D153" s="27">
        <f>(B153-C153)*100</f>
        <v/>
      </c>
      <c r="E153" s="17">
        <f>IF(A153&lt;=B135,MIN(B117+B118*(A153-2025),B119),B119*EXP(-B120*(A153-B135)))</f>
        <v/>
      </c>
      <c r="F153" s="16">
        <f>'2. MoT VFM curves'!D21</f>
        <v/>
      </c>
      <c r="G153" s="27">
        <f>(E153-F153)*100</f>
        <v/>
      </c>
      <c r="H153" s="17">
        <f>(1-B131/(1+EXP(-B132*(A153-B122))))/(1-B131/(1+EXP(-B132*(2025-B122))))</f>
        <v/>
      </c>
      <c r="I153" s="17">
        <f>B133/(1+EXP(-B134*(A153-B125)))-B133/(1+EXP(-B134*(2025-B125)))</f>
        <v/>
      </c>
      <c r="J153" s="16">
        <f>'2. MoT VFM curves'!E21</f>
        <v/>
      </c>
      <c r="K153" s="27">
        <f>(I153-J153)*100</f>
        <v/>
      </c>
    </row>
    <row r="154">
      <c r="A154" s="14" t="n">
        <v>2040</v>
      </c>
      <c r="B154" s="17">
        <f>B129/(1+EXP(-B130*(A154-B115)))</f>
        <v/>
      </c>
      <c r="C154" s="16">
        <f>'2. MoT VFM curves'!C22</f>
        <v/>
      </c>
      <c r="D154" s="27">
        <f>(B154-C154)*100</f>
        <v/>
      </c>
      <c r="E154" s="17">
        <f>IF(A154&lt;=B135,MIN(B117+B118*(A154-2025),B119),B119*EXP(-B120*(A154-B135)))</f>
        <v/>
      </c>
      <c r="F154" s="16">
        <f>'2. MoT VFM curves'!D22</f>
        <v/>
      </c>
      <c r="G154" s="27">
        <f>(E154-F154)*100</f>
        <v/>
      </c>
      <c r="H154" s="17">
        <f>(1-B131/(1+EXP(-B132*(A154-B122))))/(1-B131/(1+EXP(-B132*(2025-B122))))</f>
        <v/>
      </c>
      <c r="I154" s="17">
        <f>B133/(1+EXP(-B134*(A154-B125)))-B133/(1+EXP(-B134*(2025-B125)))</f>
        <v/>
      </c>
      <c r="J154" s="16">
        <f>'2. MoT VFM curves'!E22</f>
        <v/>
      </c>
      <c r="K154" s="27">
        <f>(I154-J154)*100</f>
        <v/>
      </c>
    </row>
    <row r="155">
      <c r="A155" s="14" t="n">
        <v>2041</v>
      </c>
      <c r="B155" s="17">
        <f>B129/(1+EXP(-B130*(A155-B115)))</f>
        <v/>
      </c>
      <c r="C155" s="16">
        <f>'2. MoT VFM curves'!C23</f>
        <v/>
      </c>
      <c r="D155" s="27">
        <f>(B155-C155)*100</f>
        <v/>
      </c>
      <c r="E155" s="17">
        <f>IF(A155&lt;=B135,MIN(B117+B118*(A155-2025),B119),B119*EXP(-B120*(A155-B135)))</f>
        <v/>
      </c>
      <c r="F155" s="16">
        <f>'2. MoT VFM curves'!D23</f>
        <v/>
      </c>
      <c r="G155" s="27">
        <f>(E155-F155)*100</f>
        <v/>
      </c>
      <c r="H155" s="17">
        <f>(1-B131/(1+EXP(-B132*(A155-B122))))/(1-B131/(1+EXP(-B132*(2025-B122))))</f>
        <v/>
      </c>
      <c r="I155" s="17">
        <f>B133/(1+EXP(-B134*(A155-B125)))-B133/(1+EXP(-B134*(2025-B125)))</f>
        <v/>
      </c>
      <c r="J155" s="16">
        <f>'2. MoT VFM curves'!E23</f>
        <v/>
      </c>
      <c r="K155" s="27">
        <f>(I155-J155)*100</f>
        <v/>
      </c>
    </row>
    <row r="156">
      <c r="A156" s="14" t="n">
        <v>2042</v>
      </c>
      <c r="B156" s="17">
        <f>B129/(1+EXP(-B130*(A156-B115)))</f>
        <v/>
      </c>
      <c r="C156" s="16">
        <f>'2. MoT VFM curves'!C24</f>
        <v/>
      </c>
      <c r="D156" s="27">
        <f>(B156-C156)*100</f>
        <v/>
      </c>
      <c r="E156" s="17">
        <f>IF(A156&lt;=B135,MIN(B117+B118*(A156-2025),B119),B119*EXP(-B120*(A156-B135)))</f>
        <v/>
      </c>
      <c r="F156" s="16">
        <f>'2. MoT VFM curves'!D24</f>
        <v/>
      </c>
      <c r="G156" s="27">
        <f>(E156-F156)*100</f>
        <v/>
      </c>
      <c r="H156" s="17">
        <f>(1-B131/(1+EXP(-B132*(A156-B122))))/(1-B131/(1+EXP(-B132*(2025-B122))))</f>
        <v/>
      </c>
      <c r="I156" s="17">
        <f>B133/(1+EXP(-B134*(A156-B125)))-B133/(1+EXP(-B134*(2025-B125)))</f>
        <v/>
      </c>
      <c r="J156" s="16">
        <f>'2. MoT VFM curves'!E24</f>
        <v/>
      </c>
      <c r="K156" s="27">
        <f>(I156-J156)*100</f>
        <v/>
      </c>
    </row>
    <row r="157">
      <c r="A157" s="14" t="n">
        <v>2043</v>
      </c>
      <c r="B157" s="17">
        <f>B129/(1+EXP(-B130*(A157-B115)))</f>
        <v/>
      </c>
      <c r="C157" s="16">
        <f>'2. MoT VFM curves'!C25</f>
        <v/>
      </c>
      <c r="D157" s="27">
        <f>(B157-C157)*100</f>
        <v/>
      </c>
      <c r="E157" s="17">
        <f>IF(A157&lt;=B135,MIN(B117+B118*(A157-2025),B119),B119*EXP(-B120*(A157-B135)))</f>
        <v/>
      </c>
      <c r="F157" s="16">
        <f>'2. MoT VFM curves'!D25</f>
        <v/>
      </c>
      <c r="G157" s="27">
        <f>(E157-F157)*100</f>
        <v/>
      </c>
      <c r="H157" s="17">
        <f>(1-B131/(1+EXP(-B132*(A157-B122))))/(1-B131/(1+EXP(-B132*(2025-B122))))</f>
        <v/>
      </c>
      <c r="I157" s="17">
        <f>B133/(1+EXP(-B134*(A157-B125)))-B133/(1+EXP(-B134*(2025-B125)))</f>
        <v/>
      </c>
      <c r="J157" s="16">
        <f>'2. MoT VFM curves'!E25</f>
        <v/>
      </c>
      <c r="K157" s="27">
        <f>(I157-J157)*100</f>
        <v/>
      </c>
    </row>
    <row r="158">
      <c r="A158" s="14" t="n">
        <v>2044</v>
      </c>
      <c r="B158" s="17">
        <f>B129/(1+EXP(-B130*(A158-B115)))</f>
        <v/>
      </c>
      <c r="C158" s="16">
        <f>'2. MoT VFM curves'!C26</f>
        <v/>
      </c>
      <c r="D158" s="27">
        <f>(B158-C158)*100</f>
        <v/>
      </c>
      <c r="E158" s="17">
        <f>IF(A158&lt;=B135,MIN(B117+B118*(A158-2025),B119),B119*EXP(-B120*(A158-B135)))</f>
        <v/>
      </c>
      <c r="F158" s="16">
        <f>'2. MoT VFM curves'!D26</f>
        <v/>
      </c>
      <c r="G158" s="27">
        <f>(E158-F158)*100</f>
        <v/>
      </c>
      <c r="H158" s="17">
        <f>(1-B131/(1+EXP(-B132*(A158-B122))))/(1-B131/(1+EXP(-B132*(2025-B122))))</f>
        <v/>
      </c>
      <c r="I158" s="17">
        <f>B133/(1+EXP(-B134*(A158-B125)))-B133/(1+EXP(-B134*(2025-B125)))</f>
        <v/>
      </c>
      <c r="J158" s="16">
        <f>'2. MoT VFM curves'!E26</f>
        <v/>
      </c>
      <c r="K158" s="27">
        <f>(I158-J158)*100</f>
        <v/>
      </c>
    </row>
    <row r="159">
      <c r="A159" s="14" t="n">
        <v>2045</v>
      </c>
      <c r="B159" s="17">
        <f>B129/(1+EXP(-B130*(A159-B115)))</f>
        <v/>
      </c>
      <c r="C159" s="16">
        <f>'2. MoT VFM curves'!C27</f>
        <v/>
      </c>
      <c r="D159" s="27">
        <f>(B159-C159)*100</f>
        <v/>
      </c>
      <c r="E159" s="17">
        <f>IF(A159&lt;=B135,MIN(B117+B118*(A159-2025),B119),B119*EXP(-B120*(A159-B135)))</f>
        <v/>
      </c>
      <c r="F159" s="16">
        <f>'2. MoT VFM curves'!D27</f>
        <v/>
      </c>
      <c r="G159" s="27">
        <f>(E159-F159)*100</f>
        <v/>
      </c>
      <c r="H159" s="17">
        <f>(1-B131/(1+EXP(-B132*(A159-B122))))/(1-B131/(1+EXP(-B132*(2025-B122))))</f>
        <v/>
      </c>
      <c r="I159" s="17">
        <f>B133/(1+EXP(-B134*(A159-B125)))-B133/(1+EXP(-B134*(2025-B125)))</f>
        <v/>
      </c>
      <c r="J159" s="16">
        <f>'2. MoT VFM curves'!E27</f>
        <v/>
      </c>
      <c r="K159" s="27">
        <f>(I159-J159)*100</f>
        <v/>
      </c>
    </row>
    <row r="160">
      <c r="A160" s="14" t="n">
        <v>2046</v>
      </c>
      <c r="B160" s="17">
        <f>B129/(1+EXP(-B130*(A160-B115)))</f>
        <v/>
      </c>
      <c r="C160" s="16">
        <f>'2. MoT VFM curves'!C28</f>
        <v/>
      </c>
      <c r="D160" s="27">
        <f>(B160-C160)*100</f>
        <v/>
      </c>
      <c r="E160" s="17">
        <f>IF(A160&lt;=B135,MIN(B117+B118*(A160-2025),B119),B119*EXP(-B120*(A160-B135)))</f>
        <v/>
      </c>
      <c r="F160" s="16">
        <f>'2. MoT VFM curves'!D28</f>
        <v/>
      </c>
      <c r="G160" s="27">
        <f>(E160-F160)*100</f>
        <v/>
      </c>
      <c r="H160" s="17">
        <f>(1-B131/(1+EXP(-B132*(A160-B122))))/(1-B131/(1+EXP(-B132*(2025-B122))))</f>
        <v/>
      </c>
      <c r="I160" s="17">
        <f>B133/(1+EXP(-B134*(A160-B125)))-B133/(1+EXP(-B134*(2025-B125)))</f>
        <v/>
      </c>
      <c r="J160" s="16">
        <f>'2. MoT VFM curves'!E28</f>
        <v/>
      </c>
      <c r="K160" s="27">
        <f>(I160-J160)*100</f>
        <v/>
      </c>
    </row>
    <row r="161">
      <c r="A161" s="14" t="n">
        <v>2047</v>
      </c>
      <c r="B161" s="17">
        <f>B129/(1+EXP(-B130*(A161-B115)))</f>
        <v/>
      </c>
      <c r="C161" s="16">
        <f>'2. MoT VFM curves'!C29</f>
        <v/>
      </c>
      <c r="D161" s="27">
        <f>(B161-C161)*100</f>
        <v/>
      </c>
      <c r="E161" s="17">
        <f>IF(A161&lt;=B135,MIN(B117+B118*(A161-2025),B119),B119*EXP(-B120*(A161-B135)))</f>
        <v/>
      </c>
      <c r="F161" s="16">
        <f>'2. MoT VFM curves'!D29</f>
        <v/>
      </c>
      <c r="G161" s="27">
        <f>(E161-F161)*100</f>
        <v/>
      </c>
      <c r="H161" s="17">
        <f>(1-B131/(1+EXP(-B132*(A161-B122))))/(1-B131/(1+EXP(-B132*(2025-B122))))</f>
        <v/>
      </c>
      <c r="I161" s="17">
        <f>B133/(1+EXP(-B134*(A161-B125)))-B133/(1+EXP(-B134*(2025-B125)))</f>
        <v/>
      </c>
      <c r="J161" s="16">
        <f>'2. MoT VFM curves'!E29</f>
        <v/>
      </c>
      <c r="K161" s="27">
        <f>(I161-J161)*100</f>
        <v/>
      </c>
    </row>
    <row r="162">
      <c r="A162" s="14" t="n">
        <v>2048</v>
      </c>
      <c r="B162" s="17">
        <f>B129/(1+EXP(-B130*(A162-B115)))</f>
        <v/>
      </c>
      <c r="C162" s="16">
        <f>'2. MoT VFM curves'!C30</f>
        <v/>
      </c>
      <c r="D162" s="27">
        <f>(B162-C162)*100</f>
        <v/>
      </c>
      <c r="E162" s="17">
        <f>IF(A162&lt;=B135,MIN(B117+B118*(A162-2025),B119),B119*EXP(-B120*(A162-B135)))</f>
        <v/>
      </c>
      <c r="F162" s="16">
        <f>'2. MoT VFM curves'!D30</f>
        <v/>
      </c>
      <c r="G162" s="27">
        <f>(E162-F162)*100</f>
        <v/>
      </c>
      <c r="H162" s="17">
        <f>(1-B131/(1+EXP(-B132*(A162-B122))))/(1-B131/(1+EXP(-B132*(2025-B122))))</f>
        <v/>
      </c>
      <c r="I162" s="17">
        <f>B133/(1+EXP(-B134*(A162-B125)))-B133/(1+EXP(-B134*(2025-B125)))</f>
        <v/>
      </c>
      <c r="J162" s="16">
        <f>'2. MoT VFM curves'!E30</f>
        <v/>
      </c>
      <c r="K162" s="27">
        <f>(I162-J162)*100</f>
        <v/>
      </c>
    </row>
    <row r="163">
      <c r="A163" s="14" t="n">
        <v>2049</v>
      </c>
      <c r="B163" s="17">
        <f>B129/(1+EXP(-B130*(A163-B115)))</f>
        <v/>
      </c>
      <c r="C163" s="16">
        <f>'2. MoT VFM curves'!C31</f>
        <v/>
      </c>
      <c r="D163" s="27">
        <f>(B163-C163)*100</f>
        <v/>
      </c>
      <c r="E163" s="17">
        <f>IF(A163&lt;=B135,MIN(B117+B118*(A163-2025),B119),B119*EXP(-B120*(A163-B135)))</f>
        <v/>
      </c>
      <c r="F163" s="16">
        <f>'2. MoT VFM curves'!D31</f>
        <v/>
      </c>
      <c r="G163" s="27">
        <f>(E163-F163)*100</f>
        <v/>
      </c>
      <c r="H163" s="17">
        <f>(1-B131/(1+EXP(-B132*(A163-B122))))/(1-B131/(1+EXP(-B132*(2025-B122))))</f>
        <v/>
      </c>
      <c r="I163" s="17">
        <f>B133/(1+EXP(-B134*(A163-B125)))-B133/(1+EXP(-B134*(2025-B125)))</f>
        <v/>
      </c>
      <c r="J163" s="16">
        <f>'2. MoT VFM curves'!E31</f>
        <v/>
      </c>
      <c r="K163" s="27">
        <f>(I163-J163)*100</f>
        <v/>
      </c>
    </row>
    <row r="164">
      <c r="A164" s="14" t="n">
        <v>2050</v>
      </c>
      <c r="B164" s="17">
        <f>B129/(1+EXP(-B130*(A164-B115)))</f>
        <v/>
      </c>
      <c r="C164" s="16">
        <f>'2. MoT VFM curves'!C32</f>
        <v/>
      </c>
      <c r="D164" s="27">
        <f>(B164-C164)*100</f>
        <v/>
      </c>
      <c r="E164" s="17">
        <f>IF(A164&lt;=B135,MIN(B117+B118*(A164-2025),B119),B119*EXP(-B120*(A164-B135)))</f>
        <v/>
      </c>
      <c r="F164" s="16">
        <f>'2. MoT VFM curves'!D32</f>
        <v/>
      </c>
      <c r="G164" s="27">
        <f>(E164-F164)*100</f>
        <v/>
      </c>
      <c r="H164" s="17">
        <f>(1-B131/(1+EXP(-B132*(A164-B122))))/(1-B131/(1+EXP(-B132*(2025-B122))))</f>
        <v/>
      </c>
      <c r="I164" s="17">
        <f>B133/(1+EXP(-B134*(A164-B125)))-B133/(1+EXP(-B134*(2025-B125)))</f>
        <v/>
      </c>
      <c r="J164" s="16">
        <f>'2. MoT VFM curves'!E32</f>
        <v/>
      </c>
      <c r="K164" s="27">
        <f>(I164-J164)*100</f>
        <v/>
      </c>
    </row>
    <row r="165">
      <c r="A165" s="19" t="inlineStr">
        <is>
          <t>Largest gap (share points)</t>
        </is>
      </c>
      <c r="D165" s="31">
        <f>MAX(MAX(D139:D164),-MIN(D139:D164))</f>
        <v/>
      </c>
      <c r="G165" s="31">
        <f>MAX(MAX(G139:G164),-MIN(G139:G164))</f>
        <v/>
      </c>
      <c r="K165" s="31">
        <f>MAX(MAX(K139:K164),-MIN(K139:K164))</f>
        <v/>
      </c>
    </row>
    <row r="167">
      <c r="A167" s="2" t="inlineStr">
        <is>
          <t>The base preset reproduces MoT's official base scenario within about 1.5 share points across 2025-2050 (the fast/slow presets do the same for the fast/slow scenarios). MBU26's official class mix matches the VFM base scenario within the same tolerance, so one set of dials speaks both languages.</t>
        </is>
      </c>
    </row>
  </sheetData>
  <mergeCells count="23">
    <mergeCell ref="A5:J5"/>
    <mergeCell ref="C134:H134"/>
    <mergeCell ref="A8:J8"/>
    <mergeCell ref="F16:G16"/>
    <mergeCell ref="C133:H133"/>
    <mergeCell ref="C129:H129"/>
    <mergeCell ref="A52:J52"/>
    <mergeCell ref="C130:H130"/>
    <mergeCell ref="F15:G15"/>
    <mergeCell ref="C132:H132"/>
    <mergeCell ref="F18:G18"/>
    <mergeCell ref="C135:H135"/>
    <mergeCell ref="F17:G17"/>
    <mergeCell ref="A11:J11"/>
    <mergeCell ref="F20:J22"/>
    <mergeCell ref="A6:J6"/>
    <mergeCell ref="A88:J88"/>
    <mergeCell ref="C131:H131"/>
    <mergeCell ref="A7:J7"/>
    <mergeCell ref="A54:J54"/>
    <mergeCell ref="F14:G14"/>
    <mergeCell ref="A57:J57"/>
    <mergeCell ref="A95:J9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showGridLines="0" workbookViewId="0">
      <pane ySplit="5" topLeftCell="A6" activePane="bottomLeft" state="frozen"/>
      <selection pane="bottomLeft" activeCell="A1" sqref="A1"/>
    </sheetView>
  </sheetViews>
  <sheetFormatPr baseColWidth="8" defaultRowHeight="15"/>
  <cols>
    <col width="9" customWidth="1" min="1" max="1"/>
    <col width="10" customWidth="1" min="2" max="2"/>
    <col width="26" customWidth="1" min="3" max="3"/>
    <col width="15" customWidth="1" min="4" max="4"/>
    <col width="13" customWidth="1" min="5" max="5"/>
    <col width="34" customWidth="1" min="6" max="6"/>
    <col width="15" customWidth="1" min="7" max="7"/>
    <col width="16" customWidth="1" min="8" max="8"/>
    <col width="14" customWidth="1" min="9" max="9"/>
    <col width="16" customWidth="1" min="10" max="10"/>
    <col width="14" customWidth="1" min="11" max="11"/>
  </cols>
  <sheetData>
    <row r="1">
      <c r="A1" s="1" t="inlineStr">
        <is>
          <t>What the models forecast (quarterly)</t>
        </is>
      </c>
    </row>
    <row r="2">
      <c r="A2" s="2" t="inlineStr">
        <is>
          <t>The engine's three activity forecasts, quarter by quarter. Petrol travel per person comes from the AR(1) time-series model; light and heavy RUC kilometres from their governed models. Population is the scenario input used to gross per-person travel up to national kilometres.</t>
        </is>
      </c>
    </row>
    <row r="4">
      <c r="A4" s="3" t="inlineStr">
        <is>
          <t>Quarterly model outputs and population, FY2026-FY2050 (blue = committed model/pack values)</t>
        </is>
      </c>
      <c r="B4" s="4" t="n"/>
      <c r="C4" s="4" t="n"/>
      <c r="D4" s="4" t="n"/>
      <c r="E4" s="4" t="n"/>
      <c r="F4" s="4" t="n"/>
      <c r="G4" s="4" t="n"/>
      <c r="H4" s="4" t="n"/>
      <c r="I4" s="4" t="n"/>
      <c r="J4" s="4" t="n"/>
      <c r="K4" s="4" t="n"/>
    </row>
    <row r="5">
      <c r="A5" s="13" t="inlineStr">
        <is>
          <t>June year</t>
        </is>
      </c>
      <c r="B5" s="13" t="inlineStr">
        <is>
          <t>Quarter</t>
        </is>
      </c>
      <c r="C5" s="13" t="inlineStr">
        <is>
          <t>Value source</t>
        </is>
      </c>
      <c r="D5" s="13" t="inlineStr">
        <is>
          <t>Petrol travel per person (km/quarter)</t>
        </is>
      </c>
      <c r="E5" s="13" t="inlineStr">
        <is>
          <t>Population (people)</t>
        </is>
      </c>
      <c r="F5" s="13" t="inlineStr">
        <is>
          <t>Population source</t>
        </is>
      </c>
      <c r="G5" s="13" t="inlineStr">
        <is>
          <t>Petrol pool (million km) = travel x people / 1m</t>
        </is>
      </c>
      <c r="H5" s="13" t="inlineStr">
        <is>
          <t>Light RUC km (model, km)</t>
        </is>
      </c>
      <c r="I5" s="13" t="inlineStr">
        <is>
          <t>Light RUC (million km)</t>
        </is>
      </c>
      <c r="J5" s="13" t="inlineStr">
        <is>
          <t>Heavy RUC km (model, km)</t>
        </is>
      </c>
      <c r="K5" s="13" t="inlineStr">
        <is>
          <t>Heavy RUC (million km)</t>
        </is>
      </c>
    </row>
    <row r="6">
      <c r="A6" s="14" t="n">
        <v>2026</v>
      </c>
      <c r="B6" s="23" t="inlineStr">
        <is>
          <t>2025Q3</t>
        </is>
      </c>
      <c r="C6" s="32" t="inlineStr">
        <is>
          <t>Actual (published outturn)</t>
        </is>
      </c>
      <c r="D6" s="33" t="n">
        <v>1544.67973873518</v>
      </c>
      <c r="E6" s="34" t="n">
        <v>5363105.743888369</v>
      </c>
      <c r="F6" s="32" t="inlineStr">
        <is>
          <t>MBU26 proxy: petrol VKT / VKT per capita (FY2026)</t>
        </is>
      </c>
      <c r="G6" s="35">
        <f>D6*E6/1000000</f>
        <v/>
      </c>
      <c r="H6" s="24" t="n">
        <v>3122958703</v>
      </c>
      <c r="I6" s="35">
        <f>H6/1000000</f>
        <v/>
      </c>
      <c r="J6" s="24" t="n">
        <v>978994143</v>
      </c>
      <c r="K6" s="35">
        <f>J6/1000000</f>
        <v/>
      </c>
    </row>
    <row r="7">
      <c r="A7" s="14" t="n">
        <v>2026</v>
      </c>
      <c r="B7" s="23" t="inlineStr">
        <is>
          <t>2025Q4</t>
        </is>
      </c>
      <c r="C7" s="32" t="inlineStr">
        <is>
          <t>Actual (published outturn)</t>
        </is>
      </c>
      <c r="D7" s="33" t="n">
        <v>1565.543534394911</v>
      </c>
      <c r="E7" s="34" t="n">
        <v>5363105.743888369</v>
      </c>
      <c r="F7" s="32" t="inlineStr">
        <is>
          <t>MBU26 proxy: petrol VKT / VKT per capita (FY2026)</t>
        </is>
      </c>
      <c r="G7" s="35">
        <f>D7*E7/1000000</f>
        <v/>
      </c>
      <c r="H7" s="24" t="n">
        <v>3307965543</v>
      </c>
      <c r="I7" s="35">
        <f>H7/1000000</f>
        <v/>
      </c>
      <c r="J7" s="24" t="n">
        <v>1064388483</v>
      </c>
      <c r="K7" s="35">
        <f>J7/1000000</f>
        <v/>
      </c>
    </row>
    <row r="8">
      <c r="A8" s="14" t="n">
        <v>2026</v>
      </c>
      <c r="B8" s="23" t="inlineStr">
        <is>
          <t>2026Q1</t>
        </is>
      </c>
      <c r="C8" s="32" t="inlineStr">
        <is>
          <t>Model forecast (AR(1) engine)</t>
        </is>
      </c>
      <c r="D8" s="33" t="n">
        <v>1529.26011278338</v>
      </c>
      <c r="E8" s="34" t="n">
        <v>5353979.145849093</v>
      </c>
      <c r="F8" s="32" t="inlineStr">
        <is>
          <t>Scenario input workbook</t>
        </is>
      </c>
      <c r="G8" s="35">
        <f>D8*E8/1000000</f>
        <v/>
      </c>
      <c r="H8" s="24" t="n">
        <v>3356901625.22175</v>
      </c>
      <c r="I8" s="35">
        <f>H8/1000000</f>
        <v/>
      </c>
      <c r="J8" s="24" t="n">
        <v>1020118066.054042</v>
      </c>
      <c r="K8" s="35">
        <f>J8/1000000</f>
        <v/>
      </c>
    </row>
    <row r="9">
      <c r="A9" s="14" t="n">
        <v>2026</v>
      </c>
      <c r="B9" s="23" t="inlineStr">
        <is>
          <t>2026Q2</t>
        </is>
      </c>
      <c r="C9" s="32" t="inlineStr">
        <is>
          <t>Model forecast (AR(1) engine)</t>
        </is>
      </c>
      <c r="D9" s="33" t="n">
        <v>1504.838393129758</v>
      </c>
      <c r="E9" s="34" t="n">
        <v>5365985.154284347</v>
      </c>
      <c r="F9" s="32" t="inlineStr">
        <is>
          <t>Scenario input workbook</t>
        </is>
      </c>
      <c r="G9" s="35">
        <f>D9*E9/1000000</f>
        <v/>
      </c>
      <c r="H9" s="24" t="n">
        <v>3170498613.925768</v>
      </c>
      <c r="I9" s="35">
        <f>H9/1000000</f>
        <v/>
      </c>
      <c r="J9" s="24" t="n">
        <v>981612144.9334924</v>
      </c>
      <c r="K9" s="35">
        <f>J9/1000000</f>
        <v/>
      </c>
    </row>
    <row r="10">
      <c r="A10" s="14" t="n">
        <v>2027</v>
      </c>
      <c r="B10" s="23" t="inlineStr">
        <is>
          <t>2026Q3</t>
        </is>
      </c>
      <c r="C10" s="32" t="inlineStr">
        <is>
          <t>Model forecast (AR(1) engine)</t>
        </is>
      </c>
      <c r="D10" s="33" t="n">
        <v>1499.432396442851</v>
      </c>
      <c r="E10" s="34" t="n">
        <v>5378018.085543658</v>
      </c>
      <c r="F10" s="32" t="inlineStr">
        <is>
          <t>Scenario input workbook</t>
        </is>
      </c>
      <c r="G10" s="35">
        <f>D10*E10/1000000</f>
        <v/>
      </c>
      <c r="H10" s="24" t="n">
        <v>3044975678.556179</v>
      </c>
      <c r="I10" s="35">
        <f>H10/1000000</f>
        <v/>
      </c>
      <c r="J10" s="24" t="n">
        <v>997119053.0897543</v>
      </c>
      <c r="K10" s="35">
        <f>J10/1000000</f>
        <v/>
      </c>
    </row>
    <row r="11">
      <c r="A11" s="14" t="n">
        <v>2027</v>
      </c>
      <c r="B11" s="23" t="inlineStr">
        <is>
          <t>2026Q4</t>
        </is>
      </c>
      <c r="C11" s="32" t="inlineStr">
        <is>
          <t>Model forecast (AR(1) engine)</t>
        </is>
      </c>
      <c r="D11" s="33" t="n">
        <v>1509.747576858518</v>
      </c>
      <c r="E11" s="34" t="n">
        <v>5390078.000000001</v>
      </c>
      <c r="F11" s="32" t="inlineStr">
        <is>
          <t>Scenario input workbook</t>
        </is>
      </c>
      <c r="G11" s="35">
        <f>D11*E11/1000000</f>
        <v/>
      </c>
      <c r="H11" s="24" t="n">
        <v>3063261357.325959</v>
      </c>
      <c r="I11" s="35">
        <f>H11/1000000</f>
        <v/>
      </c>
      <c r="J11" s="24" t="n">
        <v>1066495106.841246</v>
      </c>
      <c r="K11" s="35">
        <f>J11/1000000</f>
        <v/>
      </c>
    </row>
    <row r="12">
      <c r="A12" s="14" t="n">
        <v>2027</v>
      </c>
      <c r="B12" s="23" t="inlineStr">
        <is>
          <t>2027Q1</t>
        </is>
      </c>
      <c r="C12" s="32" t="inlineStr">
        <is>
          <t>Model forecast (AR(1) engine)</t>
        </is>
      </c>
      <c r="D12" s="33" t="n">
        <v>1484.779877768895</v>
      </c>
      <c r="E12" s="34" t="n">
        <v>5400825.965629062</v>
      </c>
      <c r="F12" s="32" t="inlineStr">
        <is>
          <t>Scenario input workbook</t>
        </is>
      </c>
      <c r="G12" s="35">
        <f>D12*E12/1000000</f>
        <v/>
      </c>
      <c r="H12" s="24" t="n">
        <v>3262798464.094255</v>
      </c>
      <c r="I12" s="35">
        <f>H12/1000000</f>
        <v/>
      </c>
      <c r="J12" s="24" t="n">
        <v>1034599278.890426</v>
      </c>
      <c r="K12" s="35">
        <f>J12/1000000</f>
        <v/>
      </c>
    </row>
    <row r="13">
      <c r="A13" s="14" t="n">
        <v>2027</v>
      </c>
      <c r="B13" s="23" t="inlineStr">
        <is>
          <t>2027Q2</t>
        </is>
      </c>
      <c r="C13" s="32" t="inlineStr">
        <is>
          <t>Model forecast (AR(1) engine)</t>
        </is>
      </c>
      <c r="D13" s="33" t="n">
        <v>1472.818826127891</v>
      </c>
      <c r="E13" s="34" t="n">
        <v>5411595.363000885</v>
      </c>
      <c r="F13" s="32" t="inlineStr">
        <is>
          <t>Scenario input workbook</t>
        </is>
      </c>
      <c r="G13" s="35">
        <f>D13*E13/1000000</f>
        <v/>
      </c>
      <c r="H13" s="24" t="n">
        <v>3290895659.550449</v>
      </c>
      <c r="I13" s="35">
        <f>H13/1000000</f>
        <v/>
      </c>
      <c r="J13" s="24" t="n">
        <v>1002056653.278699</v>
      </c>
      <c r="K13" s="35">
        <f>J13/1000000</f>
        <v/>
      </c>
    </row>
    <row r="14">
      <c r="A14" s="14" t="n">
        <v>2028</v>
      </c>
      <c r="B14" s="23" t="inlineStr">
        <is>
          <t>2027Q3</t>
        </is>
      </c>
      <c r="C14" s="32" t="inlineStr">
        <is>
          <t>Model forecast (AR(1) engine)</t>
        </is>
      </c>
      <c r="D14" s="33" t="n">
        <v>1477.284500367477</v>
      </c>
      <c r="E14" s="34" t="n">
        <v>5422386.234850962</v>
      </c>
      <c r="F14" s="32" t="inlineStr">
        <is>
          <t>Scenario input workbook</t>
        </is>
      </c>
      <c r="G14" s="35">
        <f>D14*E14/1000000</f>
        <v/>
      </c>
      <c r="H14" s="24" t="n">
        <v>3161757307.488215</v>
      </c>
      <c r="I14" s="35">
        <f>H14/1000000</f>
        <v/>
      </c>
      <c r="J14" s="24" t="n">
        <v>1014475743.359138</v>
      </c>
      <c r="K14" s="35">
        <f>J14/1000000</f>
        <v/>
      </c>
    </row>
    <row r="15">
      <c r="A15" s="14" t="n">
        <v>2028</v>
      </c>
      <c r="B15" s="23" t="inlineStr">
        <is>
          <t>2027Q4</t>
        </is>
      </c>
      <c r="C15" s="32" t="inlineStr">
        <is>
          <t>Model forecast (AR(1) engine)</t>
        </is>
      </c>
      <c r="D15" s="33" t="n">
        <v>1494.630707691983</v>
      </c>
      <c r="E15" s="34" t="n">
        <v>5433198.624</v>
      </c>
      <c r="F15" s="32" t="inlineStr">
        <is>
          <t>Scenario input workbook</t>
        </is>
      </c>
      <c r="G15" s="35">
        <f>D15*E15/1000000</f>
        <v/>
      </c>
      <c r="H15" s="24" t="n">
        <v>3381083731.579051</v>
      </c>
      <c r="I15" s="35">
        <f>H15/1000000</f>
        <v/>
      </c>
      <c r="J15" s="24" t="n">
        <v>1070992030.876771</v>
      </c>
      <c r="K15" s="35">
        <f>J15/1000000</f>
        <v/>
      </c>
    </row>
    <row r="16">
      <c r="A16" s="14" t="n">
        <v>2028</v>
      </c>
      <c r="B16" s="23" t="inlineStr">
        <is>
          <t>2028Q1</t>
        </is>
      </c>
      <c r="C16" s="32" t="inlineStr">
        <is>
          <t>Model forecast (AR(1) engine)</t>
        </is>
      </c>
      <c r="D16" s="33" t="n">
        <v>1474.405103160028</v>
      </c>
      <c r="E16" s="34" t="n">
        <v>5444032.573354093</v>
      </c>
      <c r="F16" s="32" t="inlineStr">
        <is>
          <t>Scenario input workbook</t>
        </is>
      </c>
      <c r="G16" s="35">
        <f>D16*E16/1000000</f>
        <v/>
      </c>
      <c r="H16" s="24" t="n">
        <v>3385908486.884924</v>
      </c>
      <c r="I16" s="35">
        <f>H16/1000000</f>
        <v/>
      </c>
      <c r="J16" s="24" t="n">
        <v>1037916937.617161</v>
      </c>
      <c r="K16" s="35">
        <f>J16/1000000</f>
        <v/>
      </c>
    </row>
    <row r="17">
      <c r="A17" s="14" t="n">
        <v>2028</v>
      </c>
      <c r="B17" s="23" t="inlineStr">
        <is>
          <t>2028Q2</t>
        </is>
      </c>
      <c r="C17" s="32" t="inlineStr">
        <is>
          <t>Model forecast (AR(1) engine)</t>
        </is>
      </c>
      <c r="D17" s="33" t="n">
        <v>1465.185074291621</v>
      </c>
      <c r="E17" s="34" t="n">
        <v>5454888.125904891</v>
      </c>
      <c r="F17" s="32" t="inlineStr">
        <is>
          <t>Scenario input workbook</t>
        </is>
      </c>
      <c r="G17" s="35">
        <f>D17*E17/1000000</f>
        <v/>
      </c>
      <c r="H17" s="24" t="n">
        <v>3411781363.231232</v>
      </c>
      <c r="I17" s="35">
        <f>H17/1000000</f>
        <v/>
      </c>
      <c r="J17" s="24" t="n">
        <v>1010733601.656159</v>
      </c>
      <c r="K17" s="35">
        <f>J17/1000000</f>
        <v/>
      </c>
    </row>
    <row r="18">
      <c r="A18" s="14" t="n">
        <v>2029</v>
      </c>
      <c r="B18" s="23" t="inlineStr">
        <is>
          <t>2028Q3</t>
        </is>
      </c>
      <c r="C18" s="32" t="inlineStr">
        <is>
          <t>Model forecast (AR(1) engine)</t>
        </is>
      </c>
      <c r="D18" s="33" t="n">
        <v>1471.101306408907</v>
      </c>
      <c r="E18" s="34" t="n">
        <v>5465765.324729769</v>
      </c>
      <c r="F18" s="32" t="inlineStr">
        <is>
          <t>Scenario input workbook</t>
        </is>
      </c>
      <c r="G18" s="35">
        <f>D18*E18/1000000</f>
        <v/>
      </c>
      <c r="H18" s="24" t="n">
        <v>3274748179.661817</v>
      </c>
      <c r="I18" s="35">
        <f>H18/1000000</f>
        <v/>
      </c>
      <c r="J18" s="24" t="n">
        <v>1023718834.664518</v>
      </c>
      <c r="K18" s="35">
        <f>J18/1000000</f>
        <v/>
      </c>
    </row>
    <row r="19">
      <c r="A19" s="14" t="n">
        <v>2029</v>
      </c>
      <c r="B19" s="23" t="inlineStr">
        <is>
          <t>2028Q4</t>
        </is>
      </c>
      <c r="C19" s="32" t="inlineStr">
        <is>
          <t>Model forecast (AR(1) engine)</t>
        </is>
      </c>
      <c r="D19" s="33" t="n">
        <v>1489.101525742804</v>
      </c>
      <c r="E19" s="34" t="n">
        <v>5476664.212991999</v>
      </c>
      <c r="F19" s="32" t="inlineStr">
        <is>
          <t>Scenario input workbook</t>
        </is>
      </c>
      <c r="G19" s="35">
        <f>D19*E19/1000000</f>
        <v/>
      </c>
      <c r="H19" s="24" t="n">
        <v>3498547644.172013</v>
      </c>
      <c r="I19" s="35">
        <f>H19/1000000</f>
        <v/>
      </c>
      <c r="J19" s="24" t="n">
        <v>1080649201.056469</v>
      </c>
      <c r="K19" s="35">
        <f>J19/1000000</f>
        <v/>
      </c>
    </row>
    <row r="20">
      <c r="A20" s="14" t="n">
        <v>2029</v>
      </c>
      <c r="B20" s="23" t="inlineStr">
        <is>
          <t>2029Q1</t>
        </is>
      </c>
      <c r="C20" s="32" t="inlineStr">
        <is>
          <t>Model forecast (AR(1) engine)</t>
        </is>
      </c>
      <c r="D20" s="33" t="n">
        <v>1469.377841680427</v>
      </c>
      <c r="E20" s="34" t="n">
        <v>5487584.833940926</v>
      </c>
      <c r="F20" s="32" t="inlineStr">
        <is>
          <t>Scenario input workbook</t>
        </is>
      </c>
      <c r="G20" s="35">
        <f>D20*E20/1000000</f>
        <v/>
      </c>
      <c r="H20" s="24" t="n">
        <v>3501331554.559313</v>
      </c>
      <c r="I20" s="35">
        <f>H20/1000000</f>
        <v/>
      </c>
      <c r="J20" s="24" t="n">
        <v>1047581920.296363</v>
      </c>
      <c r="K20" s="35">
        <f>J20/1000000</f>
        <v/>
      </c>
    </row>
    <row r="21">
      <c r="A21" s="14" t="n">
        <v>2029</v>
      </c>
      <c r="B21" s="23" t="inlineStr">
        <is>
          <t>2029Q2</t>
        </is>
      </c>
      <c r="C21" s="32" t="inlineStr">
        <is>
          <t>Model forecast (AR(1) engine)</t>
        </is>
      </c>
      <c r="D21" s="33" t="n">
        <v>1460.391728319572</v>
      </c>
      <c r="E21" s="34" t="n">
        <v>5498527.23091213</v>
      </c>
      <c r="F21" s="32" t="inlineStr">
        <is>
          <t>Scenario input workbook</t>
        </is>
      </c>
      <c r="G21" s="35">
        <f>D21*E21/1000000</f>
        <v/>
      </c>
      <c r="H21" s="24" t="n">
        <v>3525864078.323689</v>
      </c>
      <c r="I21" s="35">
        <f>H21/1000000</f>
        <v/>
      </c>
      <c r="J21" s="24" t="n">
        <v>1019836095.318396</v>
      </c>
      <c r="K21" s="35">
        <f>J21/1000000</f>
        <v/>
      </c>
    </row>
    <row r="22">
      <c r="A22" s="14" t="n">
        <v>2030</v>
      </c>
      <c r="B22" s="23" t="inlineStr">
        <is>
          <t>2029Q3</t>
        </is>
      </c>
      <c r="C22" s="32" t="inlineStr">
        <is>
          <t>Model forecast (AR(1) engine)</t>
        </is>
      </c>
      <c r="D22" s="33" t="n">
        <v>1466.332536609524</v>
      </c>
      <c r="E22" s="34" t="n">
        <v>5509491.447327607</v>
      </c>
      <c r="F22" s="32" t="inlineStr">
        <is>
          <t>Scenario input workbook</t>
        </is>
      </c>
      <c r="G22" s="35">
        <f>D22*E22/1000000</f>
        <v/>
      </c>
      <c r="H22" s="24" t="n">
        <v>3382118622.601116</v>
      </c>
      <c r="I22" s="35">
        <f>H22/1000000</f>
        <v/>
      </c>
      <c r="J22" s="24" t="n">
        <v>1032505738.255039</v>
      </c>
      <c r="K22" s="35">
        <f>J22/1000000</f>
        <v/>
      </c>
    </row>
    <row r="23">
      <c r="A23" s="14" t="n">
        <v>2030</v>
      </c>
      <c r="B23" s="23" t="inlineStr">
        <is>
          <t>2029Q4</t>
        </is>
      </c>
      <c r="C23" s="32" t="inlineStr">
        <is>
          <t>Model forecast (AR(1) engine)</t>
        </is>
      </c>
      <c r="D23" s="33" t="n">
        <v>1484.208423058931</v>
      </c>
      <c r="E23" s="34" t="n">
        <v>5520477.526695936</v>
      </c>
      <c r="F23" s="32" t="inlineStr">
        <is>
          <t>Scenario input workbook</t>
        </is>
      </c>
      <c r="G23" s="35">
        <f>D23*E23/1000000</f>
        <v/>
      </c>
      <c r="H23" s="24" t="n">
        <v>3559502105.963113</v>
      </c>
      <c r="I23" s="35">
        <f>H23/1000000</f>
        <v/>
      </c>
      <c r="J23" s="24" t="n">
        <v>1089424993.43143</v>
      </c>
      <c r="K23" s="35">
        <f>J23/1000000</f>
        <v/>
      </c>
    </row>
    <row r="24">
      <c r="A24" s="14" t="n">
        <v>2030</v>
      </c>
      <c r="B24" s="23" t="inlineStr">
        <is>
          <t>2030Q1</t>
        </is>
      </c>
      <c r="C24" s="32" t="inlineStr">
        <is>
          <t>Model forecast (AR(1) engine)</t>
        </is>
      </c>
      <c r="D24" s="33" t="n">
        <v>1464.48229421046</v>
      </c>
      <c r="E24" s="34" t="n">
        <v>5531485.512612454</v>
      </c>
      <c r="F24" s="32" t="inlineStr">
        <is>
          <t>Scenario input workbook</t>
        </is>
      </c>
      <c r="G24" s="35">
        <f>D24*E24/1000000</f>
        <v/>
      </c>
      <c r="H24" s="24" t="n">
        <v>3558009458.099151</v>
      </c>
      <c r="I24" s="35">
        <f>H24/1000000</f>
        <v/>
      </c>
      <c r="J24" s="24" t="n">
        <v>1055840917.097928</v>
      </c>
      <c r="K24" s="35">
        <f>J24/1000000</f>
        <v/>
      </c>
    </row>
    <row r="25">
      <c r="A25" s="14" t="n">
        <v>2030</v>
      </c>
      <c r="B25" s="23" t="inlineStr">
        <is>
          <t>2030Q2</t>
        </is>
      </c>
      <c r="C25" s="32" t="inlineStr">
        <is>
          <t>Model forecast (AR(1) engine)</t>
        </is>
      </c>
      <c r="D25" s="33" t="n">
        <v>1455.449496554404</v>
      </c>
      <c r="E25" s="34" t="n">
        <v>5542515.448759427</v>
      </c>
      <c r="F25" s="32" t="inlineStr">
        <is>
          <t>Scenario input workbook</t>
        </is>
      </c>
      <c r="G25" s="35">
        <f>D25*E25/1000000</f>
        <v/>
      </c>
      <c r="H25" s="24" t="n">
        <v>3581879129.477614</v>
      </c>
      <c r="I25" s="35">
        <f>H25/1000000</f>
        <v/>
      </c>
      <c r="J25" s="24" t="n">
        <v>1027619618.145129</v>
      </c>
      <c r="K25" s="35">
        <f>J25/1000000</f>
        <v/>
      </c>
    </row>
    <row r="26">
      <c r="A26" s="14" t="n">
        <v>2031</v>
      </c>
      <c r="B26" s="23" t="inlineStr">
        <is>
          <t>2030Q3</t>
        </is>
      </c>
      <c r="C26" s="32" t="inlineStr">
        <is>
          <t>Model forecast (AR(1) engine)</t>
        </is>
      </c>
      <c r="D26" s="33" t="n">
        <v>1461.282757943271</v>
      </c>
      <c r="E26" s="34" t="n">
        <v>5553567.378906228</v>
      </c>
      <c r="F26" s="32" t="inlineStr">
        <is>
          <t>Scenario input workbook</t>
        </is>
      </c>
      <c r="G26" s="35">
        <f>D26*E26/1000000</f>
        <v/>
      </c>
      <c r="H26" s="24" t="n">
        <v>3434835261.862042</v>
      </c>
      <c r="I26" s="35">
        <f>H26/1000000</f>
        <v/>
      </c>
      <c r="J26" s="24" t="n">
        <v>1041239245.433762</v>
      </c>
      <c r="K26" s="35">
        <f>J26/1000000</f>
        <v/>
      </c>
    </row>
    <row r="27">
      <c r="A27" s="14" t="n">
        <v>2031</v>
      </c>
      <c r="B27" s="23" t="inlineStr">
        <is>
          <t>2030Q4</t>
        </is>
      </c>
      <c r="C27" s="32" t="inlineStr">
        <is>
          <t>Model forecast (AR(1) engine)</t>
        </is>
      </c>
      <c r="D27" s="33" t="n">
        <v>1478.999666812661</v>
      </c>
      <c r="E27" s="34" t="n">
        <v>5564641.346909503</v>
      </c>
      <c r="F27" s="32" t="inlineStr">
        <is>
          <t>Scenario input workbook</t>
        </is>
      </c>
      <c r="G27" s="35">
        <f>D27*E27/1000000</f>
        <v/>
      </c>
      <c r="H27" s="24" t="n">
        <v>3661932697.509957</v>
      </c>
      <c r="I27" s="35">
        <f>H27/1000000</f>
        <v/>
      </c>
      <c r="J27" s="24" t="n">
        <v>1098554969.484</v>
      </c>
      <c r="K27" s="35">
        <f>J27/1000000</f>
        <v/>
      </c>
    </row>
    <row r="28">
      <c r="A28" s="14" t="n">
        <v>2031</v>
      </c>
      <c r="B28" s="23" t="inlineStr">
        <is>
          <t>2031Q1</t>
        </is>
      </c>
      <c r="C28" s="32" t="inlineStr">
        <is>
          <t>Model forecast (AR(1) engine)</t>
        </is>
      </c>
      <c r="D28" s="33" t="n">
        <v>1458.805142983731</v>
      </c>
      <c r="E28" s="34" t="n">
        <v>5573661.931102861</v>
      </c>
      <c r="F28" s="32" t="inlineStr">
        <is>
          <t>Scenario input workbook</t>
        </is>
      </c>
      <c r="G28" s="35">
        <f>D28*E28/1000000</f>
        <v/>
      </c>
      <c r="H28" s="24" t="n">
        <v>3658195704.675582</v>
      </c>
      <c r="I28" s="35">
        <f>H28/1000000</f>
        <v/>
      </c>
      <c r="J28" s="24" t="n">
        <v>1065428378.310703</v>
      </c>
      <c r="K28" s="35">
        <f>J28/1000000</f>
        <v/>
      </c>
    </row>
    <row r="29">
      <c r="A29" s="14" t="n">
        <v>2031</v>
      </c>
      <c r="B29" s="23" t="inlineStr">
        <is>
          <t>2031Q2</t>
        </is>
      </c>
      <c r="C29" s="32" t="inlineStr">
        <is>
          <t>Model forecast (AR(1) engine)</t>
        </is>
      </c>
      <c r="D29" s="33" t="n">
        <v>1449.033947786245</v>
      </c>
      <c r="E29" s="34" t="n">
        <v>5582697.138150437</v>
      </c>
      <c r="F29" s="32" t="inlineStr">
        <is>
          <t>Scenario input workbook</t>
        </is>
      </c>
      <c r="G29" s="35">
        <f>D29*E29/1000000</f>
        <v/>
      </c>
      <c r="H29" s="24" t="n">
        <v>3677108767.401242</v>
      </c>
      <c r="I29" s="35">
        <f>H29/1000000</f>
        <v/>
      </c>
      <c r="J29" s="24" t="n">
        <v>1037855360.589828</v>
      </c>
      <c r="K29" s="35">
        <f>J29/1000000</f>
        <v/>
      </c>
    </row>
    <row r="30">
      <c r="A30" s="14" t="n">
        <v>2032</v>
      </c>
      <c r="B30" s="23" t="inlineStr">
        <is>
          <t>2031Q3</t>
        </is>
      </c>
      <c r="C30" s="32" t="inlineStr">
        <is>
          <t>Model forecast (AR(1) engine)</t>
        </is>
      </c>
      <c r="D30" s="33" t="n">
        <v>1453.932505693045</v>
      </c>
      <c r="E30" s="34" t="n">
        <v>5591746.991756667</v>
      </c>
      <c r="F30" s="32" t="inlineStr">
        <is>
          <t>Scenario input workbook</t>
        </is>
      </c>
      <c r="G30" s="35">
        <f>D30*E30/1000000</f>
        <v/>
      </c>
      <c r="H30" s="24" t="n">
        <v>3520732153.3822</v>
      </c>
      <c r="I30" s="35">
        <f>H30/1000000</f>
        <v/>
      </c>
      <c r="J30" s="24" t="n">
        <v>1049779250.464104</v>
      </c>
      <c r="K30" s="35">
        <f>J30/1000000</f>
        <v/>
      </c>
    </row>
    <row r="31">
      <c r="A31" s="14" t="n">
        <v>2032</v>
      </c>
      <c r="B31" s="23" t="inlineStr">
        <is>
          <t>2031Q4</t>
        </is>
      </c>
      <c r="C31" s="32" t="inlineStr">
        <is>
          <t>Model forecast (AR(1) engine)</t>
        </is>
      </c>
      <c r="D31" s="33" t="n">
        <v>1470.56463673097</v>
      </c>
      <c r="E31" s="34" t="n">
        <v>5600811.515664415</v>
      </c>
      <c r="F31" s="32" t="inlineStr">
        <is>
          <t>Scenario input workbook</t>
        </is>
      </c>
      <c r="G31" s="35">
        <f>D31*E31/1000000</f>
        <v/>
      </c>
      <c r="H31" s="24" t="n">
        <v>3752051955.128072</v>
      </c>
      <c r="I31" s="35">
        <f>H31/1000000</f>
        <v/>
      </c>
      <c r="J31" s="24" t="n">
        <v>1107723670.114869</v>
      </c>
      <c r="K31" s="35">
        <f>J31/1000000</f>
        <v/>
      </c>
    </row>
    <row r="32">
      <c r="A32" s="14" t="n">
        <v>2032</v>
      </c>
      <c r="B32" s="23" t="inlineStr">
        <is>
          <t>2032Q1</t>
        </is>
      </c>
      <c r="C32" s="32" t="inlineStr">
        <is>
          <t>Model forecast (AR(1) engine)</t>
        </is>
      </c>
      <c r="D32" s="33" t="n">
        <v>1449.961589400192</v>
      </c>
      <c r="E32" s="34" t="n">
        <v>5609890.73365503</v>
      </c>
      <c r="F32" s="32" t="inlineStr">
        <is>
          <t>Scenario input workbook</t>
        </is>
      </c>
      <c r="G32" s="35">
        <f>D32*E32/1000000</f>
        <v/>
      </c>
      <c r="H32" s="24" t="n">
        <v>3748223343.415905</v>
      </c>
      <c r="I32" s="35">
        <f>H32/1000000</f>
        <v/>
      </c>
      <c r="J32" s="24" t="n">
        <v>1072919190.567789</v>
      </c>
      <c r="K32" s="35">
        <f>J32/1000000</f>
        <v/>
      </c>
    </row>
    <row r="33">
      <c r="A33" s="14" t="n">
        <v>2032</v>
      </c>
      <c r="B33" s="23" t="inlineStr">
        <is>
          <t>2032Q2</t>
        </is>
      </c>
      <c r="C33" s="32" t="inlineStr">
        <is>
          <t>Model forecast (AR(1) engine)</t>
        </is>
      </c>
      <c r="D33" s="33" t="n">
        <v>1439.972244405183</v>
      </c>
      <c r="E33" s="34" t="n">
        <v>5618984.669548416</v>
      </c>
      <c r="F33" s="32" t="inlineStr">
        <is>
          <t>Scenario input workbook</t>
        </is>
      </c>
      <c r="G33" s="35">
        <f>D33*E33/1000000</f>
        <v/>
      </c>
      <c r="H33" s="24" t="n">
        <v>3767602203.351138</v>
      </c>
      <c r="I33" s="35">
        <f>H33/1000000</f>
        <v/>
      </c>
      <c r="J33" s="24" t="n">
        <v>1043934215.991105</v>
      </c>
      <c r="K33" s="35">
        <f>J33/1000000</f>
        <v/>
      </c>
    </row>
    <row r="34">
      <c r="A34" s="14" t="n">
        <v>2033</v>
      </c>
      <c r="B34" s="23" t="inlineStr">
        <is>
          <t>2032Q3</t>
        </is>
      </c>
      <c r="C34" s="32" t="inlineStr">
        <is>
          <t>Model forecast (AR(1) engine)</t>
        </is>
      </c>
      <c r="D34" s="33" t="n">
        <v>1444.69179272232</v>
      </c>
      <c r="E34" s="34" t="n">
        <v>5628093.347203086</v>
      </c>
      <c r="F34" s="32" t="inlineStr">
        <is>
          <t>Scenario input workbook</t>
        </is>
      </c>
      <c r="G34" s="35">
        <f>D34*E34/1000000</f>
        <v/>
      </c>
      <c r="H34" s="24" t="n">
        <v>3607377504.797306</v>
      </c>
      <c r="I34" s="35">
        <f>H34/1000000</f>
        <v/>
      </c>
      <c r="J34" s="24" t="n">
        <v>1056465631.362973</v>
      </c>
      <c r="K34" s="35">
        <f>J34/1000000</f>
        <v/>
      </c>
    </row>
    <row r="35">
      <c r="A35" s="14" t="n">
        <v>2033</v>
      </c>
      <c r="B35" s="23" t="inlineStr">
        <is>
          <t>2032Q4</t>
        </is>
      </c>
      <c r="C35" s="32" t="inlineStr">
        <is>
          <t>Model forecast (AR(1) engine)</t>
        </is>
      </c>
      <c r="D35" s="33" t="n">
        <v>1461.138245246464</v>
      </c>
      <c r="E35" s="34" t="n">
        <v>5637216.790516234</v>
      </c>
      <c r="F35" s="32" t="inlineStr">
        <is>
          <t>Scenario input workbook</t>
        </is>
      </c>
      <c r="G35" s="35">
        <f>D35*E35/1000000</f>
        <v/>
      </c>
      <c r="H35" s="24" t="n">
        <v>3844390452.824962</v>
      </c>
      <c r="I35" s="35">
        <f>H35/1000000</f>
        <v/>
      </c>
      <c r="J35" s="24" t="n">
        <v>1114453321.04445</v>
      </c>
      <c r="K35" s="35">
        <f>J35/1000000</f>
        <v/>
      </c>
    </row>
    <row r="36">
      <c r="A36" s="14" t="n">
        <v>2033</v>
      </c>
      <c r="B36" s="23" t="inlineStr">
        <is>
          <t>2033Q1</t>
        </is>
      </c>
      <c r="C36" s="32" t="inlineStr">
        <is>
          <t>Model forecast (AR(1) engine)</t>
        </is>
      </c>
      <c r="D36" s="33" t="n">
        <v>1440.591102814864</v>
      </c>
      <c r="E36" s="34" t="n">
        <v>5646355.023423788</v>
      </c>
      <c r="F36" s="32" t="inlineStr">
        <is>
          <t>Scenario input workbook</t>
        </is>
      </c>
      <c r="G36" s="35">
        <f>D36*E36/1000000</f>
        <v/>
      </c>
      <c r="H36" s="24" t="n">
        <v>3840467975.554609</v>
      </c>
      <c r="I36" s="35">
        <f>H36/1000000</f>
        <v/>
      </c>
      <c r="J36" s="24" t="n">
        <v>1079849537.205969</v>
      </c>
      <c r="K36" s="35">
        <f>J36/1000000</f>
        <v/>
      </c>
    </row>
    <row r="37">
      <c r="A37" s="14" t="n">
        <v>2033</v>
      </c>
      <c r="B37" s="23" t="inlineStr">
        <is>
          <t>2033Q2</t>
        </is>
      </c>
      <c r="C37" s="32" t="inlineStr">
        <is>
          <t>Model forecast (AR(1) engine)</t>
        </is>
      </c>
      <c r="D37" s="33" t="n">
        <v>1430.603946087014</v>
      </c>
      <c r="E37" s="34" t="n">
        <v>5655508.06990048</v>
      </c>
      <c r="F37" s="32" t="inlineStr">
        <is>
          <t>Scenario input workbook</t>
        </is>
      </c>
      <c r="G37" s="35">
        <f>D37*E37/1000000</f>
        <v/>
      </c>
      <c r="H37" s="24" t="n">
        <v>3860324112.825086</v>
      </c>
      <c r="I37" s="35">
        <f>H37/1000000</f>
        <v/>
      </c>
      <c r="J37" s="24" t="n">
        <v>1050714856.753379</v>
      </c>
      <c r="K37" s="35">
        <f>J37/1000000</f>
        <v/>
      </c>
    </row>
    <row r="38">
      <c r="A38" s="14" t="n">
        <v>2034</v>
      </c>
      <c r="B38" s="23" t="inlineStr">
        <is>
          <t>2033Q3</t>
        </is>
      </c>
      <c r="C38" s="32" t="inlineStr">
        <is>
          <t>Model forecast (AR(1) engine)</t>
        </is>
      </c>
      <c r="D38" s="33" t="n">
        <v>1435.245049278906</v>
      </c>
      <c r="E38" s="34" t="n">
        <v>5664675.953959906</v>
      </c>
      <c r="F38" s="32" t="inlineStr">
        <is>
          <t>Scenario input workbook</t>
        </is>
      </c>
      <c r="G38" s="35">
        <f>D38*E38/1000000</f>
        <v/>
      </c>
      <c r="H38" s="24" t="n">
        <v>3696156576.709776</v>
      </c>
      <c r="I38" s="35">
        <f>H38/1000000</f>
        <v/>
      </c>
      <c r="J38" s="24" t="n">
        <v>1063507312.950409</v>
      </c>
      <c r="K38" s="35">
        <f>J38/1000000</f>
        <v/>
      </c>
    </row>
    <row r="39">
      <c r="A39" s="14" t="n">
        <v>2034</v>
      </c>
      <c r="B39" s="23" t="inlineStr">
        <is>
          <t>2033Q4</t>
        </is>
      </c>
      <c r="C39" s="32" t="inlineStr">
        <is>
          <t>Model forecast (AR(1) engine)</t>
        </is>
      </c>
      <c r="D39" s="33" t="n">
        <v>1451.548765423344</v>
      </c>
      <c r="E39" s="34" t="n">
        <v>5673858.699654589</v>
      </c>
      <c r="F39" s="32" t="inlineStr">
        <is>
          <t>Scenario input workbook</t>
        </is>
      </c>
      <c r="G39" s="35">
        <f>D39*E39/1000000</f>
        <v/>
      </c>
      <c r="H39" s="24" t="n">
        <v>3939002879.671238</v>
      </c>
      <c r="I39" s="35">
        <f>H39/1000000</f>
        <v/>
      </c>
      <c r="J39" s="24" t="n">
        <v>1121521900.607882</v>
      </c>
      <c r="K39" s="35">
        <f>J39/1000000</f>
        <v/>
      </c>
    </row>
    <row r="40">
      <c r="A40" s="14" t="n">
        <v>2034</v>
      </c>
      <c r="B40" s="23" t="inlineStr">
        <is>
          <t>2034Q1</t>
        </is>
      </c>
      <c r="C40" s="32" t="inlineStr">
        <is>
          <t>Model forecast (AR(1) engine)</t>
        </is>
      </c>
      <c r="D40" s="33" t="n">
        <v>1431.179819277488</v>
      </c>
      <c r="E40" s="34" t="n">
        <v>5683056.331076043</v>
      </c>
      <c r="F40" s="32" t="inlineStr">
        <is>
          <t>Scenario input workbook</t>
        </is>
      </c>
      <c r="G40" s="35">
        <f>D40*E40/1000000</f>
        <v/>
      </c>
      <c r="H40" s="24" t="n">
        <v>3934984235.057535</v>
      </c>
      <c r="I40" s="35">
        <f>H40/1000000</f>
        <v/>
      </c>
      <c r="J40" s="24" t="n">
        <v>1087356096.992052</v>
      </c>
      <c r="K40" s="35">
        <f>J40/1000000</f>
        <v/>
      </c>
    </row>
    <row r="41">
      <c r="A41" s="14" t="n">
        <v>2034</v>
      </c>
      <c r="B41" s="23" t="inlineStr">
        <is>
          <t>2034Q2</t>
        </is>
      </c>
      <c r="C41" s="32" t="inlineStr">
        <is>
          <t>Model forecast (AR(1) engine)</t>
        </is>
      </c>
      <c r="D41" s="33" t="n">
        <v>1421.320856179164</v>
      </c>
      <c r="E41" s="34" t="n">
        <v>5692268.872354833</v>
      </c>
      <c r="F41" s="32" t="inlineStr">
        <is>
          <t>Scenario input workbook</t>
        </is>
      </c>
      <c r="G41" s="35">
        <f>D41*E41/1000000</f>
        <v/>
      </c>
      <c r="H41" s="24" t="n">
        <v>3955329412.958626</v>
      </c>
      <c r="I41" s="35">
        <f>H41/1000000</f>
        <v/>
      </c>
      <c r="J41" s="24" t="n">
        <v>1058064221.207599</v>
      </c>
      <c r="K41" s="35">
        <f>J41/1000000</f>
        <v/>
      </c>
    </row>
    <row r="42">
      <c r="A42" s="14" t="n">
        <v>2035</v>
      </c>
      <c r="B42" s="23" t="inlineStr">
        <is>
          <t>2034Q3</t>
        </is>
      </c>
      <c r="C42" s="32" t="inlineStr">
        <is>
          <t>Model forecast (AR(1) engine)</t>
        </is>
      </c>
      <c r="D42" s="33" t="n">
        <v>1425.991643880021</v>
      </c>
      <c r="E42" s="34" t="n">
        <v>5701496.347660646</v>
      </c>
      <c r="F42" s="32" t="inlineStr">
        <is>
          <t>Scenario input workbook</t>
        </is>
      </c>
      <c r="G42" s="35">
        <f>D42*E42/1000000</f>
        <v/>
      </c>
      <c r="H42" s="24" t="n">
        <v>3787121951.470692</v>
      </c>
      <c r="I42" s="35">
        <f>H42/1000000</f>
        <v/>
      </c>
      <c r="J42" s="24" t="n">
        <v>1070699376.696231</v>
      </c>
      <c r="K42" s="35">
        <f>J42/1000000</f>
        <v/>
      </c>
    </row>
    <row r="43">
      <c r="A43" s="14" t="n">
        <v>2035</v>
      </c>
      <c r="B43" s="23" t="inlineStr">
        <is>
          <t>2034Q4</t>
        </is>
      </c>
      <c r="C43" s="32" t="inlineStr">
        <is>
          <t>Model forecast (AR(1) engine)</t>
        </is>
      </c>
      <c r="D43" s="33" t="n">
        <v>1442.239697374949</v>
      </c>
      <c r="E43" s="34" t="n">
        <v>5710738.781202344</v>
      </c>
      <c r="F43" s="32" t="inlineStr">
        <is>
          <t>Scenario input workbook</t>
        </is>
      </c>
      <c r="G43" s="35">
        <f>D43*E43/1000000</f>
        <v/>
      </c>
      <c r="H43" s="24" t="n">
        <v>4035945273.518266</v>
      </c>
      <c r="I43" s="35">
        <f>H43/1000000</f>
        <v/>
      </c>
      <c r="J43" s="24" t="n">
        <v>1128940950.215733</v>
      </c>
      <c r="K43" s="35">
        <f>J43/1000000</f>
        <v/>
      </c>
    </row>
    <row r="44">
      <c r="A44" s="14" t="n">
        <v>2035</v>
      </c>
      <c r="B44" s="23" t="inlineStr">
        <is>
          <t>2035Q1</t>
        </is>
      </c>
      <c r="C44" s="32" t="inlineStr">
        <is>
          <t>Model forecast (AR(1) engine)</t>
        </is>
      </c>
      <c r="D44" s="33" t="n">
        <v>1422.038423347045</v>
      </c>
      <c r="E44" s="34" t="n">
        <v>5719996.197228037</v>
      </c>
      <c r="F44" s="32" t="inlineStr">
        <is>
          <t>Scenario input workbook</t>
        </is>
      </c>
      <c r="G44" s="35">
        <f>D44*E44/1000000</f>
        <v/>
      </c>
      <c r="H44" s="24" t="n">
        <v>4031828103.31927</v>
      </c>
      <c r="I44" s="35">
        <f>H44/1000000</f>
        <v/>
      </c>
      <c r="J44" s="24" t="n">
        <v>1094292738.025418</v>
      </c>
      <c r="K44" s="35">
        <f>J44/1000000</f>
        <v/>
      </c>
    </row>
    <row r="45">
      <c r="A45" s="14" t="n">
        <v>2035</v>
      </c>
      <c r="B45" s="23" t="inlineStr">
        <is>
          <t>2035Q2</t>
        </is>
      </c>
      <c r="C45" s="32" t="inlineStr">
        <is>
          <t>Model forecast (AR(1) engine)</t>
        </is>
      </c>
      <c r="D45" s="33" t="n">
        <v>1412.269190539821</v>
      </c>
      <c r="E45" s="34" t="n">
        <v>5729268.62002514</v>
      </c>
      <c r="F45" s="32" t="inlineStr">
        <is>
          <t>Scenario input workbook</t>
        </is>
      </c>
      <c r="G45" s="35">
        <f>D45*E45/1000000</f>
        <v/>
      </c>
      <c r="H45" s="24" t="n">
        <v>4052674375.30721</v>
      </c>
      <c r="I45" s="35">
        <f>H45/1000000</f>
        <v/>
      </c>
      <c r="J45" s="24" t="n">
        <v>1064426594.80596</v>
      </c>
      <c r="K45" s="35">
        <f>J45/1000000</f>
        <v/>
      </c>
    </row>
    <row r="46">
      <c r="A46" s="14" t="n">
        <v>2036</v>
      </c>
      <c r="B46" s="23" t="inlineStr">
        <is>
          <t>2035Q3</t>
        </is>
      </c>
      <c r="C46" s="32" t="inlineStr">
        <is>
          <t>Model forecast (AR(1) engine)</t>
        </is>
      </c>
      <c r="D46" s="33" t="n">
        <v>1416.929216340825</v>
      </c>
      <c r="E46" s="34" t="n">
        <v>5738556.073920441</v>
      </c>
      <c r="F46" s="32" t="inlineStr">
        <is>
          <t>Scenario input workbook</t>
        </is>
      </c>
      <c r="G46" s="35">
        <f>D46*E46/1000000</f>
        <v/>
      </c>
      <c r="H46" s="24" t="n">
        <v>3880327508.275123</v>
      </c>
      <c r="I46" s="35">
        <f>H46/1000000</f>
        <v/>
      </c>
      <c r="J46" s="24" t="n">
        <v>1077021071.416455</v>
      </c>
      <c r="K46" s="35">
        <f>J46/1000000</f>
        <v/>
      </c>
    </row>
    <row r="47">
      <c r="A47" s="14" t="n">
        <v>2036</v>
      </c>
      <c r="B47" s="23" t="inlineStr">
        <is>
          <t>2035Q4</t>
        </is>
      </c>
      <c r="C47" s="32" t="inlineStr">
        <is>
          <t>Model forecast (AR(1) engine)</t>
        </is>
      </c>
      <c r="D47" s="33" t="n">
        <v>1433.087328234991</v>
      </c>
      <c r="E47" s="34" t="n">
        <v>5747858.58328016</v>
      </c>
      <c r="F47" s="32" t="inlineStr">
        <is>
          <t>Scenario input workbook</t>
        </is>
      </c>
      <c r="G47" s="35">
        <f>D47*E47/1000000</f>
        <v/>
      </c>
      <c r="H47" s="24" t="n">
        <v>4135275054.292098</v>
      </c>
      <c r="I47" s="35">
        <f>H47/1000000</f>
        <v/>
      </c>
      <c r="J47" s="24" t="n">
        <v>1135559408.145193</v>
      </c>
      <c r="K47" s="35">
        <f>J47/1000000</f>
        <v/>
      </c>
    </row>
    <row r="48">
      <c r="A48" s="14" t="n">
        <v>2036</v>
      </c>
      <c r="B48" s="23" t="inlineStr">
        <is>
          <t>2036Q1</t>
        </is>
      </c>
      <c r="C48" s="32" t="inlineStr">
        <is>
          <t>Model forecast (AR(1) engine)</t>
        </is>
      </c>
      <c r="D48" s="33" t="n">
        <v>1412.954964257496</v>
      </c>
      <c r="E48" s="34" t="n">
        <v>5757176.17251002</v>
      </c>
      <c r="F48" s="32" t="inlineStr">
        <is>
          <t>Scenario input workbook</t>
        </is>
      </c>
      <c r="G48" s="35">
        <f>D48*E48/1000000</f>
        <v/>
      </c>
      <c r="H48" s="24" t="n">
        <v>4129678293.853464</v>
      </c>
      <c r="I48" s="35">
        <f>H48/1000000</f>
        <v/>
      </c>
      <c r="J48" s="24" t="n">
        <v>1100458988.652641</v>
      </c>
      <c r="K48" s="35">
        <f>J48/1000000</f>
        <v/>
      </c>
    </row>
    <row r="49">
      <c r="A49" s="14" t="n">
        <v>2036</v>
      </c>
      <c r="B49" s="23" t="inlineStr">
        <is>
          <t>2036Q2</t>
        </is>
      </c>
      <c r="C49" s="32" t="inlineStr">
        <is>
          <t>Model forecast (AR(1) engine)</t>
        </is>
      </c>
      <c r="D49" s="33" t="n">
        <v>1403.150165785514</v>
      </c>
      <c r="E49" s="34" t="n">
        <v>5766508.866055303</v>
      </c>
      <c r="F49" s="32" t="inlineStr">
        <is>
          <t>Scenario input workbook</t>
        </is>
      </c>
      <c r="G49" s="35">
        <f>D49*E49/1000000</f>
        <v/>
      </c>
      <c r="H49" s="24" t="n">
        <v>4149645567.947649</v>
      </c>
      <c r="I49" s="35">
        <f>H49/1000000</f>
        <v/>
      </c>
      <c r="J49" s="24" t="n">
        <v>1070247960.989827</v>
      </c>
      <c r="K49" s="35">
        <f>J49/1000000</f>
        <v/>
      </c>
    </row>
    <row r="50">
      <c r="A50" s="14" t="n">
        <v>2037</v>
      </c>
      <c r="B50" s="23" t="inlineStr">
        <is>
          <t>2036Q3</t>
        </is>
      </c>
      <c r="C50" s="32" t="inlineStr">
        <is>
          <t>Model forecast (AR(1) engine)</t>
        </is>
      </c>
      <c r="D50" s="33" t="n">
        <v>1407.660427293922</v>
      </c>
      <c r="E50" s="34" t="n">
        <v>5775856.688400923</v>
      </c>
      <c r="F50" s="32" t="inlineStr">
        <is>
          <t>Scenario input workbook</t>
        </is>
      </c>
      <c r="G50" s="35">
        <f>D50*E50/1000000</f>
        <v/>
      </c>
      <c r="H50" s="24" t="n">
        <v>3971849249.917161</v>
      </c>
      <c r="I50" s="35">
        <f>H50/1000000</f>
        <v/>
      </c>
      <c r="J50" s="24" t="n">
        <v>1082789480.962487</v>
      </c>
      <c r="K50" s="35">
        <f>J50/1000000</f>
        <v/>
      </c>
    </row>
    <row r="51">
      <c r="A51" s="14" t="n">
        <v>2037</v>
      </c>
      <c r="B51" s="23" t="inlineStr">
        <is>
          <t>2036Q4</t>
        </is>
      </c>
      <c r="C51" s="32" t="inlineStr">
        <is>
          <t>Model forecast (AR(1) engine)</t>
        </is>
      </c>
      <c r="D51" s="33" t="n">
        <v>1423.579967198804</v>
      </c>
      <c r="E51" s="34" t="n">
        <v>5785219.664071481</v>
      </c>
      <c r="F51" s="32" t="inlineStr">
        <is>
          <t>Scenario input workbook</t>
        </is>
      </c>
      <c r="G51" s="35">
        <f>D51*E51/1000000</f>
        <v/>
      </c>
      <c r="H51" s="24" t="n">
        <v>4231397801.85316</v>
      </c>
      <c r="I51" s="35">
        <f>H51/1000000</f>
        <v/>
      </c>
      <c r="J51" s="24" t="n">
        <v>1141544094.918446</v>
      </c>
      <c r="K51" s="35">
        <f>J51/1000000</f>
        <v/>
      </c>
    </row>
    <row r="52">
      <c r="A52" s="14" t="n">
        <v>2037</v>
      </c>
      <c r="B52" s="23" t="inlineStr">
        <is>
          <t>2037Q1</t>
        </is>
      </c>
      <c r="C52" s="32" t="inlineStr">
        <is>
          <t>Model forecast (AR(1) engine)</t>
        </is>
      </c>
      <c r="D52" s="33" t="n">
        <v>1403.511556981562</v>
      </c>
      <c r="E52" s="34" t="n">
        <v>5794597.817631335</v>
      </c>
      <c r="F52" s="32" t="inlineStr">
        <is>
          <t>Scenario input workbook</t>
        </is>
      </c>
      <c r="G52" s="35">
        <f>D52*E52/1000000</f>
        <v/>
      </c>
      <c r="H52" s="24" t="n">
        <v>4225671344.12657</v>
      </c>
      <c r="I52" s="35">
        <f>H52/1000000</f>
        <v/>
      </c>
      <c r="J52" s="24" t="n">
        <v>1106397262.084521</v>
      </c>
      <c r="K52" s="35">
        <f>J52/1000000</f>
        <v/>
      </c>
    </row>
    <row r="53">
      <c r="A53" s="14" t="n">
        <v>2037</v>
      </c>
      <c r="B53" s="23" t="inlineStr">
        <is>
          <t>2037Q2</t>
        </is>
      </c>
      <c r="C53" s="32" t="inlineStr">
        <is>
          <t>Model forecast (AR(1) engine)</t>
        </is>
      </c>
      <c r="D53" s="33" t="n">
        <v>1393.73561102731</v>
      </c>
      <c r="E53" s="34" t="n">
        <v>5803991.173684663</v>
      </c>
      <c r="F53" s="32" t="inlineStr">
        <is>
          <t>Scenario input workbook</t>
        </is>
      </c>
      <c r="G53" s="35">
        <f>D53*E53/1000000</f>
        <v/>
      </c>
      <c r="H53" s="24" t="n">
        <v>4246103150.380363</v>
      </c>
      <c r="I53" s="35">
        <f>H53/1000000</f>
        <v/>
      </c>
      <c r="J53" s="24" t="n">
        <v>1076086132.479822</v>
      </c>
      <c r="K53" s="35">
        <f>J53/1000000</f>
        <v/>
      </c>
    </row>
    <row r="54">
      <c r="A54" s="14" t="n">
        <v>2038</v>
      </c>
      <c r="B54" s="23" t="inlineStr">
        <is>
          <t>2037Q3</t>
        </is>
      </c>
      <c r="C54" s="32" t="inlineStr">
        <is>
          <t>Model forecast (AR(1) engine)</t>
        </is>
      </c>
      <c r="D54" s="33" t="n">
        <v>1398.196124878758</v>
      </c>
      <c r="E54" s="34" t="n">
        <v>5813399.756875529</v>
      </c>
      <c r="F54" s="32" t="inlineStr">
        <is>
          <t>Scenario input workbook</t>
        </is>
      </c>
      <c r="G54" s="35">
        <f>D54*E54/1000000</f>
        <v/>
      </c>
      <c r="H54" s="24" t="n">
        <v>4064174379.142762</v>
      </c>
      <c r="I54" s="35">
        <f>H54/1000000</f>
        <v/>
      </c>
      <c r="J54" s="24" t="n">
        <v>1088771817.594007</v>
      </c>
      <c r="K54" s="35">
        <f>J54/1000000</f>
        <v/>
      </c>
    </row>
    <row r="55">
      <c r="A55" s="14" t="n">
        <v>2038</v>
      </c>
      <c r="B55" s="23" t="inlineStr">
        <is>
          <t>2037Q4</t>
        </is>
      </c>
      <c r="C55" s="32" t="inlineStr">
        <is>
          <t>Model forecast (AR(1) engine)</t>
        </is>
      </c>
      <c r="D55" s="33" t="n">
        <v>1413.998224243622</v>
      </c>
      <c r="E55" s="34" t="n">
        <v>5822823.591887945</v>
      </c>
      <c r="F55" s="32" t="inlineStr">
        <is>
          <t>Scenario input workbook</t>
        </is>
      </c>
      <c r="G55" s="35">
        <f>D55*E55/1000000</f>
        <v/>
      </c>
      <c r="H55" s="24" t="n">
        <v>4329756511.73449</v>
      </c>
      <c r="I55" s="35">
        <f>H55/1000000</f>
        <v/>
      </c>
      <c r="J55" s="24" t="n">
        <v>1147965249.242329</v>
      </c>
      <c r="K55" s="35">
        <f>J55/1000000</f>
        <v/>
      </c>
    </row>
    <row r="56">
      <c r="A56" s="14" t="n">
        <v>2038</v>
      </c>
      <c r="B56" s="23" t="inlineStr">
        <is>
          <t>2038Q1</t>
        </is>
      </c>
      <c r="C56" s="32" t="inlineStr">
        <is>
          <t>Model forecast (AR(1) engine)</t>
        </is>
      </c>
      <c r="D56" s="33" t="n">
        <v>1394.059493797888</v>
      </c>
      <c r="E56" s="34" t="n">
        <v>5832262.703445938</v>
      </c>
      <c r="F56" s="32" t="inlineStr">
        <is>
          <t>Scenario input workbook</t>
        </is>
      </c>
      <c r="G56" s="35">
        <f>D56*E56/1000000</f>
        <v/>
      </c>
      <c r="H56" s="24" t="n">
        <v>4323897350.065298</v>
      </c>
      <c r="I56" s="35">
        <f>H56/1000000</f>
        <v/>
      </c>
      <c r="J56" s="24" t="n">
        <v>1112648553.57111</v>
      </c>
      <c r="K56" s="35">
        <f>J56/1000000</f>
        <v/>
      </c>
    </row>
    <row r="57">
      <c r="A57" s="14" t="n">
        <v>2038</v>
      </c>
      <c r="B57" s="23" t="inlineStr">
        <is>
          <t>2038Q2</t>
        </is>
      </c>
      <c r="C57" s="32" t="inlineStr">
        <is>
          <t>Model forecast (AR(1) engine)</t>
        </is>
      </c>
      <c r="D57" s="33" t="n">
        <v>1384.346586091002</v>
      </c>
      <c r="E57" s="34" t="n">
        <v>5841717.116313614</v>
      </c>
      <c r="F57" s="32" t="inlineStr">
        <is>
          <t>Scenario input workbook</t>
        </is>
      </c>
      <c r="G57" s="35">
        <f>D57*E57/1000000</f>
        <v/>
      </c>
      <c r="H57" s="24" t="n">
        <v>4344804504.617999</v>
      </c>
      <c r="I57" s="35">
        <f>H57/1000000</f>
        <v/>
      </c>
      <c r="J57" s="24" t="n">
        <v>1082159876.635226</v>
      </c>
      <c r="K57" s="35">
        <f>J57/1000000</f>
        <v/>
      </c>
    </row>
    <row r="58">
      <c r="A58" s="14" t="n">
        <v>2039</v>
      </c>
      <c r="B58" s="23" t="inlineStr">
        <is>
          <t>2038Q3</t>
        </is>
      </c>
      <c r="C58" s="32" t="inlineStr">
        <is>
          <t>Model forecast (AR(1) engine)</t>
        </is>
      </c>
      <c r="D58" s="33" t="n">
        <v>1388.775601269655</v>
      </c>
      <c r="E58" s="34" t="n">
        <v>5851186.85529522</v>
      </c>
      <c r="F58" s="32" t="inlineStr">
        <is>
          <t>Scenario input workbook</t>
        </is>
      </c>
      <c r="G58" s="35">
        <f>D58*E58/1000000</f>
        <v/>
      </c>
      <c r="H58" s="24" t="n">
        <v>4158647162.018554</v>
      </c>
      <c r="I58" s="35">
        <f>H58/1000000</f>
        <v/>
      </c>
      <c r="J58" s="24" t="n">
        <v>1094937619.534267</v>
      </c>
      <c r="K58" s="35">
        <f>J58/1000000</f>
        <v/>
      </c>
    </row>
    <row r="59">
      <c r="A59" s="14" t="n">
        <v>2039</v>
      </c>
      <c r="B59" s="23" t="inlineStr">
        <is>
          <t>2038Q4</t>
        </is>
      </c>
      <c r="C59" s="32" t="inlineStr">
        <is>
          <t>Model forecast (AR(1) engine)</t>
        </is>
      </c>
      <c r="D59" s="33" t="n">
        <v>1404.470489876775</v>
      </c>
      <c r="E59" s="34" t="n">
        <v>5860671.945235217</v>
      </c>
      <c r="F59" s="32" t="inlineStr">
        <is>
          <t>Scenario input workbook</t>
        </is>
      </c>
      <c r="G59" s="35">
        <f>D59*E59/1000000</f>
        <v/>
      </c>
      <c r="H59" s="24" t="n">
        <v>4430403238.115477</v>
      </c>
      <c r="I59" s="35">
        <f>H59/1000000</f>
        <v/>
      </c>
      <c r="J59" s="24" t="n">
        <v>1154515458.933487</v>
      </c>
      <c r="K59" s="35">
        <f>J59/1000000</f>
        <v/>
      </c>
    </row>
    <row r="60">
      <c r="A60" s="14" t="n">
        <v>2039</v>
      </c>
      <c r="B60" s="23" t="inlineStr">
        <is>
          <t>2039Q1</t>
        </is>
      </c>
      <c r="C60" s="32" t="inlineStr">
        <is>
          <t>Model forecast (AR(1) engine)</t>
        </is>
      </c>
      <c r="D60" s="33" t="n">
        <v>1384.665753597741</v>
      </c>
      <c r="E60" s="34" t="n">
        <v>5870172.411018337</v>
      </c>
      <c r="F60" s="32" t="inlineStr">
        <is>
          <t>Scenario input workbook</t>
        </is>
      </c>
      <c r="G60" s="35">
        <f>D60*E60/1000000</f>
        <v/>
      </c>
      <c r="H60" s="24" t="n">
        <v>4424408296.121748</v>
      </c>
      <c r="I60" s="35">
        <f>H60/1000000</f>
        <v/>
      </c>
      <c r="J60" s="24" t="n">
        <v>1119012568.866302</v>
      </c>
      <c r="K60" s="35">
        <f>J60/1000000</f>
        <v/>
      </c>
    </row>
    <row r="61">
      <c r="A61" s="14" t="n">
        <v>2039</v>
      </c>
      <c r="B61" s="23" t="inlineStr">
        <is>
          <t>2039Q2</t>
        </is>
      </c>
      <c r="C61" s="32" t="inlineStr">
        <is>
          <t>Model forecast (AR(1) engine)</t>
        </is>
      </c>
      <c r="D61" s="33" t="n">
        <v>1375.018137372116</v>
      </c>
      <c r="E61" s="34" t="n">
        <v>5879688.277569653</v>
      </c>
      <c r="F61" s="32" t="inlineStr">
        <is>
          <t>Scenario input workbook</t>
        </is>
      </c>
      <c r="G61" s="35">
        <f>D61*E61/1000000</f>
        <v/>
      </c>
      <c r="H61" s="24" t="n">
        <v>4445801867.188833</v>
      </c>
      <c r="I61" s="35">
        <f>H61/1000000</f>
        <v/>
      </c>
      <c r="J61" s="24" t="n">
        <v>1088341696.800392</v>
      </c>
      <c r="K61" s="35">
        <f>J61/1000000</f>
        <v/>
      </c>
    </row>
    <row r="62">
      <c r="A62" s="14" t="n">
        <v>2040</v>
      </c>
      <c r="B62" s="23" t="inlineStr">
        <is>
          <t>2039Q3</t>
        </is>
      </c>
      <c r="C62" s="32" t="inlineStr">
        <is>
          <t>Model forecast (AR(1) engine)</t>
        </is>
      </c>
      <c r="D62" s="33" t="n">
        <v>1379.417251308916</v>
      </c>
      <c r="E62" s="34" t="n">
        <v>5889219.569854639</v>
      </c>
      <c r="F62" s="32" t="inlineStr">
        <is>
          <t>Scenario input workbook</t>
        </is>
      </c>
      <c r="G62" s="35">
        <f>D62*E62/1000000</f>
        <v/>
      </c>
      <c r="H62" s="24" t="n">
        <v>4255317597.635993</v>
      </c>
      <c r="I62" s="35">
        <f>H62/1000000</f>
        <v/>
      </c>
      <c r="J62" s="24" t="n">
        <v>1101211431.555887</v>
      </c>
      <c r="K62" s="35">
        <f>J62/1000000</f>
        <v/>
      </c>
    </row>
    <row r="63">
      <c r="A63" s="14" t="n">
        <v>2040</v>
      </c>
      <c r="B63" s="23" t="inlineStr">
        <is>
          <t>2039Q4</t>
        </is>
      </c>
      <c r="C63" s="32" t="inlineStr">
        <is>
          <t>Model forecast (AR(1) engine)</t>
        </is>
      </c>
      <c r="D63" s="33" t="n">
        <v>1395.006375749187</v>
      </c>
      <c r="E63" s="34" t="n">
        <v>5898766.312879247</v>
      </c>
      <c r="F63" s="32" t="inlineStr">
        <is>
          <t>Scenario input workbook</t>
        </is>
      </c>
      <c r="G63" s="35">
        <f>D63*E63/1000000</f>
        <v/>
      </c>
      <c r="H63" s="24" t="n">
        <v>4533391248.122977</v>
      </c>
      <c r="I63" s="35">
        <f>H63/1000000</f>
        <v/>
      </c>
      <c r="J63" s="24" t="n">
        <v>1161178879.783969</v>
      </c>
      <c r="K63" s="35">
        <f>J63/1000000</f>
        <v/>
      </c>
    </row>
    <row r="64">
      <c r="A64" s="14" t="n">
        <v>2040</v>
      </c>
      <c r="B64" s="23" t="inlineStr">
        <is>
          <t>2040Q1</t>
        </is>
      </c>
      <c r="C64" s="32" t="inlineStr">
        <is>
          <t>Model forecast (AR(1) engine)</t>
        </is>
      </c>
      <c r="D64" s="33" t="n">
        <v>1375.335119046451</v>
      </c>
      <c r="E64" s="34" t="n">
        <v>5908328.531689957</v>
      </c>
      <c r="F64" s="32" t="inlineStr">
        <is>
          <t>Scenario input workbook</t>
        </is>
      </c>
      <c r="G64" s="35">
        <f>D64*E64/1000000</f>
        <v/>
      </c>
      <c r="H64" s="24" t="n">
        <v>4527257378.077741</v>
      </c>
      <c r="I64" s="35">
        <f>H64/1000000</f>
        <v/>
      </c>
      <c r="J64" s="24" t="n">
        <v>1125486457.466334</v>
      </c>
      <c r="K64" s="35">
        <f>J64/1000000</f>
        <v/>
      </c>
    </row>
    <row r="65">
      <c r="A65" s="14" t="n">
        <v>2040</v>
      </c>
      <c r="B65" s="23" t="inlineStr">
        <is>
          <t>2040Q2</t>
        </is>
      </c>
      <c r="C65" s="32" t="inlineStr">
        <is>
          <t>Model forecast (AR(1) engine)</t>
        </is>
      </c>
      <c r="D65" s="33" t="n">
        <v>1365.752551454581</v>
      </c>
      <c r="E65" s="34" t="n">
        <v>5917906.251373855</v>
      </c>
      <c r="F65" s="32" t="inlineStr">
        <is>
          <t>Scenario input workbook</t>
        </is>
      </c>
      <c r="G65" s="35">
        <f>D65*E65/1000000</f>
        <v/>
      </c>
      <c r="H65" s="24" t="n">
        <v>4549148691.831795</v>
      </c>
      <c r="I65" s="35">
        <f>H65/1000000</f>
        <v/>
      </c>
      <c r="J65" s="24" t="n">
        <v>1094630412.182329</v>
      </c>
      <c r="K65" s="35">
        <f>J65/1000000</f>
        <v/>
      </c>
    </row>
    <row r="66">
      <c r="A66" s="14" t="n">
        <v>2041</v>
      </c>
      <c r="B66" s="23" t="inlineStr">
        <is>
          <t>2040Q3</t>
        </is>
      </c>
      <c r="C66" s="32" t="inlineStr">
        <is>
          <t>Model forecast (AR(1) engine)</t>
        </is>
      </c>
      <c r="D66" s="33" t="n">
        <v>1370.122066691935</v>
      </c>
      <c r="E66" s="34" t="n">
        <v>5927499.497058695</v>
      </c>
      <c r="F66" s="32" t="inlineStr">
        <is>
          <t>Scenario input workbook</t>
        </is>
      </c>
      <c r="G66" s="35">
        <f>D66*E66/1000000</f>
        <v/>
      </c>
      <c r="H66" s="24" t="n">
        <v>4354236850.167521</v>
      </c>
      <c r="I66" s="35">
        <f>H66/1000000</f>
        <v/>
      </c>
      <c r="J66" s="24" t="n">
        <v>1107593825.881323</v>
      </c>
      <c r="K66" s="35">
        <f>J66/1000000</f>
        <v/>
      </c>
    </row>
    <row r="67">
      <c r="A67" s="14" t="n">
        <v>2041</v>
      </c>
      <c r="B67" s="23" t="inlineStr">
        <is>
          <t>2040Q4</t>
        </is>
      </c>
      <c r="C67" s="32" t="inlineStr">
        <is>
          <t>Model forecast (AR(1) engine)</t>
        </is>
      </c>
      <c r="D67" s="33" t="n">
        <v>1385.606192837952</v>
      </c>
      <c r="E67" s="34" t="n">
        <v>5937108.293912962</v>
      </c>
      <c r="F67" s="32" t="inlineStr">
        <is>
          <t>Scenario input workbook</t>
        </is>
      </c>
      <c r="G67" s="35">
        <f>D67*E67/1000000</f>
        <v/>
      </c>
      <c r="H67" s="24" t="n">
        <v>4638775050.123905</v>
      </c>
      <c r="I67" s="35">
        <f>H67/1000000</f>
        <v/>
      </c>
      <c r="J67" s="24" t="n">
        <v>1167957709.217406</v>
      </c>
      <c r="K67" s="35">
        <f>J67/1000000</f>
        <v/>
      </c>
    </row>
    <row r="68">
      <c r="A68" s="14" t="n">
        <v>2041</v>
      </c>
      <c r="B68" s="23" t="inlineStr">
        <is>
          <t>2041Q1</t>
        </is>
      </c>
      <c r="C68" s="32" t="inlineStr">
        <is>
          <t>Model forecast (AR(1) engine)</t>
        </is>
      </c>
      <c r="D68" s="33" t="n">
        <v>1366.06819648383</v>
      </c>
      <c r="E68" s="34" t="n">
        <v>5945255.034365186</v>
      </c>
      <c r="F68" s="32" t="inlineStr">
        <is>
          <t>Scenario input workbook</t>
        </is>
      </c>
      <c r="G68" s="35">
        <f>D68*E68/1000000</f>
        <v/>
      </c>
      <c r="H68" s="24" t="n">
        <v>4630951516.167537</v>
      </c>
      <c r="I68" s="35">
        <f>H68/1000000</f>
        <v/>
      </c>
      <c r="J68" s="24" t="n">
        <v>1131863704.409758</v>
      </c>
      <c r="K68" s="35">
        <f>J68/1000000</f>
        <v/>
      </c>
    </row>
    <row r="69">
      <c r="A69" s="14" t="n">
        <v>2041</v>
      </c>
      <c r="B69" s="23" t="inlineStr">
        <is>
          <t>2041Q2</t>
        </is>
      </c>
      <c r="C69" s="32" t="inlineStr">
        <is>
          <t>Model forecast (AR(1) engine)</t>
        </is>
      </c>
      <c r="D69" s="33" t="n">
        <v>1356.551246410873</v>
      </c>
      <c r="E69" s="34" t="n">
        <v>5953412.953555729</v>
      </c>
      <c r="F69" s="32" t="inlineStr">
        <is>
          <t>Scenario input workbook</t>
        </is>
      </c>
      <c r="G69" s="35">
        <f>D69*E69/1000000</f>
        <v/>
      </c>
      <c r="H69" s="24" t="n">
        <v>4651790200.930091</v>
      </c>
      <c r="I69" s="35">
        <f>H69/1000000</f>
        <v/>
      </c>
      <c r="J69" s="24" t="n">
        <v>1100691957.668704</v>
      </c>
      <c r="K69" s="35">
        <f>J69/1000000</f>
        <v/>
      </c>
    </row>
    <row r="70">
      <c r="A70" s="14" t="n">
        <v>2042</v>
      </c>
      <c r="B70" s="23" t="inlineStr">
        <is>
          <t>2041Q3</t>
        </is>
      </c>
      <c r="C70" s="32" t="inlineStr">
        <is>
          <t>Model forecast (AR(1) engine)</t>
        </is>
      </c>
      <c r="D70" s="33" t="n">
        <v>1360.892564671542</v>
      </c>
      <c r="E70" s="34" t="n">
        <v>5961582.066823757</v>
      </c>
      <c r="F70" s="32" t="inlineStr">
        <is>
          <t>Scenario input workbook</t>
        </is>
      </c>
      <c r="G70" s="35">
        <f>D70*E70/1000000</f>
        <v/>
      </c>
      <c r="H70" s="24" t="n">
        <v>4450993647.781456</v>
      </c>
      <c r="I70" s="35">
        <f>H70/1000000</f>
        <v/>
      </c>
      <c r="J70" s="24" t="n">
        <v>1113627648.161513</v>
      </c>
      <c r="K70" s="35">
        <f>J70/1000000</f>
        <v/>
      </c>
    </row>
    <row r="71">
      <c r="A71" s="14" t="n">
        <v>2042</v>
      </c>
      <c r="B71" s="23" t="inlineStr">
        <is>
          <t>2041Q4</t>
        </is>
      </c>
      <c r="C71" s="32" t="inlineStr">
        <is>
          <t>Model forecast (AR(1) engine)</t>
        </is>
      </c>
      <c r="D71" s="33" t="n">
        <v>1376.273741898348</v>
      </c>
      <c r="E71" s="34" t="n">
        <v>5969762.389529482</v>
      </c>
      <c r="F71" s="32" t="inlineStr">
        <is>
          <t>Scenario input workbook</t>
        </is>
      </c>
      <c r="G71" s="35">
        <f>D71*E71/1000000</f>
        <v/>
      </c>
      <c r="H71" s="24" t="n">
        <v>4740271061.10631</v>
      </c>
      <c r="I71" s="35">
        <f>H71/1000000</f>
        <v/>
      </c>
      <c r="J71" s="24" t="n">
        <v>1174236911.380019</v>
      </c>
      <c r="K71" s="35">
        <f>J71/1000000</f>
        <v/>
      </c>
    </row>
    <row r="72">
      <c r="A72" s="14" t="n">
        <v>2042</v>
      </c>
      <c r="B72" s="23" t="inlineStr">
        <is>
          <t>2042Q1</t>
        </is>
      </c>
      <c r="C72" s="32" t="inlineStr">
        <is>
          <t>Model forecast (AR(1) engine)</t>
        </is>
      </c>
      <c r="D72" s="33" t="n">
        <v>1356.86807744448</v>
      </c>
      <c r="E72" s="34" t="n">
        <v>5977953.937054194</v>
      </c>
      <c r="F72" s="32" t="inlineStr">
        <is>
          <t>Scenario input workbook</t>
        </is>
      </c>
      <c r="G72" s="35">
        <f>D72*E72/1000000</f>
        <v/>
      </c>
      <c r="H72" s="24" t="n">
        <v>4732276799.517681</v>
      </c>
      <c r="I72" s="35">
        <f>H72/1000000</f>
        <v/>
      </c>
      <c r="J72" s="24" t="n">
        <v>1138105255.646447</v>
      </c>
      <c r="K72" s="35">
        <f>J72/1000000</f>
        <v/>
      </c>
    </row>
    <row r="73">
      <c r="A73" s="14" t="n">
        <v>2042</v>
      </c>
      <c r="B73" s="23" t="inlineStr">
        <is>
          <t>2042Q2</t>
        </is>
      </c>
      <c r="C73" s="32" t="inlineStr">
        <is>
          <t>Model forecast (AR(1) engine)</t>
        </is>
      </c>
      <c r="D73" s="33" t="n">
        <v>1347.415636564893</v>
      </c>
      <c r="E73" s="34" t="n">
        <v>5986156.724800285</v>
      </c>
      <c r="F73" s="32" t="inlineStr">
        <is>
          <t>Scenario input workbook</t>
        </is>
      </c>
      <c r="G73" s="35">
        <f>D73*E73/1000000</f>
        <v/>
      </c>
      <c r="H73" s="24" t="n">
        <v>4753571887.959545</v>
      </c>
      <c r="I73" s="35">
        <f>H73/1000000</f>
        <v/>
      </c>
      <c r="J73" s="24" t="n">
        <v>1106835275.65309</v>
      </c>
      <c r="K73" s="35">
        <f>J73/1000000</f>
        <v/>
      </c>
    </row>
    <row r="74">
      <c r="A74" s="14" t="n">
        <v>2043</v>
      </c>
      <c r="B74" s="23" t="inlineStr">
        <is>
          <t>2042Q3</t>
        </is>
      </c>
      <c r="C74" s="32" t="inlineStr">
        <is>
          <t>Model forecast (AR(1) engine)</t>
        </is>
      </c>
      <c r="D74" s="33" t="n">
        <v>1351.727964464327</v>
      </c>
      <c r="E74" s="34" t="n">
        <v>5994370.768191287</v>
      </c>
      <c r="F74" s="32" t="inlineStr">
        <is>
          <t>Scenario input workbook</t>
        </is>
      </c>
      <c r="G74" s="35">
        <f>D74*E74/1000000</f>
        <v/>
      </c>
      <c r="H74" s="24" t="n">
        <v>4548382317.597476</v>
      </c>
      <c r="I74" s="35">
        <f>H74/1000000</f>
        <v/>
      </c>
      <c r="J74" s="24" t="n">
        <v>1119926963.798379</v>
      </c>
      <c r="K74" s="35">
        <f>J74/1000000</f>
        <v/>
      </c>
    </row>
    <row r="75">
      <c r="A75" s="14" t="n">
        <v>2043</v>
      </c>
      <c r="B75" s="23" t="inlineStr">
        <is>
          <t>2042Q4</t>
        </is>
      </c>
      <c r="C75" s="32" t="inlineStr">
        <is>
          <t>Model forecast (AR(1) engine)</t>
        </is>
      </c>
      <c r="D75" s="33" t="n">
        <v>1367.00571763704</v>
      </c>
      <c r="E75" s="34" t="n">
        <v>6002596.082671894</v>
      </c>
      <c r="F75" s="32" t="inlineStr">
        <is>
          <t>Scenario input workbook</t>
        </is>
      </c>
      <c r="G75" s="35">
        <f>D75*E75/1000000</f>
        <v/>
      </c>
      <c r="H75" s="24" t="n">
        <v>4843989643.290878</v>
      </c>
      <c r="I75" s="35">
        <f>H75/1000000</f>
        <v/>
      </c>
      <c r="J75" s="24" t="n">
        <v>1181000773.365276</v>
      </c>
      <c r="K75" s="35">
        <f>J75/1000000</f>
        <v/>
      </c>
    </row>
    <row r="76">
      <c r="A76" s="14" t="n">
        <v>2043</v>
      </c>
      <c r="B76" s="23" t="inlineStr">
        <is>
          <t>2043Q1</t>
        </is>
      </c>
      <c r="C76" s="32" t="inlineStr">
        <is>
          <t>Model forecast (AR(1) engine)</t>
        </is>
      </c>
      <c r="D76" s="33" t="n">
        <v>1347.730839788035</v>
      </c>
      <c r="E76" s="34" t="n">
        <v>6010832.683707991</v>
      </c>
      <c r="F76" s="32" t="inlineStr">
        <is>
          <t>Scenario input workbook</t>
        </is>
      </c>
      <c r="G76" s="35">
        <f>D76*E76/1000000</f>
        <v/>
      </c>
      <c r="H76" s="24" t="n">
        <v>4835820926.540495</v>
      </c>
      <c r="I76" s="35">
        <f>H76/1000000</f>
        <v/>
      </c>
      <c r="J76" s="24" t="n">
        <v>1144692070.841986</v>
      </c>
      <c r="K76" s="35">
        <f>J76/1000000</f>
        <v/>
      </c>
    </row>
    <row r="77">
      <c r="A77" s="14" t="n">
        <v>2043</v>
      </c>
      <c r="B77" s="23" t="inlineStr">
        <is>
          <t>2043Q2</t>
        </is>
      </c>
      <c r="C77" s="32" t="inlineStr">
        <is>
          <t>Model forecast (AR(1) engine)</t>
        </is>
      </c>
      <c r="D77" s="33" t="n">
        <v>1338.342131910974</v>
      </c>
      <c r="E77" s="34" t="n">
        <v>6019080.586786686</v>
      </c>
      <c r="F77" s="32" t="inlineStr">
        <is>
          <t>Scenario input workbook</t>
        </is>
      </c>
      <c r="G77" s="35">
        <f>D77*E77/1000000</f>
        <v/>
      </c>
      <c r="H77" s="24" t="n">
        <v>4857582424.232556</v>
      </c>
      <c r="I77" s="35">
        <f>H77/1000000</f>
        <v/>
      </c>
      <c r="J77" s="24" t="n">
        <v>1113236211.383377</v>
      </c>
      <c r="K77" s="35">
        <f>J77/1000000</f>
        <v/>
      </c>
    </row>
    <row r="78">
      <c r="A78" s="14" t="n">
        <v>2044</v>
      </c>
      <c r="B78" s="23" t="inlineStr">
        <is>
          <t>2043Q3</t>
        </is>
      </c>
      <c r="C78" s="32" t="inlineStr">
        <is>
          <t>Model forecast (AR(1) engine)</t>
        </is>
      </c>
      <c r="D78" s="33" t="n">
        <v>1342.625486718157</v>
      </c>
      <c r="E78" s="34" t="n">
        <v>6027339.807416338</v>
      </c>
      <c r="F78" s="32" t="inlineStr">
        <is>
          <t>Scenario input workbook</t>
        </is>
      </c>
      <c r="G78" s="35">
        <f>D78*E78/1000000</f>
        <v/>
      </c>
      <c r="H78" s="24" t="n">
        <v>4647903647.572771</v>
      </c>
      <c r="I78" s="35">
        <f>H78/1000000</f>
        <v/>
      </c>
      <c r="J78" s="24" t="n">
        <v>1126425606.624334</v>
      </c>
      <c r="K78" s="35">
        <f>J78/1000000</f>
        <v/>
      </c>
    </row>
    <row r="79">
      <c r="A79" s="14" t="n">
        <v>2044</v>
      </c>
      <c r="B79" s="23" t="inlineStr">
        <is>
          <t>2043Q4</t>
        </is>
      </c>
      <c r="C79" s="32" t="inlineStr">
        <is>
          <t>Model forecast (AR(1) engine)</t>
        </is>
      </c>
      <c r="D79" s="33" t="n">
        <v>1357.800419635138</v>
      </c>
      <c r="E79" s="34" t="n">
        <v>6035610.361126589</v>
      </c>
      <c r="F79" s="32" t="inlineStr">
        <is>
          <t>Scenario input workbook</t>
        </is>
      </c>
      <c r="G79" s="35">
        <f>D79*E79/1000000</f>
        <v/>
      </c>
      <c r="H79" s="24" t="n">
        <v>4949979512.224336</v>
      </c>
      <c r="I79" s="35">
        <f>H79/1000000</f>
        <v/>
      </c>
      <c r="J79" s="24" t="n">
        <v>1187904953.629345</v>
      </c>
      <c r="K79" s="35">
        <f>J79/1000000</f>
        <v/>
      </c>
    </row>
    <row r="80">
      <c r="A80" s="14" t="n">
        <v>2044</v>
      </c>
      <c r="B80" s="23" t="inlineStr">
        <is>
          <t>2044Q1</t>
        </is>
      </c>
      <c r="C80" s="32" t="inlineStr">
        <is>
          <t>Model forecast (AR(1) engine)</t>
        </is>
      </c>
      <c r="D80" s="33" t="n">
        <v>1338.65539188116</v>
      </c>
      <c r="E80" s="34" t="n">
        <v>6043892.263468384</v>
      </c>
      <c r="F80" s="32" t="inlineStr">
        <is>
          <t>Scenario input workbook</t>
        </is>
      </c>
      <c r="G80" s="35">
        <f>D80*E80/1000000</f>
        <v/>
      </c>
      <c r="H80" s="24" t="n">
        <v>4941632531.354955</v>
      </c>
      <c r="I80" s="35">
        <f>H80/1000000</f>
        <v/>
      </c>
      <c r="J80" s="24" t="n">
        <v>1151400156.734297</v>
      </c>
      <c r="K80" s="35">
        <f>J80/1000000</f>
        <v/>
      </c>
    </row>
    <row r="81">
      <c r="A81" s="14" t="n">
        <v>2044</v>
      </c>
      <c r="B81" s="23" t="inlineStr">
        <is>
          <t>2044Q2</t>
        </is>
      </c>
      <c r="C81" s="32" t="inlineStr">
        <is>
          <t>Model forecast (AR(1) engine)</t>
        </is>
      </c>
      <c r="D81" s="33" t="n">
        <v>1329.329958669073</v>
      </c>
      <c r="E81" s="34" t="n">
        <v>6052185.530014012</v>
      </c>
      <c r="F81" s="32" t="inlineStr">
        <is>
          <t>Scenario input workbook</t>
        </is>
      </c>
      <c r="G81" s="35">
        <f>D81*E81/1000000</f>
        <v/>
      </c>
      <c r="H81" s="24" t="n">
        <v>4963870663.453055</v>
      </c>
      <c r="I81" s="35">
        <f>H81/1000000</f>
        <v/>
      </c>
      <c r="J81" s="24" t="n">
        <v>1119752270.240039</v>
      </c>
      <c r="K81" s="35">
        <f>J81/1000000</f>
        <v/>
      </c>
    </row>
    <row r="82">
      <c r="A82" s="14" t="n">
        <v>2045</v>
      </c>
      <c r="B82" s="23" t="inlineStr">
        <is>
          <t>2044Q3</t>
        </is>
      </c>
      <c r="C82" s="32" t="inlineStr">
        <is>
          <t>Model forecast (AR(1) engine)</t>
        </is>
      </c>
      <c r="D82" s="33" t="n">
        <v>1333.584521456569</v>
      </c>
      <c r="E82" s="34" t="n">
        <v>6060490.176357128</v>
      </c>
      <c r="F82" s="32" t="inlineStr">
        <is>
          <t>Scenario input workbook</t>
        </is>
      </c>
      <c r="G82" s="35">
        <f>D82*E82/1000000</f>
        <v/>
      </c>
      <c r="H82" s="24" t="n">
        <v>4749604383.325777</v>
      </c>
      <c r="I82" s="35">
        <f>H82/1000000</f>
        <v/>
      </c>
      <c r="J82" s="24" t="n">
        <v>1133038554.400644</v>
      </c>
      <c r="K82" s="35">
        <f>J82/1000000</f>
        <v/>
      </c>
    </row>
    <row r="83">
      <c r="A83" s="14" t="n">
        <v>2045</v>
      </c>
      <c r="B83" s="23" t="inlineStr">
        <is>
          <t>2044Q4</t>
        </is>
      </c>
      <c r="C83" s="32" t="inlineStr">
        <is>
          <t>Model forecast (AR(1) engine)</t>
        </is>
      </c>
      <c r="D83" s="33" t="n">
        <v>1348.657320863892</v>
      </c>
      <c r="E83" s="34" t="n">
        <v>6068806.218112784</v>
      </c>
      <c r="F83" s="32" t="inlineStr">
        <is>
          <t>Scenario input workbook</t>
        </is>
      </c>
      <c r="G83" s="35">
        <f>D83*E83/1000000</f>
        <v/>
      </c>
      <c r="H83" s="24" t="n">
        <v>5058290452.352571</v>
      </c>
      <c r="I83" s="35">
        <f>H83/1000000</f>
        <v/>
      </c>
      <c r="J83" s="24" t="n">
        <v>1194928423.760697</v>
      </c>
      <c r="K83" s="35">
        <f>J83/1000000</f>
        <v/>
      </c>
    </row>
    <row r="84">
      <c r="A84" s="14" t="n">
        <v>2045</v>
      </c>
      <c r="B84" s="23" t="inlineStr">
        <is>
          <t>2045Q1</t>
        </is>
      </c>
      <c r="C84" s="32" t="inlineStr">
        <is>
          <t>Model forecast (AR(1) engine)</t>
        </is>
      </c>
      <c r="D84" s="33" t="n">
        <v>1329.641261451378</v>
      </c>
      <c r="E84" s="34" t="n">
        <v>6077133.670917459</v>
      </c>
      <c r="F84" s="32" t="inlineStr">
        <is>
          <t>Scenario input workbook</t>
        </is>
      </c>
      <c r="G84" s="35">
        <f>D84*E84/1000000</f>
        <v/>
      </c>
      <c r="H84" s="24" t="n">
        <v>5049761315.199692</v>
      </c>
      <c r="I84" s="35">
        <f>H84/1000000</f>
        <v/>
      </c>
      <c r="J84" s="24" t="n">
        <v>1158223669.453331</v>
      </c>
      <c r="K84" s="35">
        <f>J84/1000000</f>
        <v/>
      </c>
    </row>
    <row r="85">
      <c r="A85" s="14" t="n">
        <v>2045</v>
      </c>
      <c r="B85" s="23" t="inlineStr">
        <is>
          <t>2045Q2</t>
        </is>
      </c>
      <c r="C85" s="32" t="inlineStr">
        <is>
          <t>Model forecast (AR(1) engine)</t>
        </is>
      </c>
      <c r="D85" s="33" t="n">
        <v>1320.378672968016</v>
      </c>
      <c r="E85" s="34" t="n">
        <v>6085472.550429088</v>
      </c>
      <c r="F85" s="32" t="inlineStr">
        <is>
          <t>Scenario input workbook</t>
        </is>
      </c>
      <c r="G85" s="35">
        <f>D85*E85/1000000</f>
        <v/>
      </c>
      <c r="H85" s="24" t="n">
        <v>5072486531.269258</v>
      </c>
      <c r="I85" s="35">
        <f>H85/1000000</f>
        <v/>
      </c>
      <c r="J85" s="24" t="n">
        <v>1126380404.193796</v>
      </c>
      <c r="K85" s="35">
        <f>J85/1000000</f>
        <v/>
      </c>
    </row>
    <row r="86">
      <c r="A86" s="14" t="n">
        <v>2046</v>
      </c>
      <c r="B86" s="23" t="inlineStr">
        <is>
          <t>2045Q3</t>
        </is>
      </c>
      <c r="C86" s="32" t="inlineStr">
        <is>
          <t>Model forecast (AR(1) engine)</t>
        </is>
      </c>
      <c r="D86" s="33" t="n">
        <v>1324.604636850228</v>
      </c>
      <c r="E86" s="34" t="n">
        <v>6093822.872327091</v>
      </c>
      <c r="F86" s="32" t="inlineStr">
        <is>
          <t>Scenario input workbook</t>
        </is>
      </c>
      <c r="G86" s="35">
        <f>D86*E86/1000000</f>
        <v/>
      </c>
      <c r="H86" s="24" t="n">
        <v>4853532296.170701</v>
      </c>
      <c r="I86" s="35">
        <f>H86/1000000</f>
        <v/>
      </c>
      <c r="J86" s="24" t="n">
        <v>1139765197.325291</v>
      </c>
      <c r="K86" s="35">
        <f>J86/1000000</f>
        <v/>
      </c>
    </row>
    <row r="87">
      <c r="A87" s="14" t="n">
        <v>2046</v>
      </c>
      <c r="B87" s="23" t="inlineStr">
        <is>
          <t>2045Q4</t>
        </is>
      </c>
      <c r="C87" s="32" t="inlineStr">
        <is>
          <t>Model forecast (AR(1) engine)</t>
        </is>
      </c>
      <c r="D87" s="33" t="n">
        <v>1339.575991890376</v>
      </c>
      <c r="E87" s="34" t="n">
        <v>6102184.652312404</v>
      </c>
      <c r="F87" s="32" t="inlineStr">
        <is>
          <t>Scenario input workbook</t>
        </is>
      </c>
      <c r="G87" s="35">
        <f>D87*E87/1000000</f>
        <v/>
      </c>
      <c r="H87" s="24" t="n">
        <v>5168973340.502307</v>
      </c>
      <c r="I87" s="35">
        <f>H87/1000000</f>
        <v/>
      </c>
      <c r="J87" s="24" t="n">
        <v>1202072631.758517</v>
      </c>
      <c r="K87" s="35">
        <f>J87/1000000</f>
        <v/>
      </c>
    </row>
    <row r="88">
      <c r="A88" s="14" t="n">
        <v>2046</v>
      </c>
      <c r="B88" s="23" t="inlineStr">
        <is>
          <t>2046Q1</t>
        </is>
      </c>
      <c r="C88" s="32" t="inlineStr">
        <is>
          <t>Model forecast (AR(1) engine)</t>
        </is>
      </c>
      <c r="D88" s="33" t="n">
        <v>1320.688028956958</v>
      </c>
      <c r="E88" s="34" t="n">
        <v>6110557.906107505</v>
      </c>
      <c r="F88" s="32" t="inlineStr">
        <is>
          <t>Scenario input workbook</t>
        </is>
      </c>
      <c r="G88" s="35">
        <f>D88*E88/1000000</f>
        <v/>
      </c>
      <c r="H88" s="24" t="n">
        <v>5160258069.875076</v>
      </c>
      <c r="I88" s="35">
        <f>H88/1000000</f>
        <v/>
      </c>
      <c r="J88" s="24" t="n">
        <v>1165164520.400514</v>
      </c>
      <c r="K88" s="35">
        <f>J88/1000000</f>
        <v/>
      </c>
    </row>
    <row r="89">
      <c r="A89" s="14" t="n">
        <v>2046</v>
      </c>
      <c r="B89" s="23" t="inlineStr">
        <is>
          <t>2046Q2</t>
        </is>
      </c>
      <c r="C89" s="32" t="inlineStr">
        <is>
          <t>Model forecast (AR(1) engine)</t>
        </is>
      </c>
      <c r="D89" s="33" t="n">
        <v>1311.487860226848</v>
      </c>
      <c r="E89" s="34" t="n">
        <v>6118942.649456448</v>
      </c>
      <c r="F89" s="32" t="inlineStr">
        <is>
          <t>Scenario input workbook</t>
        </is>
      </c>
      <c r="G89" s="35">
        <f>D89*E89/1000000</f>
        <v/>
      </c>
      <c r="H89" s="24" t="n">
        <v>5183481048.822502</v>
      </c>
      <c r="I89" s="35">
        <f>H89/1000000</f>
        <v/>
      </c>
      <c r="J89" s="24" t="n">
        <v>1133122567.751973</v>
      </c>
      <c r="K89" s="35">
        <f>J89/1000000</f>
        <v/>
      </c>
    </row>
    <row r="90">
      <c r="A90" s="14" t="n">
        <v>2047</v>
      </c>
      <c r="B90" s="23" t="inlineStr">
        <is>
          <t>2046Q3</t>
        </is>
      </c>
      <c r="C90" s="32" t="inlineStr">
        <is>
          <t>Model forecast (AR(1) engine)</t>
        </is>
      </c>
      <c r="D90" s="33" t="n">
        <v>1315.685418086428</v>
      </c>
      <c r="E90" s="34" t="n">
        <v>6127338.89812489</v>
      </c>
      <c r="F90" s="32" t="inlineStr">
        <is>
          <t>Scenario input workbook</t>
        </is>
      </c>
      <c r="G90" s="35">
        <f>D90*E90/1000000</f>
        <v/>
      </c>
      <c r="H90" s="24" t="n">
        <v>4959736205.649943</v>
      </c>
      <c r="I90" s="35">
        <f>H90/1000000</f>
        <v/>
      </c>
      <c r="J90" s="24" t="n">
        <v>1146607617.352362</v>
      </c>
      <c r="K90" s="35">
        <f>J90/1000000</f>
        <v/>
      </c>
    </row>
    <row r="91">
      <c r="A91" s="14" t="n">
        <v>2047</v>
      </c>
      <c r="B91" s="23" t="inlineStr">
        <is>
          <t>2046Q4</t>
        </is>
      </c>
      <c r="C91" s="32" t="inlineStr">
        <is>
          <t>Model forecast (AR(1) engine)</t>
        </is>
      </c>
      <c r="D91" s="33" t="n">
        <v>1330.55601380783</v>
      </c>
      <c r="E91" s="34" t="n">
        <v>6135746.667900122</v>
      </c>
      <c r="F91" s="32" t="inlineStr">
        <is>
          <t>Scenario input workbook</t>
        </is>
      </c>
      <c r="G91" s="35">
        <f>D91*E91/1000000</f>
        <v/>
      </c>
      <c r="H91" s="24" t="n">
        <v>5282080169.878922</v>
      </c>
      <c r="I91" s="35">
        <f>H91/1000000</f>
        <v/>
      </c>
      <c r="J91" s="24" t="n">
        <v>1209339861.973014</v>
      </c>
      <c r="K91" s="35">
        <f>J91/1000000</f>
        <v/>
      </c>
    </row>
    <row r="92">
      <c r="A92" s="14" t="n">
        <v>2047</v>
      </c>
      <c r="B92" s="23" t="inlineStr">
        <is>
          <t>2047Q1</t>
        </is>
      </c>
      <c r="C92" s="32" t="inlineStr">
        <is>
          <t>Model forecast (AR(1) engine)</t>
        </is>
      </c>
      <c r="D92" s="33" t="n">
        <v>1311.795281713328</v>
      </c>
      <c r="E92" s="34" t="n">
        <v>6144165.974591096</v>
      </c>
      <c r="F92" s="32" t="inlineStr">
        <is>
          <t>Scenario input workbook</t>
        </is>
      </c>
      <c r="G92" s="35">
        <f>D92*E92/1000000</f>
        <v/>
      </c>
      <c r="H92" s="24" t="n">
        <v>5273174701.701942</v>
      </c>
      <c r="I92" s="35">
        <f>H92/1000000</f>
        <v/>
      </c>
      <c r="J92" s="24" t="n">
        <v>1172224950.532667</v>
      </c>
      <c r="K92" s="35">
        <f>J92/1000000</f>
        <v/>
      </c>
    </row>
    <row r="93">
      <c r="A93" s="14" t="n">
        <v>2047</v>
      </c>
      <c r="B93" s="23" t="inlineStr">
        <is>
          <t>2047Q2</t>
        </is>
      </c>
      <c r="C93" s="32" t="inlineStr">
        <is>
          <t>Model forecast (AR(1) engine)</t>
        </is>
      </c>
      <c r="D93" s="33" t="n">
        <v>1302.657110805755</v>
      </c>
      <c r="E93" s="34" t="n">
        <v>6152596.834028458</v>
      </c>
      <c r="F93" s="32" t="inlineStr">
        <is>
          <t>Scenario input workbook</t>
        </is>
      </c>
      <c r="G93" s="35">
        <f>D93*E93/1000000</f>
        <v/>
      </c>
      <c r="H93" s="24" t="n">
        <v>5296906356.81398</v>
      </c>
      <c r="I93" s="35">
        <f>H93/1000000</f>
        <v/>
      </c>
      <c r="J93" s="24" t="n">
        <v>1139980945.538948</v>
      </c>
      <c r="K93" s="35">
        <f>J93/1000000</f>
        <v/>
      </c>
    </row>
    <row r="94">
      <c r="A94" s="14" t="n">
        <v>2048</v>
      </c>
      <c r="B94" s="23" t="inlineStr">
        <is>
          <t>2047Q3</t>
        </is>
      </c>
      <c r="C94" s="32" t="inlineStr">
        <is>
          <t>Model forecast (AR(1) engine)</t>
        </is>
      </c>
      <c r="D94" s="33" t="n">
        <v>1306.826454307766</v>
      </c>
      <c r="E94" s="34" t="n">
        <v>6161039.262064577</v>
      </c>
      <c r="F94" s="32" t="inlineStr">
        <is>
          <t>Scenario input workbook</t>
        </is>
      </c>
      <c r="G94" s="35">
        <f>D94*E94/1000000</f>
        <v/>
      </c>
      <c r="H94" s="24" t="n">
        <v>5068266002.562979</v>
      </c>
      <c r="I94" s="35">
        <f>H94/1000000</f>
        <v/>
      </c>
      <c r="J94" s="24" t="n">
        <v>1153568039.278296</v>
      </c>
      <c r="K94" s="35">
        <f>J94/1000000</f>
        <v/>
      </c>
    </row>
    <row r="95">
      <c r="A95" s="14" t="n">
        <v>2048</v>
      </c>
      <c r="B95" s="23" t="inlineStr">
        <is>
          <t>2047Q4</t>
        </is>
      </c>
      <c r="C95" s="32" t="inlineStr">
        <is>
          <t>Model forecast (AR(1) engine)</t>
        </is>
      </c>
      <c r="D95" s="33" t="n">
        <v>1321.596971168074</v>
      </c>
      <c r="E95" s="34" t="n">
        <v>6169493.274573572</v>
      </c>
      <c r="F95" s="32" t="inlineStr">
        <is>
          <t>Scenario input workbook</t>
        </is>
      </c>
      <c r="G95" s="35">
        <f>D95*E95/1000000</f>
        <v/>
      </c>
      <c r="H95" s="24" t="n">
        <v>5397664074.592477</v>
      </c>
      <c r="I95" s="35">
        <f>H95/1000000</f>
        <v/>
      </c>
      <c r="J95" s="24" t="n">
        <v>1216732484.131809</v>
      </c>
      <c r="K95" s="35">
        <f>J95/1000000</f>
        <v/>
      </c>
    </row>
    <row r="96">
      <c r="A96" s="14" t="n">
        <v>2048</v>
      </c>
      <c r="B96" s="23" t="inlineStr">
        <is>
          <t>2048Q1</t>
        </is>
      </c>
      <c r="C96" s="32" t="inlineStr">
        <is>
          <t>Model forecast (AR(1) engine)</t>
        </is>
      </c>
      <c r="D96" s="33" t="n">
        <v>1302.962610160367</v>
      </c>
      <c r="E96" s="34" t="n">
        <v>6177958.887451346</v>
      </c>
      <c r="F96" s="32" t="inlineStr">
        <is>
          <t>Scenario input workbook</t>
        </is>
      </c>
      <c r="G96" s="35">
        <f>D96*E96/1000000</f>
        <v/>
      </c>
      <c r="H96" s="24" t="n">
        <v>5388564256.006357</v>
      </c>
      <c r="I96" s="35">
        <f>H96/1000000</f>
        <v/>
      </c>
      <c r="J96" s="24" t="n">
        <v>1179407267.143751</v>
      </c>
      <c r="K96" s="35">
        <f>J96/1000000</f>
        <v/>
      </c>
    </row>
    <row r="97">
      <c r="A97" s="14" t="n">
        <v>2048</v>
      </c>
      <c r="B97" s="23" t="inlineStr">
        <is>
          <t>2048Q2</t>
        </is>
      </c>
      <c r="C97" s="32" t="inlineStr">
        <is>
          <t>Model forecast (AR(1) engine)</t>
        </is>
      </c>
      <c r="D97" s="33" t="n">
        <v>1293.886018016097</v>
      </c>
      <c r="E97" s="34" t="n">
        <v>6186436.116615614</v>
      </c>
      <c r="F97" s="32" t="inlineStr">
        <is>
          <t>Scenario input workbook</t>
        </is>
      </c>
      <c r="G97" s="35">
        <f>D97*E97/1000000</f>
        <v/>
      </c>
      <c r="H97" s="24" t="n">
        <v>5412815740.100905</v>
      </c>
      <c r="I97" s="35">
        <f>H97/1000000</f>
        <v/>
      </c>
      <c r="J97" s="24" t="n">
        <v>1146957783.256766</v>
      </c>
      <c r="K97" s="35">
        <f>J97/1000000</f>
        <v/>
      </c>
    </row>
    <row r="98">
      <c r="A98" s="14" t="n">
        <v>2049</v>
      </c>
      <c r="B98" s="23" t="inlineStr">
        <is>
          <t>2048Q3</t>
        </is>
      </c>
      <c r="C98" s="32" t="inlineStr">
        <is>
          <t>Model forecast (AR(1) engine)</t>
        </is>
      </c>
      <c r="D98" s="33" t="n">
        <v>1298.027337536167</v>
      </c>
      <c r="E98" s="34" t="n">
        <v>6194924.978005931</v>
      </c>
      <c r="F98" s="32" t="inlineStr">
        <is>
          <t>Scenario input workbook</t>
        </is>
      </c>
      <c r="G98" s="35">
        <f>D98*E98/1000000</f>
        <v/>
      </c>
      <c r="H98" s="24" t="n">
        <v>5179172672.501482</v>
      </c>
      <c r="I98" s="35">
        <f>H98/1000000</f>
        <v/>
      </c>
      <c r="J98" s="24" t="n">
        <v>1160648746.716886</v>
      </c>
      <c r="K98" s="35">
        <f>J98/1000000</f>
        <v/>
      </c>
    </row>
    <row r="99">
      <c r="A99" s="14" t="n">
        <v>2049</v>
      </c>
      <c r="B99" s="23" t="inlineStr">
        <is>
          <t>2048Q4</t>
        </is>
      </c>
      <c r="C99" s="32" t="inlineStr">
        <is>
          <t>Model forecast (AR(1) engine)</t>
        </is>
      </c>
      <c r="D99" s="33" t="n">
        <v>1312.698451390815</v>
      </c>
      <c r="E99" s="34" t="n">
        <v>6203425.487583726</v>
      </c>
      <c r="F99" s="32" t="inlineStr">
        <is>
          <t>Scenario input workbook</t>
        </is>
      </c>
      <c r="G99" s="35">
        <f>D99*E99/1000000</f>
        <v/>
      </c>
      <c r="H99" s="24" t="n">
        <v>5515779354.723166</v>
      </c>
      <c r="I99" s="35">
        <f>H99/1000000</f>
        <v/>
      </c>
      <c r="J99" s="24" t="n">
        <v>1224252928.387026</v>
      </c>
      <c r="K99" s="35">
        <f>J99/1000000</f>
        <v/>
      </c>
    </row>
    <row r="100">
      <c r="A100" s="14" t="n">
        <v>2049</v>
      </c>
      <c r="B100" s="23" t="inlineStr">
        <is>
          <t>2049Q1</t>
        </is>
      </c>
      <c r="C100" s="32" t="inlineStr">
        <is>
          <t>Model forecast (AR(1) engine)</t>
        </is>
      </c>
      <c r="D100" s="33" t="n">
        <v>1294.189607542195</v>
      </c>
      <c r="E100" s="34" t="n">
        <v>6211937.661332328</v>
      </c>
      <c r="F100" s="32" t="inlineStr">
        <is>
          <t>Scenario input workbook</t>
        </is>
      </c>
      <c r="G100" s="35">
        <f>D100*E100/1000000</f>
        <v/>
      </c>
      <c r="H100" s="24" t="n">
        <v>5506480942.144047</v>
      </c>
      <c r="I100" s="35">
        <f>H100/1000000</f>
        <v/>
      </c>
      <c r="J100" s="24" t="n">
        <v>1186713835.820097</v>
      </c>
      <c r="K100" s="35">
        <f>J100/1000000</f>
        <v/>
      </c>
    </row>
    <row r="101">
      <c r="A101" s="14" t="n">
        <v>2049</v>
      </c>
      <c r="B101" s="23" t="inlineStr">
        <is>
          <t>2049Q2</t>
        </is>
      </c>
      <c r="C101" s="32" t="inlineStr">
        <is>
          <t>Model forecast (AR(1) engine)</t>
        </is>
      </c>
      <c r="D101" s="33" t="n">
        <v>1285.174177941584</v>
      </c>
      <c r="E101" s="34" t="n">
        <v>6220461.515256999</v>
      </c>
      <c r="F101" s="32" t="inlineStr">
        <is>
          <t>Scenario input workbook</t>
        </is>
      </c>
      <c r="G101" s="35">
        <f>D101*E101/1000000</f>
        <v/>
      </c>
      <c r="H101" s="24" t="n">
        <v>5531263652.833832</v>
      </c>
      <c r="I101" s="35">
        <f>H101/1000000</f>
        <v/>
      </c>
      <c r="J101" s="24" t="n">
        <v>1154055383.252871</v>
      </c>
      <c r="K101" s="35">
        <f>J101/1000000</f>
        <v/>
      </c>
    </row>
    <row r="102">
      <c r="A102" s="14" t="n">
        <v>2050</v>
      </c>
      <c r="B102" s="23" t="inlineStr">
        <is>
          <t>2049Q3</t>
        </is>
      </c>
      <c r="C102" s="32" t="inlineStr">
        <is>
          <t>Model forecast (AR(1) engine)</t>
        </is>
      </c>
      <c r="D102" s="33" t="n">
        <v>1289.287662568122</v>
      </c>
      <c r="E102" s="34" t="n">
        <v>6228997.065384963</v>
      </c>
      <c r="F102" s="32" t="inlineStr">
        <is>
          <t>Scenario input workbook</t>
        </is>
      </c>
      <c r="G102" s="35">
        <f>D102*E102/1000000</f>
        <v/>
      </c>
      <c r="H102" s="24" t="n">
        <v>5292508319.902004</v>
      </c>
      <c r="I102" s="35">
        <f>H102/1000000</f>
        <v/>
      </c>
      <c r="J102" s="24" t="n">
        <v>1167852080.811743</v>
      </c>
      <c r="K102" s="35">
        <f>J102/1000000</f>
        <v/>
      </c>
    </row>
    <row r="103">
      <c r="A103" s="14" t="n">
        <v>2050</v>
      </c>
      <c r="B103" s="23" t="inlineStr">
        <is>
          <t>2049Q4</t>
        </is>
      </c>
      <c r="C103" s="32" t="inlineStr">
        <is>
          <t>Model forecast (AR(1) engine)</t>
        </is>
      </c>
      <c r="D103" s="33" t="n">
        <v>1303.860044698061</v>
      </c>
      <c r="E103" s="34" t="n">
        <v>6237544.327765435</v>
      </c>
      <c r="F103" s="32" t="inlineStr">
        <is>
          <t>Scenario input workbook</t>
        </is>
      </c>
      <c r="G103" s="35">
        <f>D103*E103/1000000</f>
        <v/>
      </c>
      <c r="H103" s="24" t="n">
        <v>5636481501.938324</v>
      </c>
      <c r="I103" s="35">
        <f>H103/1000000</f>
        <v/>
      </c>
      <c r="J103" s="24" t="n">
        <v>1231903686.090631</v>
      </c>
      <c r="K103" s="35">
        <f>J103/1000000</f>
        <v/>
      </c>
    </row>
    <row r="104">
      <c r="A104" s="14" t="n">
        <v>2050</v>
      </c>
      <c r="B104" s="23" t="inlineStr">
        <is>
          <t>2050Q1</t>
        </is>
      </c>
      <c r="C104" s="32" t="inlineStr">
        <is>
          <t>Model forecast (AR(1) engine)</t>
        </is>
      </c>
      <c r="D104" s="33" t="n">
        <v>1285.475869863786</v>
      </c>
      <c r="E104" s="34" t="n">
        <v>6246103.318469655</v>
      </c>
      <c r="F104" s="32" t="inlineStr">
        <is>
          <t>Scenario input workbook</t>
        </is>
      </c>
      <c r="G104" s="35">
        <f>D104*E104/1000000</f>
        <v/>
      </c>
      <c r="H104" s="24" t="n">
        <v>5626980159.07456</v>
      </c>
      <c r="I104" s="35">
        <f>H104/1000000</f>
        <v/>
      </c>
      <c r="J104" s="24" t="n">
        <v>1194147081.754755</v>
      </c>
      <c r="K104" s="35">
        <f>J104/1000000</f>
        <v/>
      </c>
    </row>
    <row r="105">
      <c r="A105" s="14" t="n">
        <v>2050</v>
      </c>
      <c r="B105" s="23" t="inlineStr">
        <is>
          <t>2050Q2</t>
        </is>
      </c>
      <c r="C105" s="32" t="inlineStr">
        <is>
          <t>Model forecast (AR(1) engine)</t>
        </is>
      </c>
      <c r="D105" s="33" t="n">
        <v>1276.521189406498</v>
      </c>
      <c r="E105" s="34" t="n">
        <v>6254674.053590911</v>
      </c>
      <c r="F105" s="32" t="inlineStr">
        <is>
          <t>Scenario input workbook</t>
        </is>
      </c>
      <c r="G105" s="35">
        <f>D105*E105/1000000</f>
        <v/>
      </c>
      <c r="H105" s="24" t="n">
        <v>5652305744.146965</v>
      </c>
      <c r="I105" s="35">
        <f>H105/1000000</f>
        <v/>
      </c>
      <c r="J105" s="24" t="n">
        <v>1161276105.934378</v>
      </c>
      <c r="K105" s="35">
        <f>J105/1000000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44" customWidth="1" min="22" max="22"/>
  </cols>
  <sheetData>
    <row r="1">
      <c r="A1" s="1" t="inlineStr">
        <is>
          <t>Splitting the light fleet: petrol, conventional RUC, battery-electric, plug-in hybrid</t>
        </is>
      </c>
    </row>
    <row r="2">
      <c r="A2" s="2" t="inlineStr">
        <is>
          <t>We pool the model's petrol travel and light RUC kilometres into one light-mobility universe, then split it using MoT's official MBU26 class mix. One allocation assumption decides how much of the electric switch comes out of each pool - no other weights are involved.</t>
        </is>
      </c>
    </row>
    <row r="4">
      <c r="A4" s="3" t="inlineStr">
        <is>
          <t>Per June year. Green = linked from sheet 4; blue = MBU26 official inputs (source cell quoted at right)</t>
        </is>
      </c>
      <c r="B4" s="4" t="n"/>
      <c r="C4" s="4" t="n"/>
      <c r="D4" s="4" t="n"/>
      <c r="E4" s="4" t="n"/>
      <c r="F4" s="4" t="n"/>
      <c r="G4" s="4" t="n"/>
      <c r="H4" s="4" t="n"/>
      <c r="I4" s="4" t="n"/>
      <c r="J4" s="4" t="n"/>
      <c r="K4" s="4" t="n"/>
      <c r="L4" s="4" t="n"/>
      <c r="M4" s="4" t="n"/>
      <c r="N4" s="4" t="n"/>
      <c r="O4" s="4" t="n"/>
      <c r="P4" s="4" t="n"/>
      <c r="Q4" s="4" t="n"/>
      <c r="R4" s="4" t="n"/>
      <c r="S4" s="4" t="n"/>
      <c r="T4" s="4" t="n"/>
      <c r="U4" s="4" t="n"/>
      <c r="V4" s="4" t="n"/>
    </row>
    <row r="5">
      <c r="A5" s="13" t="inlineStr">
        <is>
          <t>June year</t>
        </is>
      </c>
      <c r="B5" s="13" t="inlineStr">
        <is>
          <t>Petrol pool P (million km)</t>
        </is>
      </c>
      <c r="C5" s="13" t="inlineStr">
        <is>
          <t>Light RUC pool L (million km)</t>
        </is>
      </c>
      <c r="D5" s="13" t="inlineStr">
        <is>
          <t>Light universe U = P + L</t>
        </is>
      </c>
      <c r="E5" s="13" t="inlineStr">
        <is>
          <t>MoT petrol VKT (million km)</t>
        </is>
      </c>
      <c r="F5" s="13" t="inlineStr">
        <is>
          <t>MoT conventional RUC km</t>
        </is>
      </c>
      <c r="G5" s="13" t="inlineStr">
        <is>
          <t>MoT battery-electric km</t>
        </is>
      </c>
      <c r="H5" s="13" t="inlineStr">
        <is>
          <t>MoT plug-in hybrid km</t>
        </is>
      </c>
      <c r="I5" s="13" t="inlineStr">
        <is>
          <t>MoT light total (sum)</t>
        </is>
      </c>
      <c r="J5" s="13" t="inlineStr">
        <is>
          <t>MoT petrol share</t>
        </is>
      </c>
      <c r="K5" s="13" t="inlineStr">
        <is>
          <t>MoT conventional share</t>
        </is>
      </c>
      <c r="L5" s="13" t="inlineStr">
        <is>
          <t>MoT BEV share</t>
        </is>
      </c>
      <c r="M5" s="13" t="inlineStr">
        <is>
          <t>MoT PHEV share</t>
        </is>
      </c>
      <c r="N5" s="13" t="inlineStr">
        <is>
          <t>Electric switch (million km) = U x (BEV+PHEV shares)</t>
        </is>
      </c>
      <c r="O5" s="13" t="inlineStr">
        <is>
          <t>EV switch drawn from RUC pool (share)</t>
        </is>
      </c>
      <c r="P5" s="13" t="inlineStr">
        <is>
          <t>Battery-electric km = U x BEV share</t>
        </is>
      </c>
      <c r="Q5" s="13" t="inlineStr">
        <is>
          <t>Plug-in hybrid km = U x PHEV share</t>
        </is>
      </c>
      <c r="R5" s="13" t="inlineStr">
        <is>
          <t>Petrol km kept = P - (1 - split) x switch</t>
        </is>
      </c>
      <c r="S5" s="13" t="inlineStr">
        <is>
          <t>Conventional RUC km = L - split x switch</t>
        </is>
      </c>
      <c r="T5" s="13" t="inlineStr">
        <is>
          <t>Check: four classes sum back to U</t>
        </is>
      </c>
      <c r="U5" s="13" t="inlineStr">
        <is>
          <t>Largest gap to MoT mix (pp)</t>
        </is>
      </c>
      <c r="V5" s="13" t="inlineStr">
        <is>
          <t>MBU26 source cells (this June year)</t>
        </is>
      </c>
    </row>
    <row r="6">
      <c r="A6" s="14" t="n">
        <v>2026</v>
      </c>
      <c r="B6" s="36">
        <f>SUM('4. Engine forecasts'!G6:G9)</f>
        <v/>
      </c>
      <c r="C6" s="36">
        <f>SUM('4. Engine forecasts'!I6:I9)</f>
        <v/>
      </c>
      <c r="D6" s="35">
        <f>B6+C6</f>
        <v/>
      </c>
      <c r="E6" s="37" t="n">
        <v>31834.7306569029</v>
      </c>
      <c r="F6" s="37" t="n">
        <v>12899.1247322853</v>
      </c>
      <c r="G6" s="37" t="n">
        <v>1209.37911079624</v>
      </c>
      <c r="H6" s="37" t="n">
        <v>633.39411052937</v>
      </c>
      <c r="I6" s="35">
        <f>SUM(E6:H6)</f>
        <v/>
      </c>
      <c r="J6" s="17">
        <f>E6/I6</f>
        <v/>
      </c>
      <c r="K6" s="17">
        <f>F6/I6</f>
        <v/>
      </c>
      <c r="L6" s="17">
        <f>G6/I6</f>
        <v/>
      </c>
      <c r="M6" s="17">
        <f>H6/I6</f>
        <v/>
      </c>
      <c r="N6" s="35">
        <f>D6*(L6+M6)</f>
        <v/>
      </c>
      <c r="O6" s="15" t="n">
        <v>0.332473863412722</v>
      </c>
      <c r="P6" s="35">
        <f>D6*L6</f>
        <v/>
      </c>
      <c r="Q6" s="35">
        <f>D6*M6</f>
        <v/>
      </c>
      <c r="R6" s="35">
        <f>B6-(1-O6)*N6</f>
        <v/>
      </c>
      <c r="S6" s="35">
        <f>C6-O6*N6</f>
        <v/>
      </c>
      <c r="T6" s="38">
        <f>P6+Q6+R6+S6-D6</f>
        <v/>
      </c>
      <c r="U6" s="27">
        <f>MAX(ABS(R6/D6-J6),ABS(S6/D6-K6),ABS(P6/D6-L6),ABS(Q6/D6-M6))*100</f>
        <v/>
      </c>
      <c r="V6" s="32" t="inlineStr">
        <is>
          <t>MBU26 sheet: AB16 petrol VKT | AB10 conventional | AB12 BEV | AB14 PHEV</t>
        </is>
      </c>
    </row>
    <row r="7">
      <c r="A7" s="14" t="n">
        <v>2027</v>
      </c>
      <c r="B7" s="36">
        <f>SUM('4. Engine forecasts'!G10:G13)</f>
        <v/>
      </c>
      <c r="C7" s="36">
        <f>SUM('4. Engine forecasts'!I10:I13)</f>
        <v/>
      </c>
      <c r="D7" s="35">
        <f>B7+C7</f>
        <v/>
      </c>
      <c r="E7" s="37" t="n">
        <v>32115.2433469839</v>
      </c>
      <c r="F7" s="37" t="n">
        <v>12939.636710647</v>
      </c>
      <c r="G7" s="37" t="n">
        <v>1572.19480045545</v>
      </c>
      <c r="H7" s="37" t="n">
        <v>866.45343854562</v>
      </c>
      <c r="I7" s="35">
        <f>SUM(E7:H7)</f>
        <v/>
      </c>
      <c r="J7" s="17">
        <f>E7/I7</f>
        <v/>
      </c>
      <c r="K7" s="17">
        <f>F7/I7</f>
        <v/>
      </c>
      <c r="L7" s="17">
        <f>G7/I7</f>
        <v/>
      </c>
      <c r="M7" s="17">
        <f>H7/I7</f>
        <v/>
      </c>
      <c r="N7" s="35">
        <f>D7*(L7+M7)</f>
        <v/>
      </c>
      <c r="O7" s="15" t="n">
        <v>0.3427045400323851</v>
      </c>
      <c r="P7" s="35">
        <f>D7*L7</f>
        <v/>
      </c>
      <c r="Q7" s="35">
        <f>D7*M7</f>
        <v/>
      </c>
      <c r="R7" s="35">
        <f>B7-(1-O7)*N7</f>
        <v/>
      </c>
      <c r="S7" s="35">
        <f>C7-O7*N7</f>
        <v/>
      </c>
      <c r="T7" s="38">
        <f>P7+Q7+R7+S7-D7</f>
        <v/>
      </c>
      <c r="U7" s="27">
        <f>MAX(ABS(R7/D7-J7),ABS(S7/D7-K7),ABS(P7/D7-L7),ABS(Q7/D7-M7))*100</f>
        <v/>
      </c>
      <c r="V7" s="32" t="inlineStr">
        <is>
          <t>MBU26 sheet: AC16 petrol VKT | AC10 conventional | AC12 BEV | AC14 PHEV</t>
        </is>
      </c>
    </row>
    <row r="8">
      <c r="A8" s="14" t="n">
        <v>2028</v>
      </c>
      <c r="B8" s="36">
        <f>SUM('4. Engine forecasts'!G14:G17)</f>
        <v/>
      </c>
      <c r="C8" s="36">
        <f>SUM('4. Engine forecasts'!I14:I17)</f>
        <v/>
      </c>
      <c r="D8" s="35">
        <f>B8+C8</f>
        <v/>
      </c>
      <c r="E8" s="37" t="n">
        <v>32346.4528222451</v>
      </c>
      <c r="F8" s="37" t="n">
        <v>13427.7171481819</v>
      </c>
      <c r="G8" s="37" t="n">
        <v>1989.37597979678</v>
      </c>
      <c r="H8" s="37" t="n">
        <v>1114.1399728797</v>
      </c>
      <c r="I8" s="35">
        <f>SUM(E8:H8)</f>
        <v/>
      </c>
      <c r="J8" s="17">
        <f>E8/I8</f>
        <v/>
      </c>
      <c r="K8" s="17">
        <f>F8/I8</f>
        <v/>
      </c>
      <c r="L8" s="17">
        <f>G8/I8</f>
        <v/>
      </c>
      <c r="M8" s="17">
        <f>H8/I8</f>
        <v/>
      </c>
      <c r="N8" s="35">
        <f>D8*(L8+M8)</f>
        <v/>
      </c>
      <c r="O8" s="15" t="n">
        <v>0.3529058556527328</v>
      </c>
      <c r="P8" s="35">
        <f>D8*L8</f>
        <v/>
      </c>
      <c r="Q8" s="35">
        <f>D8*M8</f>
        <v/>
      </c>
      <c r="R8" s="35">
        <f>B8-(1-O8)*N8</f>
        <v/>
      </c>
      <c r="S8" s="35">
        <f>C8-O8*N8</f>
        <v/>
      </c>
      <c r="T8" s="38">
        <f>P8+Q8+R8+S8-D8</f>
        <v/>
      </c>
      <c r="U8" s="27">
        <f>MAX(ABS(R8/D8-J8),ABS(S8/D8-K8),ABS(P8/D8-L8),ABS(Q8/D8-M8))*100</f>
        <v/>
      </c>
      <c r="V8" s="32" t="inlineStr">
        <is>
          <t>MBU26 sheet: AD16 petrol VKT | AD10 conventional | AD12 BEV | AD14 PHEV</t>
        </is>
      </c>
    </row>
    <row r="9">
      <c r="A9" s="14" t="n">
        <v>2029</v>
      </c>
      <c r="B9" s="36">
        <f>SUM('4. Engine forecasts'!G18:G21)</f>
        <v/>
      </c>
      <c r="C9" s="36">
        <f>SUM('4. Engine forecasts'!I18:I21)</f>
        <v/>
      </c>
      <c r="D9" s="35">
        <f>B9+C9</f>
        <v/>
      </c>
      <c r="E9" s="37" t="n">
        <v>32608.4407560831</v>
      </c>
      <c r="F9" s="37" t="n">
        <v>13926.5605658137</v>
      </c>
      <c r="G9" s="37" t="n">
        <v>2502.17964433063</v>
      </c>
      <c r="H9" s="37" t="n">
        <v>1394.20153006706</v>
      </c>
      <c r="I9" s="35">
        <f>SUM(E9:H9)</f>
        <v/>
      </c>
      <c r="J9" s="17">
        <f>E9/I9</f>
        <v/>
      </c>
      <c r="K9" s="17">
        <f>F9/I9</f>
        <v/>
      </c>
      <c r="L9" s="17">
        <f>G9/I9</f>
        <v/>
      </c>
      <c r="M9" s="17">
        <f>H9/I9</f>
        <v/>
      </c>
      <c r="N9" s="35">
        <f>D9*(L9+M9)</f>
        <v/>
      </c>
      <c r="O9" s="15" t="n">
        <v>0.3630189731667738</v>
      </c>
      <c r="P9" s="35">
        <f>D9*L9</f>
        <v/>
      </c>
      <c r="Q9" s="35">
        <f>D9*M9</f>
        <v/>
      </c>
      <c r="R9" s="35">
        <f>B9-(1-O9)*N9</f>
        <v/>
      </c>
      <c r="S9" s="35">
        <f>C9-O9*N9</f>
        <v/>
      </c>
      <c r="T9" s="38">
        <f>P9+Q9+R9+S9-D9</f>
        <v/>
      </c>
      <c r="U9" s="27">
        <f>MAX(ABS(R9/D9-J9),ABS(S9/D9-K9),ABS(P9/D9-L9),ABS(Q9/D9-M9))*100</f>
        <v/>
      </c>
      <c r="V9" s="32" t="inlineStr">
        <is>
          <t>MBU26 sheet: AE16 petrol VKT | AE10 conventional | AE12 BEV | AE14 PHEV</t>
        </is>
      </c>
    </row>
    <row r="10">
      <c r="A10" s="14" t="n">
        <v>2030</v>
      </c>
      <c r="B10" s="36">
        <f>SUM('4. Engine forecasts'!G22:G25)</f>
        <v/>
      </c>
      <c r="C10" s="36">
        <f>SUM('4. Engine forecasts'!I22:I25)</f>
        <v/>
      </c>
      <c r="D10" s="35">
        <f>B10+C10</f>
        <v/>
      </c>
      <c r="E10" s="37" t="n">
        <v>32869.8724784727</v>
      </c>
      <c r="F10" s="37" t="n">
        <v>14402.4384228319</v>
      </c>
      <c r="G10" s="37" t="n">
        <v>3074.13637597232</v>
      </c>
      <c r="H10" s="37" t="n">
        <v>1688.91801832143</v>
      </c>
      <c r="I10" s="35">
        <f>SUM(E10:H10)</f>
        <v/>
      </c>
      <c r="J10" s="17">
        <f>E10/I10</f>
        <v/>
      </c>
      <c r="K10" s="17">
        <f>F10/I10</f>
        <v/>
      </c>
      <c r="L10" s="17">
        <f>G10/I10</f>
        <v/>
      </c>
      <c r="M10" s="17">
        <f>H10/I10</f>
        <v/>
      </c>
      <c r="N10" s="35">
        <f>D10*(L10+M10)</f>
        <v/>
      </c>
      <c r="O10" s="15" t="n">
        <v>0.3729653957314358</v>
      </c>
      <c r="P10" s="35">
        <f>D10*L10</f>
        <v/>
      </c>
      <c r="Q10" s="35">
        <f>D10*M10</f>
        <v/>
      </c>
      <c r="R10" s="35">
        <f>B10-(1-O10)*N10</f>
        <v/>
      </c>
      <c r="S10" s="35">
        <f>C10-O10*N10</f>
        <v/>
      </c>
      <c r="T10" s="38">
        <f>P10+Q10+R10+S10-D10</f>
        <v/>
      </c>
      <c r="U10" s="27">
        <f>MAX(ABS(R10/D10-J10),ABS(S10/D10-K10),ABS(P10/D10-L10),ABS(Q10/D10-M10))*100</f>
        <v/>
      </c>
      <c r="V10" s="32" t="inlineStr">
        <is>
          <t>MBU26 sheet: AF16 petrol VKT | AF10 conventional | AF12 BEV | AF14 PHEV</t>
        </is>
      </c>
    </row>
    <row r="11">
      <c r="A11" s="14" t="n">
        <v>2031</v>
      </c>
      <c r="B11" s="36">
        <f>SUM('4. Engine forecasts'!G26:G29)</f>
        <v/>
      </c>
      <c r="C11" s="36">
        <f>SUM('4. Engine forecasts'!I26:I29)</f>
        <v/>
      </c>
      <c r="D11" s="35">
        <f>B11+C11</f>
        <v/>
      </c>
      <c r="E11" s="37" t="n">
        <v>32608.0056469469</v>
      </c>
      <c r="F11" s="37" t="n">
        <v>14246.1931200422</v>
      </c>
      <c r="G11" s="37" t="n">
        <v>3699.27203826942</v>
      </c>
      <c r="H11" s="37" t="n">
        <v>1982.30123651121</v>
      </c>
      <c r="I11" s="35">
        <f>SUM(E11:H11)</f>
        <v/>
      </c>
      <c r="J11" s="17">
        <f>E11/I11</f>
        <v/>
      </c>
      <c r="K11" s="17">
        <f>F11/I11</f>
        <v/>
      </c>
      <c r="L11" s="17">
        <f>G11/I11</f>
        <v/>
      </c>
      <c r="M11" s="17">
        <f>H11/I11</f>
        <v/>
      </c>
      <c r="N11" s="35">
        <f>D11*(L11+M11)</f>
        <v/>
      </c>
      <c r="O11" s="15" t="n">
        <v>0.3826371437258972</v>
      </c>
      <c r="P11" s="35">
        <f>D11*L11</f>
        <v/>
      </c>
      <c r="Q11" s="35">
        <f>D11*M11</f>
        <v/>
      </c>
      <c r="R11" s="35">
        <f>B11-(1-O11)*N11</f>
        <v/>
      </c>
      <c r="S11" s="35">
        <f>C11-O11*N11</f>
        <v/>
      </c>
      <c r="T11" s="38">
        <f>P11+Q11+R11+S11-D11</f>
        <v/>
      </c>
      <c r="U11" s="27">
        <f>MAX(ABS(R11/D11-J11),ABS(S11/D11-K11),ABS(P11/D11-L11),ABS(Q11/D11-M11))*100</f>
        <v/>
      </c>
      <c r="V11" s="32" t="inlineStr">
        <is>
          <t>MBU26 sheet: AG16 petrol VKT | AG10 conventional | AG12 BEV | AG14 PHEV</t>
        </is>
      </c>
    </row>
    <row r="12">
      <c r="A12" s="14" t="n">
        <v>2032</v>
      </c>
      <c r="B12" s="36">
        <f>SUM('4. Engine forecasts'!G30:G33)</f>
        <v/>
      </c>
      <c r="C12" s="36">
        <f>SUM('4. Engine forecasts'!I30:I33)</f>
        <v/>
      </c>
      <c r="D12" s="35">
        <f>B12+C12</f>
        <v/>
      </c>
      <c r="E12" s="37" t="n">
        <v>32257.3015633196</v>
      </c>
      <c r="F12" s="37" t="n">
        <v>14040.9690145148</v>
      </c>
      <c r="G12" s="37" t="n">
        <v>4398.02707007662</v>
      </c>
      <c r="H12" s="37" t="n">
        <v>2294.23844446945</v>
      </c>
      <c r="I12" s="35">
        <f>SUM(E12:H12)</f>
        <v/>
      </c>
      <c r="J12" s="17">
        <f>E12/I12</f>
        <v/>
      </c>
      <c r="K12" s="17">
        <f>F12/I12</f>
        <v/>
      </c>
      <c r="L12" s="17">
        <f>G12/I12</f>
        <v/>
      </c>
      <c r="M12" s="17">
        <f>H12/I12</f>
        <v/>
      </c>
      <c r="N12" s="35">
        <f>D12*(L12+M12)</f>
        <v/>
      </c>
      <c r="O12" s="15" t="n">
        <v>0.3918659540554202</v>
      </c>
      <c r="P12" s="35">
        <f>D12*L12</f>
        <v/>
      </c>
      <c r="Q12" s="35">
        <f>D12*M12</f>
        <v/>
      </c>
      <c r="R12" s="35">
        <f>B12-(1-O12)*N12</f>
        <v/>
      </c>
      <c r="S12" s="35">
        <f>C12-O12*N12</f>
        <v/>
      </c>
      <c r="T12" s="38">
        <f>P12+Q12+R12+S12-D12</f>
        <v/>
      </c>
      <c r="U12" s="27">
        <f>MAX(ABS(R12/D12-J12),ABS(S12/D12-K12),ABS(P12/D12-L12),ABS(Q12/D12-M12))*100</f>
        <v/>
      </c>
      <c r="V12" s="32" t="inlineStr">
        <is>
          <t>MBU26 sheet: AH16 petrol VKT | AH10 conventional | AH12 BEV | AH14 PHEV</t>
        </is>
      </c>
    </row>
    <row r="13">
      <c r="A13" s="14" t="n">
        <v>2033</v>
      </c>
      <c r="B13" s="36">
        <f>SUM('4. Engine forecasts'!G34:G37)</f>
        <v/>
      </c>
      <c r="C13" s="36">
        <f>SUM('4. Engine forecasts'!I34:I37)</f>
        <v/>
      </c>
      <c r="D13" s="35">
        <f>B13+C13</f>
        <v/>
      </c>
      <c r="E13" s="37" t="n">
        <v>31744.9327751708</v>
      </c>
      <c r="F13" s="37" t="n">
        <v>13782.7022644857</v>
      </c>
      <c r="G13" s="37" t="n">
        <v>5198.25079890367</v>
      </c>
      <c r="H13" s="37" t="n">
        <v>2610.75237942357</v>
      </c>
      <c r="I13" s="35">
        <f>SUM(E13:H13)</f>
        <v/>
      </c>
      <c r="J13" s="17">
        <f>E13/I13</f>
        <v/>
      </c>
      <c r="K13" s="17">
        <f>F13/I13</f>
        <v/>
      </c>
      <c r="L13" s="17">
        <f>G13/I13</f>
        <v/>
      </c>
      <c r="M13" s="17">
        <f>H13/I13</f>
        <v/>
      </c>
      <c r="N13" s="35">
        <f>D13*(L13+M13)</f>
        <v/>
      </c>
      <c r="O13" s="15" t="n">
        <v>0.400436210543901</v>
      </c>
      <c r="P13" s="35">
        <f>D13*L13</f>
        <v/>
      </c>
      <c r="Q13" s="35">
        <f>D13*M13</f>
        <v/>
      </c>
      <c r="R13" s="35">
        <f>B13-(1-O13)*N13</f>
        <v/>
      </c>
      <c r="S13" s="35">
        <f>C13-O13*N13</f>
        <v/>
      </c>
      <c r="T13" s="38">
        <f>P13+Q13+R13+S13-D13</f>
        <v/>
      </c>
      <c r="U13" s="27">
        <f>MAX(ABS(R13/D13-J13),ABS(S13/D13-K13),ABS(P13/D13-L13),ABS(Q13/D13-M13))*100</f>
        <v/>
      </c>
      <c r="V13" s="32" t="inlineStr">
        <is>
          <t>MBU26 sheet: AI16 petrol VKT | AI10 conventional | AI12 BEV | AI14 PHEV</t>
        </is>
      </c>
    </row>
    <row r="14">
      <c r="A14" s="14" t="n">
        <v>2034</v>
      </c>
      <c r="B14" s="36">
        <f>SUM('4. Engine forecasts'!G38:G41)</f>
        <v/>
      </c>
      <c r="C14" s="36">
        <f>SUM('4. Engine forecasts'!I38:I41)</f>
        <v/>
      </c>
      <c r="D14" s="35">
        <f>B14+C14</f>
        <v/>
      </c>
      <c r="E14" s="37" t="n">
        <v>31150.8714407203</v>
      </c>
      <c r="F14" s="37" t="n">
        <v>13486.5281007032</v>
      </c>
      <c r="G14" s="37" t="n">
        <v>6169.96962436653</v>
      </c>
      <c r="H14" s="37" t="n">
        <v>2923.8213822621</v>
      </c>
      <c r="I14" s="35">
        <f>SUM(E14:H14)</f>
        <v/>
      </c>
      <c r="J14" s="17">
        <f>E14/I14</f>
        <v/>
      </c>
      <c r="K14" s="17">
        <f>F14/I14</f>
        <v/>
      </c>
      <c r="L14" s="17">
        <f>G14/I14</f>
        <v/>
      </c>
      <c r="M14" s="17">
        <f>H14/I14</f>
        <v/>
      </c>
      <c r="N14" s="35">
        <f>D14*(L14+M14)</f>
        <v/>
      </c>
      <c r="O14" s="15" t="n">
        <v>0.4081087062639054</v>
      </c>
      <c r="P14" s="35">
        <f>D14*L14</f>
        <v/>
      </c>
      <c r="Q14" s="35">
        <f>D14*M14</f>
        <v/>
      </c>
      <c r="R14" s="35">
        <f>B14-(1-O14)*N14</f>
        <v/>
      </c>
      <c r="S14" s="35">
        <f>C14-O14*N14</f>
        <v/>
      </c>
      <c r="T14" s="38">
        <f>P14+Q14+R14+S14-D14</f>
        <v/>
      </c>
      <c r="U14" s="27">
        <f>MAX(ABS(R14/D14-J14),ABS(S14/D14-K14),ABS(P14/D14-L14),ABS(Q14/D14-M14))*100</f>
        <v/>
      </c>
      <c r="V14" s="32" t="inlineStr">
        <is>
          <t>MBU26 sheet: AJ16 petrol VKT | AJ10 conventional | AJ12 BEV | AJ14 PHEV</t>
        </is>
      </c>
    </row>
    <row r="15">
      <c r="A15" s="14" t="n">
        <v>2035</v>
      </c>
      <c r="B15" s="36">
        <f>SUM('4. Engine forecasts'!G42:G45)</f>
        <v/>
      </c>
      <c r="C15" s="36">
        <f>SUM('4. Engine forecasts'!I42:I45)</f>
        <v/>
      </c>
      <c r="D15" s="35">
        <f>B15+C15</f>
        <v/>
      </c>
      <c r="E15" s="37" t="n">
        <v>30425.364325564</v>
      </c>
      <c r="F15" s="37" t="n">
        <v>13152.7808038663</v>
      </c>
      <c r="G15" s="37" t="n">
        <v>7342.70646637953</v>
      </c>
      <c r="H15" s="37" t="n">
        <v>3221.10020837769</v>
      </c>
      <c r="I15" s="35">
        <f>SUM(E15:H15)</f>
        <v/>
      </c>
      <c r="J15" s="17">
        <f>E15/I15</f>
        <v/>
      </c>
      <c r="K15" s="17">
        <f>F15/I15</f>
        <v/>
      </c>
      <c r="L15" s="17">
        <f>G15/I15</f>
        <v/>
      </c>
      <c r="M15" s="17">
        <f>H15/I15</f>
        <v/>
      </c>
      <c r="N15" s="35">
        <f>D15*(L15+M15)</f>
        <v/>
      </c>
      <c r="O15" s="15" t="n">
        <v>0.4146480591518944</v>
      </c>
      <c r="P15" s="35">
        <f>D15*L15</f>
        <v/>
      </c>
      <c r="Q15" s="35">
        <f>D15*M15</f>
        <v/>
      </c>
      <c r="R15" s="35">
        <f>B15-(1-O15)*N15</f>
        <v/>
      </c>
      <c r="S15" s="35">
        <f>C15-O15*N15</f>
        <v/>
      </c>
      <c r="T15" s="38">
        <f>P15+Q15+R15+S15-D15</f>
        <v/>
      </c>
      <c r="U15" s="27">
        <f>MAX(ABS(R15/D15-J15),ABS(S15/D15-K15),ABS(P15/D15-L15),ABS(Q15/D15-M15))*100</f>
        <v/>
      </c>
      <c r="V15" s="32" t="inlineStr">
        <is>
          <t>MBU26 sheet: AK16 petrol VKT | AK10 conventional | AK12 BEV | AK14 PHEV</t>
        </is>
      </c>
    </row>
    <row r="16">
      <c r="A16" s="14" t="n">
        <v>2036</v>
      </c>
      <c r="B16" s="36">
        <f>SUM('4. Engine forecasts'!G46:G49)</f>
        <v/>
      </c>
      <c r="C16" s="36">
        <f>SUM('4. Engine forecasts'!I46:I49)</f>
        <v/>
      </c>
      <c r="D16" s="35">
        <f>B16+C16</f>
        <v/>
      </c>
      <c r="E16" s="37" t="n">
        <v>29533.9616504272</v>
      </c>
      <c r="F16" s="37" t="n">
        <v>12784.9358761227</v>
      </c>
      <c r="G16" s="37" t="n">
        <v>8722.425448775321</v>
      </c>
      <c r="H16" s="37" t="n">
        <v>3458.9885477007</v>
      </c>
      <c r="I16" s="35">
        <f>SUM(E16:H16)</f>
        <v/>
      </c>
      <c r="J16" s="17">
        <f>E16/I16</f>
        <v/>
      </c>
      <c r="K16" s="17">
        <f>F16/I16</f>
        <v/>
      </c>
      <c r="L16" s="17">
        <f>G16/I16</f>
        <v/>
      </c>
      <c r="M16" s="17">
        <f>H16/I16</f>
        <v/>
      </c>
      <c r="N16" s="35">
        <f>D16*(L16+M16)</f>
        <v/>
      </c>
      <c r="O16" s="15" t="n">
        <v>0.4198540861602569</v>
      </c>
      <c r="P16" s="35">
        <f>D16*L16</f>
        <v/>
      </c>
      <c r="Q16" s="35">
        <f>D16*M16</f>
        <v/>
      </c>
      <c r="R16" s="35">
        <f>B16-(1-O16)*N16</f>
        <v/>
      </c>
      <c r="S16" s="35">
        <f>C16-O16*N16</f>
        <v/>
      </c>
      <c r="T16" s="38">
        <f>P16+Q16+R16+S16-D16</f>
        <v/>
      </c>
      <c r="U16" s="27">
        <f>MAX(ABS(R16/D16-J16),ABS(S16/D16-K16),ABS(P16/D16-L16),ABS(Q16/D16-M16))*100</f>
        <v/>
      </c>
      <c r="V16" s="32" t="inlineStr">
        <is>
          <t>MBU26 sheet: AL16 petrol VKT | AL10 conventional | AL12 BEV | AL14 PHEV</t>
        </is>
      </c>
    </row>
    <row r="17">
      <c r="A17" s="14" t="n">
        <v>2037</v>
      </c>
      <c r="B17" s="36">
        <f>SUM('4. Engine forecasts'!G50:G53)</f>
        <v/>
      </c>
      <c r="C17" s="36">
        <f>SUM('4. Engine forecasts'!I50:I53)</f>
        <v/>
      </c>
      <c r="D17" s="35">
        <f>B17+C17</f>
        <v/>
      </c>
      <c r="E17" s="37" t="n">
        <v>28482.9245882982</v>
      </c>
      <c r="F17" s="37" t="n">
        <v>12371.4019487283</v>
      </c>
      <c r="G17" s="37" t="n">
        <v>10347.7667235734</v>
      </c>
      <c r="H17" s="37" t="n">
        <v>3633.92319725474</v>
      </c>
      <c r="I17" s="35">
        <f>SUM(E17:H17)</f>
        <v/>
      </c>
      <c r="J17" s="17">
        <f>E17/I17</f>
        <v/>
      </c>
      <c r="K17" s="17">
        <f>F17/I17</f>
        <v/>
      </c>
      <c r="L17" s="17">
        <f>G17/I17</f>
        <v/>
      </c>
      <c r="M17" s="17">
        <f>H17/I17</f>
        <v/>
      </c>
      <c r="N17" s="35">
        <f>D17*(L17+M17)</f>
        <v/>
      </c>
      <c r="O17" s="15" t="n">
        <v>0.4235915418702617</v>
      </c>
      <c r="P17" s="35">
        <f>D17*L17</f>
        <v/>
      </c>
      <c r="Q17" s="35">
        <f>D17*M17</f>
        <v/>
      </c>
      <c r="R17" s="35">
        <f>B17-(1-O17)*N17</f>
        <v/>
      </c>
      <c r="S17" s="35">
        <f>C17-O17*N17</f>
        <v/>
      </c>
      <c r="T17" s="38">
        <f>P17+Q17+R17+S17-D17</f>
        <v/>
      </c>
      <c r="U17" s="27">
        <f>MAX(ABS(R17/D17-J17),ABS(S17/D17-K17),ABS(P17/D17-L17),ABS(Q17/D17-M17))*100</f>
        <v/>
      </c>
      <c r="V17" s="32" t="inlineStr">
        <is>
          <t>MBU26 sheet: AM16 petrol VKT | AM10 conventional | AM12 BEV | AM14 PHEV</t>
        </is>
      </c>
    </row>
    <row r="18">
      <c r="A18" s="14" t="n">
        <v>2038</v>
      </c>
      <c r="B18" s="36">
        <f>SUM('4. Engine forecasts'!G54:G57)</f>
        <v/>
      </c>
      <c r="C18" s="36">
        <f>SUM('4. Engine forecasts'!I54:I57)</f>
        <v/>
      </c>
      <c r="D18" s="35">
        <f>B18+C18</f>
        <v/>
      </c>
      <c r="E18" s="37" t="n">
        <v>27247.3604877293</v>
      </c>
      <c r="F18" s="37" t="n">
        <v>11896.5686763478</v>
      </c>
      <c r="G18" s="37" t="n">
        <v>12209.6897667792</v>
      </c>
      <c r="H18" s="37" t="n">
        <v>3757.99931032245</v>
      </c>
      <c r="I18" s="35">
        <f>SUM(E18:H18)</f>
        <v/>
      </c>
      <c r="J18" s="17">
        <f>E18/I18</f>
        <v/>
      </c>
      <c r="K18" s="17">
        <f>F18/I18</f>
        <v/>
      </c>
      <c r="L18" s="17">
        <f>G18/I18</f>
        <v/>
      </c>
      <c r="M18" s="17">
        <f>H18/I18</f>
        <v/>
      </c>
      <c r="N18" s="35">
        <f>D18*(L18+M18)</f>
        <v/>
      </c>
      <c r="O18" s="15" t="n">
        <v>0.4258123850511041</v>
      </c>
      <c r="P18" s="35">
        <f>D18*L18</f>
        <v/>
      </c>
      <c r="Q18" s="35">
        <f>D18*M18</f>
        <v/>
      </c>
      <c r="R18" s="35">
        <f>B18-(1-O18)*N18</f>
        <v/>
      </c>
      <c r="S18" s="35">
        <f>C18-O18*N18</f>
        <v/>
      </c>
      <c r="T18" s="38">
        <f>P18+Q18+R18+S18-D18</f>
        <v/>
      </c>
      <c r="U18" s="27">
        <f>MAX(ABS(R18/D18-J18),ABS(S18/D18-K18),ABS(P18/D18-L18),ABS(Q18/D18-M18))*100</f>
        <v/>
      </c>
      <c r="V18" s="32" t="inlineStr">
        <is>
          <t>MBU26 sheet: AN16 petrol VKT | AN10 conventional | AN12 BEV | AN14 PHEV</t>
        </is>
      </c>
    </row>
    <row r="19">
      <c r="A19" s="14" t="n">
        <v>2039</v>
      </c>
      <c r="B19" s="36">
        <f>SUM('4. Engine forecasts'!G58:G61)</f>
        <v/>
      </c>
      <c r="C19" s="36">
        <f>SUM('4. Engine forecasts'!I58:I61)</f>
        <v/>
      </c>
      <c r="D19" s="35">
        <f>B19+C19</f>
        <v/>
      </c>
      <c r="E19" s="37" t="n">
        <v>25851.5482263694</v>
      </c>
      <c r="F19" s="37" t="n">
        <v>11374.9392472356</v>
      </c>
      <c r="G19" s="37" t="n">
        <v>14357.6989741182</v>
      </c>
      <c r="H19" s="37" t="n">
        <v>3866.75405461716</v>
      </c>
      <c r="I19" s="35">
        <f>SUM(E19:H19)</f>
        <v/>
      </c>
      <c r="J19" s="17">
        <f>E19/I19</f>
        <v/>
      </c>
      <c r="K19" s="17">
        <f>F19/I19</f>
        <v/>
      </c>
      <c r="L19" s="17">
        <f>G19/I19</f>
        <v/>
      </c>
      <c r="M19" s="17">
        <f>H19/I19</f>
        <v/>
      </c>
      <c r="N19" s="35">
        <f>D19*(L19+M19)</f>
        <v/>
      </c>
      <c r="O19" s="15" t="n">
        <v>0.4265680513340175</v>
      </c>
      <c r="P19" s="35">
        <f>D19*L19</f>
        <v/>
      </c>
      <c r="Q19" s="35">
        <f>D19*M19</f>
        <v/>
      </c>
      <c r="R19" s="35">
        <f>B19-(1-O19)*N19</f>
        <v/>
      </c>
      <c r="S19" s="35">
        <f>C19-O19*N19</f>
        <v/>
      </c>
      <c r="T19" s="38">
        <f>P19+Q19+R19+S19-D19</f>
        <v/>
      </c>
      <c r="U19" s="27">
        <f>MAX(ABS(R19/D19-J19),ABS(S19/D19-K19),ABS(P19/D19-L19),ABS(Q19/D19-M19))*100</f>
        <v/>
      </c>
      <c r="V19" s="32" t="inlineStr">
        <is>
          <t>MBU26 sheet: AO16 petrol VKT | AO10 conventional | AO12 BEV | AO14 PHEV</t>
        </is>
      </c>
    </row>
    <row r="20">
      <c r="A20" s="14" t="n">
        <v>2040</v>
      </c>
      <c r="B20" s="36">
        <f>SUM('4. Engine forecasts'!G62:G65)</f>
        <v/>
      </c>
      <c r="C20" s="36">
        <f>SUM('4. Engine forecasts'!I62:I65)</f>
        <v/>
      </c>
      <c r="D20" s="35">
        <f>B20+C20</f>
        <v/>
      </c>
      <c r="E20" s="37" t="n">
        <v>24332.99593682</v>
      </c>
      <c r="F20" s="37" t="n">
        <v>10822.4760796405</v>
      </c>
      <c r="G20" s="37" t="n">
        <v>16789.7058132265</v>
      </c>
      <c r="H20" s="37" t="n">
        <v>3908.902347702</v>
      </c>
      <c r="I20" s="35">
        <f>SUM(E20:H20)</f>
        <v/>
      </c>
      <c r="J20" s="17">
        <f>E20/I20</f>
        <v/>
      </c>
      <c r="K20" s="17">
        <f>F20/I20</f>
        <v/>
      </c>
      <c r="L20" s="17">
        <f>G20/I20</f>
        <v/>
      </c>
      <c r="M20" s="17">
        <f>H20/I20</f>
        <v/>
      </c>
      <c r="N20" s="35">
        <f>D20*(L20+M20)</f>
        <v/>
      </c>
      <c r="O20" s="15" t="n">
        <v>0.4260138016351386</v>
      </c>
      <c r="P20" s="35">
        <f>D20*L20</f>
        <v/>
      </c>
      <c r="Q20" s="35">
        <f>D20*M20</f>
        <v/>
      </c>
      <c r="R20" s="35">
        <f>B20-(1-O20)*N20</f>
        <v/>
      </c>
      <c r="S20" s="35">
        <f>C20-O20*N20</f>
        <v/>
      </c>
      <c r="T20" s="38">
        <f>P20+Q20+R20+S20-D20</f>
        <v/>
      </c>
      <c r="U20" s="27">
        <f>MAX(ABS(R20/D20-J20),ABS(S20/D20-K20),ABS(P20/D20-L20),ABS(Q20/D20-M20))*100</f>
        <v/>
      </c>
      <c r="V20" s="32" t="inlineStr">
        <is>
          <t>MBU26 sheet: AP16 petrol VKT | AP10 conventional | AP12 BEV | AP14 PHEV</t>
        </is>
      </c>
    </row>
    <row r="21">
      <c r="A21" s="14" t="n">
        <v>2041</v>
      </c>
      <c r="B21" s="36">
        <f>SUM('4. Engine forecasts'!G66:G69)</f>
        <v/>
      </c>
      <c r="C21" s="36">
        <f>SUM('4. Engine forecasts'!I66:I69)</f>
        <v/>
      </c>
      <c r="D21" s="35">
        <f>B21+C21</f>
        <v/>
      </c>
      <c r="E21" s="37" t="n">
        <v>22722.0600487019</v>
      </c>
      <c r="F21" s="37" t="n">
        <v>10279.1712987887</v>
      </c>
      <c r="G21" s="37" t="n">
        <v>19398.2307000633</v>
      </c>
      <c r="H21" s="37" t="n">
        <v>3858.403321145</v>
      </c>
      <c r="I21" s="35">
        <f>SUM(E21:H21)</f>
        <v/>
      </c>
      <c r="J21" s="17">
        <f>E21/I21</f>
        <v/>
      </c>
      <c r="K21" s="17">
        <f>F21/I21</f>
        <v/>
      </c>
      <c r="L21" s="17">
        <f>G21/I21</f>
        <v/>
      </c>
      <c r="M21" s="17">
        <f>H21/I21</f>
        <v/>
      </c>
      <c r="N21" s="35">
        <f>D21*(L21+M21)</f>
        <v/>
      </c>
      <c r="O21" s="15" t="n">
        <v>0.4244008686836293</v>
      </c>
      <c r="P21" s="35">
        <f>D21*L21</f>
        <v/>
      </c>
      <c r="Q21" s="35">
        <f>D21*M21</f>
        <v/>
      </c>
      <c r="R21" s="35">
        <f>B21-(1-O21)*N21</f>
        <v/>
      </c>
      <c r="S21" s="35">
        <f>C21-O21*N21</f>
        <v/>
      </c>
      <c r="T21" s="38">
        <f>P21+Q21+R21+S21-D21</f>
        <v/>
      </c>
      <c r="U21" s="27">
        <f>MAX(ABS(R21/D21-J21),ABS(S21/D21-K21),ABS(P21/D21-L21),ABS(Q21/D21-M21))*100</f>
        <v/>
      </c>
      <c r="V21" s="32" t="inlineStr">
        <is>
          <t>MBU26 sheet: AQ16 petrol VKT | AQ10 conventional | AQ12 BEV | AQ14 PHEV</t>
        </is>
      </c>
    </row>
    <row r="22">
      <c r="A22" s="14" t="n">
        <v>2042</v>
      </c>
      <c r="B22" s="36">
        <f>SUM('4. Engine forecasts'!G70:G73)</f>
        <v/>
      </c>
      <c r="C22" s="36">
        <f>SUM('4. Engine forecasts'!I70:I73)</f>
        <v/>
      </c>
      <c r="D22" s="35">
        <f>B22+C22</f>
        <v/>
      </c>
      <c r="E22" s="37" t="n">
        <v>20913.5164043378</v>
      </c>
      <c r="F22" s="37" t="n">
        <v>9708.65423194621</v>
      </c>
      <c r="G22" s="37" t="n">
        <v>22141.1732104773</v>
      </c>
      <c r="H22" s="37" t="n">
        <v>3783.3597190837</v>
      </c>
      <c r="I22" s="35">
        <f>SUM(E22:H22)</f>
        <v/>
      </c>
      <c r="J22" s="17">
        <f>E22/I22</f>
        <v/>
      </c>
      <c r="K22" s="17">
        <f>F22/I22</f>
        <v/>
      </c>
      <c r="L22" s="17">
        <f>G22/I22</f>
        <v/>
      </c>
      <c r="M22" s="17">
        <f>H22/I22</f>
        <v/>
      </c>
      <c r="N22" s="35">
        <f>D22*(L22+M22)</f>
        <v/>
      </c>
      <c r="O22" s="15" t="n">
        <v>0.4220589604458627</v>
      </c>
      <c r="P22" s="35">
        <f>D22*L22</f>
        <v/>
      </c>
      <c r="Q22" s="35">
        <f>D22*M22</f>
        <v/>
      </c>
      <c r="R22" s="35">
        <f>B22-(1-O22)*N22</f>
        <v/>
      </c>
      <c r="S22" s="35">
        <f>C22-O22*N22</f>
        <v/>
      </c>
      <c r="T22" s="38">
        <f>P22+Q22+R22+S22-D22</f>
        <v/>
      </c>
      <c r="U22" s="27">
        <f>MAX(ABS(R22/D22-J22),ABS(S22/D22-K22),ABS(P22/D22-L22),ABS(Q22/D22-M22))*100</f>
        <v/>
      </c>
      <c r="V22" s="32" t="inlineStr">
        <is>
          <t>MBU26 sheet: AR16 petrol VKT | AR10 conventional | AR12 BEV | AR14 PHEV</t>
        </is>
      </c>
    </row>
    <row r="23">
      <c r="A23" s="14" t="n">
        <v>2043</v>
      </c>
      <c r="B23" s="36">
        <f>SUM('4. Engine forecasts'!G74:G77)</f>
        <v/>
      </c>
      <c r="C23" s="36">
        <f>SUM('4. Engine forecasts'!I74:I77)</f>
        <v/>
      </c>
      <c r="D23" s="35">
        <f>B23+C23</f>
        <v/>
      </c>
      <c r="E23" s="37" t="n">
        <v>19088.9730193169</v>
      </c>
      <c r="F23" s="37" t="n">
        <v>9162.12414366238</v>
      </c>
      <c r="G23" s="37" t="n">
        <v>24856.2856440604</v>
      </c>
      <c r="H23" s="37" t="n">
        <v>3690.86051347766</v>
      </c>
      <c r="I23" s="35">
        <f>SUM(E23:H23)</f>
        <v/>
      </c>
      <c r="J23" s="17">
        <f>E23/I23</f>
        <v/>
      </c>
      <c r="K23" s="17">
        <f>F23/I23</f>
        <v/>
      </c>
      <c r="L23" s="17">
        <f>G23/I23</f>
        <v/>
      </c>
      <c r="M23" s="17">
        <f>H23/I23</f>
        <v/>
      </c>
      <c r="N23" s="35">
        <f>D23*(L23+M23)</f>
        <v/>
      </c>
      <c r="O23" s="15" t="n">
        <v>0.4193656647140873</v>
      </c>
      <c r="P23" s="35">
        <f>D23*L23</f>
        <v/>
      </c>
      <c r="Q23" s="35">
        <f>D23*M23</f>
        <v/>
      </c>
      <c r="R23" s="35">
        <f>B23-(1-O23)*N23</f>
        <v/>
      </c>
      <c r="S23" s="35">
        <f>C23-O23*N23</f>
        <v/>
      </c>
      <c r="T23" s="38">
        <f>P23+Q23+R23+S23-D23</f>
        <v/>
      </c>
      <c r="U23" s="27">
        <f>MAX(ABS(R23/D23-J23),ABS(S23/D23-K23),ABS(P23/D23-L23),ABS(Q23/D23-M23))*100</f>
        <v/>
      </c>
      <c r="V23" s="32" t="inlineStr">
        <is>
          <t>MBU26 sheet: AS16 petrol VKT | AS10 conventional | AS12 BEV | AS14 PHEV</t>
        </is>
      </c>
    </row>
    <row r="24">
      <c r="A24" s="14" t="n">
        <v>2044</v>
      </c>
      <c r="B24" s="36">
        <f>SUM('4. Engine forecasts'!G78:G81)</f>
        <v/>
      </c>
      <c r="C24" s="36">
        <f>SUM('4. Engine forecasts'!I78:I81)</f>
        <v/>
      </c>
      <c r="D24" s="35">
        <f>B24+C24</f>
        <v/>
      </c>
      <c r="E24" s="37" t="n">
        <v>17355.3467715605</v>
      </c>
      <c r="F24" s="37" t="n">
        <v>8641.171397058089</v>
      </c>
      <c r="G24" s="37" t="n">
        <v>27364.0603386263</v>
      </c>
      <c r="H24" s="37" t="n">
        <v>3587.84262570015</v>
      </c>
      <c r="I24" s="35">
        <f>SUM(E24:H24)</f>
        <v/>
      </c>
      <c r="J24" s="17">
        <f>E24/I24</f>
        <v/>
      </c>
      <c r="K24" s="17">
        <f>F24/I24</f>
        <v/>
      </c>
      <c r="L24" s="17">
        <f>G24/I24</f>
        <v/>
      </c>
      <c r="M24" s="17">
        <f>H24/I24</f>
        <v/>
      </c>
      <c r="N24" s="35">
        <f>D24*(L24+M24)</f>
        <v/>
      </c>
      <c r="O24" s="15" t="n">
        <v>0.4166881253420638</v>
      </c>
      <c r="P24" s="35">
        <f>D24*L24</f>
        <v/>
      </c>
      <c r="Q24" s="35">
        <f>D24*M24</f>
        <v/>
      </c>
      <c r="R24" s="35">
        <f>B24-(1-O24)*N24</f>
        <v/>
      </c>
      <c r="S24" s="35">
        <f>C24-O24*N24</f>
        <v/>
      </c>
      <c r="T24" s="38">
        <f>P24+Q24+R24+S24-D24</f>
        <v/>
      </c>
      <c r="U24" s="27">
        <f>MAX(ABS(R24/D24-J24),ABS(S24/D24-K24),ABS(P24/D24-L24),ABS(Q24/D24-M24))*100</f>
        <v/>
      </c>
      <c r="V24" s="32" t="inlineStr">
        <is>
          <t>MBU26 sheet: AT16 petrol VKT | AT10 conventional | AT12 BEV | AT14 PHEV</t>
        </is>
      </c>
    </row>
    <row r="25">
      <c r="A25" s="14" t="n">
        <v>2045</v>
      </c>
      <c r="B25" s="36">
        <f>SUM('4. Engine forecasts'!G82:G85)</f>
        <v/>
      </c>
      <c r="C25" s="36">
        <f>SUM('4. Engine forecasts'!I82:I85)</f>
        <v/>
      </c>
      <c r="D25" s="35">
        <f>B25+C25</f>
        <v/>
      </c>
      <c r="E25" s="37" t="n">
        <v>15742.7368402457</v>
      </c>
      <c r="F25" s="37" t="n">
        <v>8152.95919858563</v>
      </c>
      <c r="G25" s="37" t="n">
        <v>29735.4698936684</v>
      </c>
      <c r="H25" s="37" t="n">
        <v>3475.40875423459</v>
      </c>
      <c r="I25" s="35">
        <f>SUM(E25:H25)</f>
        <v/>
      </c>
      <c r="J25" s="17">
        <f>E25/I25</f>
        <v/>
      </c>
      <c r="K25" s="17">
        <f>F25/I25</f>
        <v/>
      </c>
      <c r="L25" s="17">
        <f>G25/I25</f>
        <v/>
      </c>
      <c r="M25" s="17">
        <f>H25/I25</f>
        <v/>
      </c>
      <c r="N25" s="35">
        <f>D25*(L25+M25)</f>
        <v/>
      </c>
      <c r="O25" s="15" t="n">
        <v>0.4143189963665488</v>
      </c>
      <c r="P25" s="35">
        <f>D25*L25</f>
        <v/>
      </c>
      <c r="Q25" s="35">
        <f>D25*M25</f>
        <v/>
      </c>
      <c r="R25" s="35">
        <f>B25-(1-O25)*N25</f>
        <v/>
      </c>
      <c r="S25" s="35">
        <f>C25-O25*N25</f>
        <v/>
      </c>
      <c r="T25" s="38">
        <f>P25+Q25+R25+S25-D25</f>
        <v/>
      </c>
      <c r="U25" s="27">
        <f>MAX(ABS(R25/D25-J25),ABS(S25/D25-K25),ABS(P25/D25-L25),ABS(Q25/D25-M25))*100</f>
        <v/>
      </c>
      <c r="V25" s="32" t="inlineStr">
        <is>
          <t>MBU26 sheet: AU16 petrol VKT | AU10 conventional | AU12 BEV | AU14 PHEV</t>
        </is>
      </c>
    </row>
    <row r="26">
      <c r="A26" s="14" t="n">
        <v>2046</v>
      </c>
      <c r="B26" s="36">
        <f>SUM('4. Engine forecasts'!G86:G89)</f>
        <v/>
      </c>
      <c r="C26" s="36">
        <f>SUM('4. Engine forecasts'!I86:I89)</f>
        <v/>
      </c>
      <c r="D26" s="35">
        <f>B26+C26</f>
        <v/>
      </c>
      <c r="E26" s="37" t="n">
        <v>14266.1941407652</v>
      </c>
      <c r="F26" s="37" t="n">
        <v>7688.0731540928</v>
      </c>
      <c r="G26" s="37" t="n">
        <v>32156.3592151348</v>
      </c>
      <c r="H26" s="37" t="n">
        <v>3358.80797409963</v>
      </c>
      <c r="I26" s="35">
        <f>SUM(E26:H26)</f>
        <v/>
      </c>
      <c r="J26" s="17">
        <f>E26/I26</f>
        <v/>
      </c>
      <c r="K26" s="17">
        <f>F26/I26</f>
        <v/>
      </c>
      <c r="L26" s="17">
        <f>G26/I26</f>
        <v/>
      </c>
      <c r="M26" s="17">
        <f>H26/I26</f>
        <v/>
      </c>
      <c r="N26" s="35">
        <f>D26*(L26+M26)</f>
        <v/>
      </c>
      <c r="O26" s="15" t="n">
        <v>0.412437104246301</v>
      </c>
      <c r="P26" s="35">
        <f>D26*L26</f>
        <v/>
      </c>
      <c r="Q26" s="35">
        <f>D26*M26</f>
        <v/>
      </c>
      <c r="R26" s="35">
        <f>B26-(1-O26)*N26</f>
        <v/>
      </c>
      <c r="S26" s="35">
        <f>C26-O26*N26</f>
        <v/>
      </c>
      <c r="T26" s="38">
        <f>P26+Q26+R26+S26-D26</f>
        <v/>
      </c>
      <c r="U26" s="27">
        <f>MAX(ABS(R26/D26-J26),ABS(S26/D26-K26),ABS(P26/D26-L26),ABS(Q26/D26-M26))*100</f>
        <v/>
      </c>
      <c r="V26" s="32" t="inlineStr">
        <is>
          <t>MBU26 sheet: AV16 petrol VKT | AV10 conventional | AV12 BEV | AV14 PHEV</t>
        </is>
      </c>
    </row>
    <row r="27">
      <c r="A27" s="14" t="n">
        <v>2047</v>
      </c>
      <c r="B27" s="36">
        <f>SUM('4. Engine forecasts'!G90:G93)</f>
        <v/>
      </c>
      <c r="C27" s="36">
        <f>SUM('4. Engine forecasts'!I90:I93)</f>
        <v/>
      </c>
      <c r="D27" s="35">
        <f>B27+C27</f>
        <v/>
      </c>
      <c r="E27" s="37" t="n">
        <v>12918.0199537912</v>
      </c>
      <c r="F27" s="37" t="n">
        <v>7243.45535058358</v>
      </c>
      <c r="G27" s="37" t="n">
        <v>34537.073453697</v>
      </c>
      <c r="H27" s="37" t="n">
        <v>3243.22777483264</v>
      </c>
      <c r="I27" s="35">
        <f>SUM(E27:H27)</f>
        <v/>
      </c>
      <c r="J27" s="17">
        <f>E27/I27</f>
        <v/>
      </c>
      <c r="K27" s="17">
        <f>F27/I27</f>
        <v/>
      </c>
      <c r="L27" s="17">
        <f>G27/I27</f>
        <v/>
      </c>
      <c r="M27" s="17">
        <f>H27/I27</f>
        <v/>
      </c>
      <c r="N27" s="35">
        <f>D27*(L27+M27)</f>
        <v/>
      </c>
      <c r="O27" s="15" t="n">
        <v>0.4110939413509185</v>
      </c>
      <c r="P27" s="35">
        <f>D27*L27</f>
        <v/>
      </c>
      <c r="Q27" s="35">
        <f>D27*M27</f>
        <v/>
      </c>
      <c r="R27" s="35">
        <f>B27-(1-O27)*N27</f>
        <v/>
      </c>
      <c r="S27" s="35">
        <f>C27-O27*N27</f>
        <v/>
      </c>
      <c r="T27" s="38">
        <f>P27+Q27+R27+S27-D27</f>
        <v/>
      </c>
      <c r="U27" s="27">
        <f>MAX(ABS(R27/D27-J27),ABS(S27/D27-K27),ABS(P27/D27-L27),ABS(Q27/D27-M27))*100</f>
        <v/>
      </c>
      <c r="V27" s="32" t="inlineStr">
        <is>
          <t>MBU26 sheet: AW16 petrol VKT | AW10 conventional | AW12 BEV | AW14 PHEV</t>
        </is>
      </c>
    </row>
    <row r="28">
      <c r="A28" s="14" t="n">
        <v>2048</v>
      </c>
      <c r="B28" s="36">
        <f>SUM('4. Engine forecasts'!G94:G97)</f>
        <v/>
      </c>
      <c r="C28" s="36">
        <f>SUM('4. Engine forecasts'!I94:I97)</f>
        <v/>
      </c>
      <c r="D28" s="35">
        <f>B28+C28</f>
        <v/>
      </c>
      <c r="E28" s="37" t="n">
        <v>11705.987140547</v>
      </c>
      <c r="F28" s="37" t="n">
        <v>6815.94251159561</v>
      </c>
      <c r="G28" s="37" t="n">
        <v>36975.108256259</v>
      </c>
      <c r="H28" s="37" t="n">
        <v>3136.52315345323</v>
      </c>
      <c r="I28" s="35">
        <f>SUM(E28:H28)</f>
        <v/>
      </c>
      <c r="J28" s="17">
        <f>E28/I28</f>
        <v/>
      </c>
      <c r="K28" s="17">
        <f>F28/I28</f>
        <v/>
      </c>
      <c r="L28" s="17">
        <f>G28/I28</f>
        <v/>
      </c>
      <c r="M28" s="17">
        <f>H28/I28</f>
        <v/>
      </c>
      <c r="N28" s="35">
        <f>D28*(L28+M28)</f>
        <v/>
      </c>
      <c r="O28" s="15" t="n">
        <v>0.410229506067241</v>
      </c>
      <c r="P28" s="35">
        <f>D28*L28</f>
        <v/>
      </c>
      <c r="Q28" s="35">
        <f>D28*M28</f>
        <v/>
      </c>
      <c r="R28" s="35">
        <f>B28-(1-O28)*N28</f>
        <v/>
      </c>
      <c r="S28" s="35">
        <f>C28-O28*N28</f>
        <v/>
      </c>
      <c r="T28" s="38">
        <f>P28+Q28+R28+S28-D28</f>
        <v/>
      </c>
      <c r="U28" s="27">
        <f>MAX(ABS(R28/D28-J28),ABS(S28/D28-K28),ABS(P28/D28-L28),ABS(Q28/D28-M28))*100</f>
        <v/>
      </c>
      <c r="V28" s="32" t="inlineStr">
        <is>
          <t>MBU26 sheet: AX16 petrol VKT | AX10 conventional | AX12 BEV | AX14 PHEV</t>
        </is>
      </c>
    </row>
    <row r="29">
      <c r="A29" s="14" t="n">
        <v>2049</v>
      </c>
      <c r="B29" s="36">
        <f>SUM('4. Engine forecasts'!G98:G101)</f>
        <v/>
      </c>
      <c r="C29" s="36">
        <f>SUM('4. Engine forecasts'!I98:I101)</f>
        <v/>
      </c>
      <c r="D29" s="35">
        <f>B29+C29</f>
        <v/>
      </c>
      <c r="E29" s="37" t="n">
        <v>10602.9228996206</v>
      </c>
      <c r="F29" s="37" t="n">
        <v>6401.3158104673</v>
      </c>
      <c r="G29" s="37" t="n">
        <v>39221.4923959718</v>
      </c>
      <c r="H29" s="37" t="n">
        <v>3026.86315331079</v>
      </c>
      <c r="I29" s="35">
        <f>SUM(E29:H29)</f>
        <v/>
      </c>
      <c r="J29" s="17">
        <f>E29/I29</f>
        <v/>
      </c>
      <c r="K29" s="17">
        <f>F29/I29</f>
        <v/>
      </c>
      <c r="L29" s="17">
        <f>G29/I29</f>
        <v/>
      </c>
      <c r="M29" s="17">
        <f>H29/I29</f>
        <v/>
      </c>
      <c r="N29" s="35">
        <f>D29*(L29+M29)</f>
        <v/>
      </c>
      <c r="O29" s="15" t="n">
        <v>0.4097204940083821</v>
      </c>
      <c r="P29" s="35">
        <f>D29*L29</f>
        <v/>
      </c>
      <c r="Q29" s="35">
        <f>D29*M29</f>
        <v/>
      </c>
      <c r="R29" s="35">
        <f>B29-(1-O29)*N29</f>
        <v/>
      </c>
      <c r="S29" s="35">
        <f>C29-O29*N29</f>
        <v/>
      </c>
      <c r="T29" s="38">
        <f>P29+Q29+R29+S29-D29</f>
        <v/>
      </c>
      <c r="U29" s="27">
        <f>MAX(ABS(R29/D29-J29),ABS(S29/D29-K29),ABS(P29/D29-L29),ABS(Q29/D29-M29))*100</f>
        <v/>
      </c>
      <c r="V29" s="32" t="inlineStr">
        <is>
          <t>MBU26 sheet: AY16 petrol VKT | AY10 conventional | AY12 BEV | AY14 PHEV</t>
        </is>
      </c>
    </row>
    <row r="30">
      <c r="A30" s="14" t="n">
        <v>2050</v>
      </c>
      <c r="B30" s="36">
        <f>SUM('4. Engine forecasts'!G102:G105)</f>
        <v/>
      </c>
      <c r="C30" s="36">
        <f>SUM('4. Engine forecasts'!I102:I105)</f>
        <v/>
      </c>
      <c r="D30" s="35">
        <f>B30+C30</f>
        <v/>
      </c>
      <c r="E30" s="37" t="n">
        <v>9598.85889563765</v>
      </c>
      <c r="F30" s="37" t="n">
        <v>6001.20388736231</v>
      </c>
      <c r="G30" s="37" t="n">
        <v>41168.8006989255</v>
      </c>
      <c r="H30" s="37" t="n">
        <v>2910.04326079893</v>
      </c>
      <c r="I30" s="35">
        <f>SUM(E30:H30)</f>
        <v/>
      </c>
      <c r="J30" s="17">
        <f>E30/I30</f>
        <v/>
      </c>
      <c r="K30" s="17">
        <f>F30/I30</f>
        <v/>
      </c>
      <c r="L30" s="17">
        <f>G30/I30</f>
        <v/>
      </c>
      <c r="M30" s="17">
        <f>H30/I30</f>
        <v/>
      </c>
      <c r="N30" s="35">
        <f>D30*(L30+M30)</f>
        <v/>
      </c>
      <c r="O30" s="15" t="n">
        <v>0.4094674469783286</v>
      </c>
      <c r="P30" s="35">
        <f>D30*L30</f>
        <v/>
      </c>
      <c r="Q30" s="35">
        <f>D30*M30</f>
        <v/>
      </c>
      <c r="R30" s="35">
        <f>B30-(1-O30)*N30</f>
        <v/>
      </c>
      <c r="S30" s="35">
        <f>C30-O30*N30</f>
        <v/>
      </c>
      <c r="T30" s="38">
        <f>P30+Q30+R30+S30-D30</f>
        <v/>
      </c>
      <c r="U30" s="27">
        <f>MAX(ABS(R30/D30-J30),ABS(S30/D30-K30),ABS(P30/D30-L30),ABS(Q30/D30-M30))*100</f>
        <v/>
      </c>
      <c r="V30" s="32" t="inlineStr">
        <is>
          <t>MBU26 sheet: AZ16 petrol VKT | AZ10 conventional | AZ12 BEV | AZ14 PHEV</t>
        </is>
      </c>
    </row>
    <row r="32">
      <c r="A32" s="2" t="inlineStr">
        <is>
          <t>The 'EV switch drawn from RUC pool' column is this workbook's single allocation assumption: of each year's electric-vehicle kilometres, that fraction is deducted from the light RUC pool and the remainder from the petrol pool. It was chosen once so the combined mix tracks MoT's class proportions smoothly - the 'largest gap to MoT mix' column shows the result stays within a fraction of a share point of MoT's official mix. Change the assumption and every downstream number re-computes.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3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52" customWidth="1" min="25" max="25"/>
  </cols>
  <sheetData>
    <row r="1">
      <c r="A1" s="1" t="inlineStr">
        <is>
          <t>From kilometres to dollars</t>
        </is>
      </c>
    </row>
    <row r="2">
      <c r="A2" s="2" t="inlineStr">
        <is>
          <t>Rates are not invented: every effective rate is MoT's own revenue divided by MoT's own volume for the same June year, so legislated changes (including the FY2027/28 petrol duty increases) are embedded automatically. Our kilometres x MoT's effective rates = our revenue.</t>
        </is>
      </c>
    </row>
    <row r="4">
      <c r="A4" s="3" t="inlineStr">
        <is>
          <t>Per June year. Green = linked; blue = MBU26 official inputs (source cells at right)</t>
        </is>
      </c>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13" t="inlineStr">
        <is>
          <t>June year</t>
        </is>
      </c>
      <c r="B5" s="13" t="inlineStr">
        <is>
          <t>MoT petrol litres (million L)</t>
        </is>
      </c>
      <c r="C5" s="13" t="inlineStr">
        <is>
          <t>MoT petrol VKT (million km)</t>
        </is>
      </c>
      <c r="D5" s="13" t="inlineStr">
        <is>
          <t>Fuel intensity (L/100km) = litres/VKT x 100</t>
        </is>
      </c>
      <c r="E5" s="13" t="inlineStr">
        <is>
          <t>MoT petrol duty revenue ($m)</t>
        </is>
      </c>
      <c r="F5" s="13" t="inlineStr">
        <is>
          <t>Effective duty rate ($/litre) = revenue/litres</t>
        </is>
      </c>
      <c r="G5" s="13" t="inlineStr">
        <is>
          <t>Our petrol km (million)</t>
        </is>
      </c>
      <c r="H5" s="13" t="inlineStr">
        <is>
          <t>Our petrol litres = km x intensity / 100</t>
        </is>
      </c>
      <c r="I5" s="13" t="inlineStr">
        <is>
          <t>Petrol duty revenue ($m) = litres x rate</t>
        </is>
      </c>
      <c r="J5" s="13" t="inlineStr">
        <is>
          <t>MoT conventional RUC revenue ($m)</t>
        </is>
      </c>
      <c r="K5" s="13" t="inlineStr">
        <is>
          <t>Conventional rate ($/km)</t>
        </is>
      </c>
      <c r="L5" s="13" t="inlineStr">
        <is>
          <t>Our conventional km</t>
        </is>
      </c>
      <c r="M5" s="13" t="inlineStr">
        <is>
          <t>Conventional RUC revenue ($m)</t>
        </is>
      </c>
      <c r="N5" s="13" t="inlineStr">
        <is>
          <t>MoT BEV RUC revenue ($m)</t>
        </is>
      </c>
      <c r="O5" s="13" t="inlineStr">
        <is>
          <t>BEV rate ($/km)</t>
        </is>
      </c>
      <c r="P5" s="13" t="inlineStr">
        <is>
          <t>Our BEV km</t>
        </is>
      </c>
      <c r="Q5" s="13" t="inlineStr">
        <is>
          <t>BEV RUC revenue ($m)</t>
        </is>
      </c>
      <c r="R5" s="13" t="inlineStr">
        <is>
          <t>MoT PHEV RUC revenue ($m)</t>
        </is>
      </c>
      <c r="S5" s="13" t="inlineStr">
        <is>
          <t>PHEV rate ($/km)</t>
        </is>
      </c>
      <c r="T5" s="13" t="inlineStr">
        <is>
          <t>Our PHEV km</t>
        </is>
      </c>
      <c r="U5" s="13" t="inlineStr">
        <is>
          <t>PHEV RUC revenue ($m)</t>
        </is>
      </c>
      <c r="V5" s="13" t="inlineStr">
        <is>
          <t>MoT heavy RUC revenue ($m)</t>
        </is>
      </c>
      <c r="W5" s="13" t="inlineStr">
        <is>
          <t>MoT heavy km / heavy rate ($/km)</t>
        </is>
      </c>
      <c r="X5" s="13" t="inlineStr">
        <is>
          <t>Our heavy km</t>
        </is>
      </c>
      <c r="Y5" s="13" t="inlineStr">
        <is>
          <t>Heavy RUC revenue ($m)</t>
        </is>
      </c>
    </row>
    <row r="6">
      <c r="A6" s="14" t="n">
        <v>2026</v>
      </c>
      <c r="B6" s="37" t="n">
        <v>2945.82526967511</v>
      </c>
      <c r="C6" s="36">
        <f>'5. Light fleet split'!E6</f>
        <v/>
      </c>
      <c r="D6" s="18">
        <f>B6/C6*100</f>
        <v/>
      </c>
      <c r="E6" s="37" t="n">
        <v>2062.7846868373</v>
      </c>
      <c r="F6" s="39">
        <f>E6/B6</f>
        <v/>
      </c>
      <c r="G6" s="36">
        <f>'5. Light fleet split'!R6</f>
        <v/>
      </c>
      <c r="H6" s="35">
        <f>G6*D6/100</f>
        <v/>
      </c>
      <c r="I6" s="35">
        <f>H6*F6</f>
        <v/>
      </c>
      <c r="J6" s="37" t="n">
        <v>873.8159743468869</v>
      </c>
      <c r="K6" s="40">
        <f>J6/'5. Light fleet split'!F6</f>
        <v/>
      </c>
      <c r="L6" s="36">
        <f>'5. Light fleet split'!S6</f>
        <v/>
      </c>
      <c r="M6" s="35">
        <f>L6*K6</f>
        <v/>
      </c>
      <c r="N6" s="37" t="n">
        <v>81.4648074039889</v>
      </c>
      <c r="O6" s="40">
        <f>N6/'5. Light fleet split'!G6</f>
        <v/>
      </c>
      <c r="P6" s="36">
        <f>'5. Light fleet split'!P6</f>
        <v/>
      </c>
      <c r="Q6" s="35">
        <f>P6*O6</f>
        <v/>
      </c>
      <c r="R6" s="37" t="n">
        <v>21.8403214998817</v>
      </c>
      <c r="S6" s="40">
        <f>R6/'5. Light fleet split'!H6</f>
        <v/>
      </c>
      <c r="T6" s="36">
        <f>'5. Light fleet split'!Q6</f>
        <v/>
      </c>
      <c r="U6" s="35">
        <f>T6*S6</f>
        <v/>
      </c>
      <c r="V6" s="37" t="n">
        <v>1146.5048086003</v>
      </c>
      <c r="W6" s="37" t="n">
        <v>4106.65708028096</v>
      </c>
      <c r="X6" s="36">
        <f>SUM('4. Engine forecasts'!K6:K9)</f>
        <v/>
      </c>
      <c r="Y6" s="35">
        <f>X6*V6/W6</f>
        <v/>
      </c>
    </row>
    <row r="7">
      <c r="A7" s="14" t="n">
        <v>2027</v>
      </c>
      <c r="B7" s="37" t="n">
        <v>2896.48943188686</v>
      </c>
      <c r="C7" s="36">
        <f>'5. Light fleet split'!E7</f>
        <v/>
      </c>
      <c r="D7" s="18">
        <f>B7/C7*100</f>
        <v/>
      </c>
      <c r="E7" s="37" t="n">
        <v>2200.87789552971</v>
      </c>
      <c r="F7" s="39">
        <f>E7/B7</f>
        <v/>
      </c>
      <c r="G7" s="36">
        <f>'5. Light fleet split'!R7</f>
        <v/>
      </c>
      <c r="H7" s="35">
        <f>G7*D7/100</f>
        <v/>
      </c>
      <c r="I7" s="35">
        <f>H7*F7</f>
        <v/>
      </c>
      <c r="J7" s="37" t="n">
        <v>943.716988712666</v>
      </c>
      <c r="K7" s="40">
        <f>J7/'5. Light fleet split'!F7</f>
        <v/>
      </c>
      <c r="L7" s="36">
        <f>'5. Light fleet split'!S7</f>
        <v/>
      </c>
      <c r="M7" s="35">
        <f>L7*K7</f>
        <v/>
      </c>
      <c r="N7" s="37" t="n">
        <v>114.634116955081</v>
      </c>
      <c r="O7" s="40">
        <f>N7/'5. Light fleet split'!G7</f>
        <v/>
      </c>
      <c r="P7" s="36">
        <f>'5. Light fleet split'!P7</f>
        <v/>
      </c>
      <c r="Q7" s="35">
        <f>P7*O7</f>
        <v/>
      </c>
      <c r="R7" s="37" t="n">
        <v>31.7081862571269</v>
      </c>
      <c r="S7" s="40">
        <f>R7/'5. Light fleet split'!H7</f>
        <v/>
      </c>
      <c r="T7" s="36">
        <f>'5. Light fleet split'!Q7</f>
        <v/>
      </c>
      <c r="U7" s="35">
        <f>T7*S7</f>
        <v/>
      </c>
      <c r="V7" s="37" t="n">
        <v>1278.2182592137</v>
      </c>
      <c r="W7" s="37" t="n">
        <v>4256.14265648045</v>
      </c>
      <c r="X7" s="36">
        <f>SUM('4. Engine forecasts'!K10:K13)</f>
        <v/>
      </c>
      <c r="Y7" s="35">
        <f>X7*V7/W7</f>
        <v/>
      </c>
    </row>
    <row r="8">
      <c r="A8" s="14" t="n">
        <v>2028</v>
      </c>
      <c r="B8" s="37" t="n">
        <v>2889.13885167999</v>
      </c>
      <c r="C8" s="36">
        <f>'5. Light fleet split'!E8</f>
        <v/>
      </c>
      <c r="D8" s="18">
        <f>B8/C8*100</f>
        <v/>
      </c>
      <c r="E8" s="37" t="n">
        <v>2456.02635360613</v>
      </c>
      <c r="F8" s="39">
        <f>E8/B8</f>
        <v/>
      </c>
      <c r="G8" s="36">
        <f>'5. Light fleet split'!R8</f>
        <v/>
      </c>
      <c r="H8" s="35">
        <f>G8*D8/100</f>
        <v/>
      </c>
      <c r="I8" s="35">
        <f>H8*F8</f>
        <v/>
      </c>
      <c r="J8" s="37" t="n">
        <v>1091.83652480716</v>
      </c>
      <c r="K8" s="40">
        <f>J8/'5. Light fleet split'!F8</f>
        <v/>
      </c>
      <c r="L8" s="36">
        <f>'5. Light fleet split'!S8</f>
        <v/>
      </c>
      <c r="M8" s="35">
        <f>L8*K8</f>
        <v/>
      </c>
      <c r="N8" s="37" t="n">
        <v>161.835735956468</v>
      </c>
      <c r="O8" s="40">
        <f>N8/'5. Light fleet split'!G8</f>
        <v/>
      </c>
      <c r="P8" s="36">
        <f>'5. Light fleet split'!P8</f>
        <v/>
      </c>
      <c r="Q8" s="35">
        <f>P8*O8</f>
        <v/>
      </c>
      <c r="R8" s="37" t="n">
        <v>44.6937250120693</v>
      </c>
      <c r="S8" s="40">
        <f>R8/'5. Light fleet split'!H8</f>
        <v/>
      </c>
      <c r="T8" s="36">
        <f>'5. Light fleet split'!Q8</f>
        <v/>
      </c>
      <c r="U8" s="35">
        <f>T8*S8</f>
        <v/>
      </c>
      <c r="V8" s="37" t="n">
        <v>1443.31242551064</v>
      </c>
      <c r="W8" s="37" t="n">
        <v>4323.42005434382</v>
      </c>
      <c r="X8" s="36">
        <f>SUM('4. Engine forecasts'!K14:K17)</f>
        <v/>
      </c>
      <c r="Y8" s="35">
        <f>X8*V8/W8</f>
        <v/>
      </c>
    </row>
    <row r="9">
      <c r="A9" s="14" t="n">
        <v>2029</v>
      </c>
      <c r="B9" s="37" t="n">
        <v>2884.11519477832</v>
      </c>
      <c r="C9" s="36">
        <f>'5. Light fleet split'!E9</f>
        <v/>
      </c>
      <c r="D9" s="18">
        <f>B9/C9*100</f>
        <v/>
      </c>
      <c r="E9" s="37" t="n">
        <v>2596.02295478143</v>
      </c>
      <c r="F9" s="39">
        <f>E9/B9</f>
        <v/>
      </c>
      <c r="G9" s="36">
        <f>'5. Light fleet split'!R9</f>
        <v/>
      </c>
      <c r="H9" s="35">
        <f>G9*D9/100</f>
        <v/>
      </c>
      <c r="I9" s="35">
        <f>H9*F9</f>
        <v/>
      </c>
      <c r="J9" s="37" t="n">
        <v>1199.40927936719</v>
      </c>
      <c r="K9" s="40">
        <f>J9/'5. Light fleet split'!F9</f>
        <v/>
      </c>
      <c r="L9" s="36">
        <f>'5. Light fleet split'!S9</f>
        <v/>
      </c>
      <c r="M9" s="35">
        <f>L9*K9</f>
        <v/>
      </c>
      <c r="N9" s="37" t="n">
        <v>215.525243664418</v>
      </c>
      <c r="O9" s="40">
        <f>N9/'5. Light fleet split'!G9</f>
        <v/>
      </c>
      <c r="P9" s="36">
        <f>'5. Light fleet split'!P9</f>
        <v/>
      </c>
      <c r="Q9" s="35">
        <f>P9*O9</f>
        <v/>
      </c>
      <c r="R9" s="37" t="n">
        <v>59.2187099895983</v>
      </c>
      <c r="S9" s="40">
        <f>R9/'5. Light fleet split'!H9</f>
        <v/>
      </c>
      <c r="T9" s="36">
        <f>'5. Light fleet split'!Q9</f>
        <v/>
      </c>
      <c r="U9" s="35">
        <f>T9*S9</f>
        <v/>
      </c>
      <c r="V9" s="37" t="n">
        <v>1555.66965009176</v>
      </c>
      <c r="W9" s="37" t="n">
        <v>4400.67521803142</v>
      </c>
      <c r="X9" s="36">
        <f>SUM('4. Engine forecasts'!K18:K21)</f>
        <v/>
      </c>
      <c r="Y9" s="35">
        <f>X9*V9/W9</f>
        <v/>
      </c>
    </row>
    <row r="10">
      <c r="A10" s="14" t="n">
        <v>2030</v>
      </c>
      <c r="B10" s="37" t="n">
        <v>2878.59330671556</v>
      </c>
      <c r="C10" s="36">
        <f>'5. Light fleet split'!E10</f>
        <v/>
      </c>
      <c r="D10" s="18">
        <f>B10/C10*100</f>
        <v/>
      </c>
      <c r="E10" s="37" t="n">
        <v>2706.16345401687</v>
      </c>
      <c r="F10" s="39">
        <f>E10/B10</f>
        <v/>
      </c>
      <c r="G10" s="36">
        <f>'5. Light fleet split'!R10</f>
        <v/>
      </c>
      <c r="H10" s="35">
        <f>G10*D10/100</f>
        <v/>
      </c>
      <c r="I10" s="35">
        <f>H10*F10</f>
        <v/>
      </c>
      <c r="J10" s="37" t="n">
        <v>1295.55904536384</v>
      </c>
      <c r="K10" s="40">
        <f>J10/'5. Light fleet split'!F10</f>
        <v/>
      </c>
      <c r="L10" s="36">
        <f>'5. Light fleet split'!S10</f>
        <v/>
      </c>
      <c r="M10" s="35">
        <f>L10*K10</f>
        <v/>
      </c>
      <c r="N10" s="37" t="n">
        <v>276.56467906435</v>
      </c>
      <c r="O10" s="40">
        <f>N10/'5. Light fleet split'!G10</f>
        <v/>
      </c>
      <c r="P10" s="36">
        <f>'5. Light fleet split'!P10</f>
        <v/>
      </c>
      <c r="Q10" s="35">
        <f>P10*O10</f>
        <v/>
      </c>
      <c r="R10" s="37" t="n">
        <v>74.92884788283</v>
      </c>
      <c r="S10" s="40">
        <f>R10/'5. Light fleet split'!H10</f>
        <v/>
      </c>
      <c r="T10" s="36">
        <f>'5. Light fleet split'!Q10</f>
        <v/>
      </c>
      <c r="U10" s="35">
        <f>T10*S10</f>
        <v/>
      </c>
      <c r="V10" s="37" t="n">
        <v>1652.12295550638</v>
      </c>
      <c r="W10" s="37" t="n">
        <v>4474.70373343995</v>
      </c>
      <c r="X10" s="36">
        <f>SUM('4. Engine forecasts'!K22:K25)</f>
        <v/>
      </c>
      <c r="Y10" s="35">
        <f>X10*V10/W10</f>
        <v/>
      </c>
    </row>
    <row r="11">
      <c r="A11" s="14" t="n">
        <v>2031</v>
      </c>
      <c r="B11" s="37" t="n">
        <v>2827.25640804399</v>
      </c>
      <c r="C11" s="36">
        <f>'5. Light fleet split'!E11</f>
        <v/>
      </c>
      <c r="D11" s="18">
        <f>B11/C11*100</f>
        <v/>
      </c>
      <c r="E11" s="37" t="n">
        <v>2771.07090986288</v>
      </c>
      <c r="F11" s="39">
        <f>E11/B11</f>
        <v/>
      </c>
      <c r="G11" s="36">
        <f>'5. Light fleet split'!R11</f>
        <v/>
      </c>
      <c r="H11" s="35">
        <f>G11*D11/100</f>
        <v/>
      </c>
      <c r="I11" s="35">
        <f>H11*F11</f>
        <v/>
      </c>
      <c r="J11" s="37" t="n">
        <v>1336.15045272876</v>
      </c>
      <c r="K11" s="40">
        <f>J11/'5. Light fleet split'!F11</f>
        <v/>
      </c>
      <c r="L11" s="36">
        <f>'5. Light fleet split'!S11</f>
        <v/>
      </c>
      <c r="M11" s="35">
        <f>L11*K11</f>
        <v/>
      </c>
      <c r="N11" s="37" t="n">
        <v>346.954724469289</v>
      </c>
      <c r="O11" s="40">
        <f>N11/'5. Light fleet split'!G11</f>
        <v/>
      </c>
      <c r="P11" s="36">
        <f>'5. Light fleet split'!P11</f>
        <v/>
      </c>
      <c r="Q11" s="35">
        <f>P11*O11</f>
        <v/>
      </c>
      <c r="R11" s="37" t="n">
        <v>91.6913436948262</v>
      </c>
      <c r="S11" s="40">
        <f>R11/'5. Light fleet split'!H11</f>
        <v/>
      </c>
      <c r="T11" s="36">
        <f>'5. Light fleet split'!Q11</f>
        <v/>
      </c>
      <c r="U11" s="35">
        <f>T11*S11</f>
        <v/>
      </c>
      <c r="V11" s="37" t="n">
        <v>1724.93518509883</v>
      </c>
      <c r="W11" s="37" t="n">
        <v>4480.75847180609</v>
      </c>
      <c r="X11" s="36">
        <f>SUM('4. Engine forecasts'!K26:K29)</f>
        <v/>
      </c>
      <c r="Y11" s="35">
        <f>X11*V11/W11</f>
        <v/>
      </c>
    </row>
    <row r="12">
      <c r="A12" s="14" t="n">
        <v>2032</v>
      </c>
      <c r="B12" s="37" t="n">
        <v>2768.73980830655</v>
      </c>
      <c r="C12" s="36">
        <f>'5. Light fleet split'!E12</f>
        <v/>
      </c>
      <c r="D12" s="18">
        <f>B12/C12*100</f>
        <v/>
      </c>
      <c r="E12" s="37" t="n">
        <v>2824.50474695834</v>
      </c>
      <c r="F12" s="39">
        <f>E12/B12</f>
        <v/>
      </c>
      <c r="G12" s="36">
        <f>'5. Light fleet split'!R12</f>
        <v/>
      </c>
      <c r="H12" s="35">
        <f>G12*D12/100</f>
        <v/>
      </c>
      <c r="I12" s="35">
        <f>H12*F12</f>
        <v/>
      </c>
      <c r="J12" s="37" t="n">
        <v>1370.60919035186</v>
      </c>
      <c r="K12" s="40">
        <f>J12/'5. Light fleet split'!F12</f>
        <v/>
      </c>
      <c r="L12" s="36">
        <f>'5. Light fleet split'!S12</f>
        <v/>
      </c>
      <c r="M12" s="35">
        <f>L12*K12</f>
        <v/>
      </c>
      <c r="N12" s="37" t="n">
        <v>429.313412445529</v>
      </c>
      <c r="O12" s="40">
        <f>N12/'5. Light fleet split'!G12</f>
        <v/>
      </c>
      <c r="P12" s="36">
        <f>'5. Light fleet split'!P12</f>
        <v/>
      </c>
      <c r="Q12" s="35">
        <f>P12*O12</f>
        <v/>
      </c>
      <c r="R12" s="37" t="n">
        <v>110.444638716759</v>
      </c>
      <c r="S12" s="40">
        <f>R12/'5. Light fleet split'!H12</f>
        <v/>
      </c>
      <c r="T12" s="36">
        <f>'5. Light fleet split'!Q12</f>
        <v/>
      </c>
      <c r="U12" s="35">
        <f>T12*S12</f>
        <v/>
      </c>
      <c r="V12" s="37" t="n">
        <v>1795.7546379045</v>
      </c>
      <c r="W12" s="37" t="n">
        <v>4481.82351757535</v>
      </c>
      <c r="X12" s="36">
        <f>SUM('4. Engine forecasts'!K30:K33)</f>
        <v/>
      </c>
      <c r="Y12" s="35">
        <f>X12*V12/W12</f>
        <v/>
      </c>
    </row>
    <row r="13">
      <c r="A13" s="14" t="n">
        <v>2033</v>
      </c>
      <c r="B13" s="37" t="n">
        <v>2697.10434120833</v>
      </c>
      <c r="C13" s="36">
        <f>'5. Light fleet split'!E13</f>
        <v/>
      </c>
      <c r="D13" s="18">
        <f>B13/C13*100</f>
        <v/>
      </c>
      <c r="E13" s="37" t="n">
        <v>2859.3269619482</v>
      </c>
      <c r="F13" s="39">
        <f>E13/B13</f>
        <v/>
      </c>
      <c r="G13" s="36">
        <f>'5. Light fleet split'!R13</f>
        <v/>
      </c>
      <c r="H13" s="35">
        <f>G13*D13/100</f>
        <v/>
      </c>
      <c r="I13" s="35">
        <f>H13*F13</f>
        <v/>
      </c>
      <c r="J13" s="37" t="n">
        <v>1398.18623122075</v>
      </c>
      <c r="K13" s="40">
        <f>J13/'5. Light fleet split'!F13</f>
        <v/>
      </c>
      <c r="L13" s="36">
        <f>'5. Light fleet split'!S13</f>
        <v/>
      </c>
      <c r="M13" s="35">
        <f>L13*K13</f>
        <v/>
      </c>
      <c r="N13" s="37" t="n">
        <v>527.336552294783</v>
      </c>
      <c r="O13" s="40">
        <f>N13/'5. Light fleet split'!G13</f>
        <v/>
      </c>
      <c r="P13" s="36">
        <f>'5. Light fleet split'!P13</f>
        <v/>
      </c>
      <c r="Q13" s="35">
        <f>P13*O13</f>
        <v/>
      </c>
      <c r="R13" s="37" t="n">
        <v>130.602887780664</v>
      </c>
      <c r="S13" s="40">
        <f>R13/'5. Light fleet split'!H13</f>
        <v/>
      </c>
      <c r="T13" s="36">
        <f>'5. Light fleet split'!Q13</f>
        <v/>
      </c>
      <c r="U13" s="35">
        <f>T13*S13</f>
        <v/>
      </c>
      <c r="V13" s="37" t="n">
        <v>1864.48336002065</v>
      </c>
      <c r="W13" s="37" t="n">
        <v>4477.84081853272</v>
      </c>
      <c r="X13" s="36">
        <f>SUM('4. Engine forecasts'!K34:K37)</f>
        <v/>
      </c>
      <c r="Y13" s="35">
        <f>X13*V13/W13</f>
        <v/>
      </c>
    </row>
    <row r="14">
      <c r="A14" s="14" t="n">
        <v>2034</v>
      </c>
      <c r="B14" s="37" t="n">
        <v>2619.4887904515</v>
      </c>
      <c r="C14" s="36">
        <f>'5. Light fleet split'!E14</f>
        <v/>
      </c>
      <c r="D14" s="18">
        <f>B14/C14*100</f>
        <v/>
      </c>
      <c r="E14" s="37" t="n">
        <v>2881.80953982362</v>
      </c>
      <c r="F14" s="39">
        <f>E14/B14</f>
        <v/>
      </c>
      <c r="G14" s="36">
        <f>'5. Light fleet split'!R14</f>
        <v/>
      </c>
      <c r="H14" s="35">
        <f>G14*D14/100</f>
        <v/>
      </c>
      <c r="I14" s="35">
        <f>H14*F14</f>
        <v/>
      </c>
      <c r="J14" s="37" t="n">
        <v>1419.79424580153</v>
      </c>
      <c r="K14" s="40">
        <f>J14/'5. Light fleet split'!F14</f>
        <v/>
      </c>
      <c r="L14" s="36">
        <f>'5. Light fleet split'!S14</f>
        <v/>
      </c>
      <c r="M14" s="35">
        <f>L14*K14</f>
        <v/>
      </c>
      <c r="N14" s="37" t="n">
        <v>649.543552205186</v>
      </c>
      <c r="O14" s="40">
        <f>N14/'5. Light fleet split'!G14</f>
        <v/>
      </c>
      <c r="P14" s="36">
        <f>'5. Light fleet split'!P14</f>
        <v/>
      </c>
      <c r="Q14" s="35">
        <f>P14*O14</f>
        <v/>
      </c>
      <c r="R14" s="37" t="n">
        <v>151.790187060137</v>
      </c>
      <c r="S14" s="40">
        <f>R14/'5. Light fleet split'!H14</f>
        <v/>
      </c>
      <c r="T14" s="36">
        <f>'5. Light fleet split'!Q14</f>
        <v/>
      </c>
      <c r="U14" s="35">
        <f>T14*S14</f>
        <v/>
      </c>
      <c r="V14" s="37" t="n">
        <v>1927.23338463957</v>
      </c>
      <c r="W14" s="37" t="n">
        <v>4460.31078292367</v>
      </c>
      <c r="X14" s="36">
        <f>SUM('4. Engine forecasts'!K38:K41)</f>
        <v/>
      </c>
      <c r="Y14" s="35">
        <f>X14*V14/W14</f>
        <v/>
      </c>
    </row>
    <row r="15">
      <c r="A15" s="14" t="n">
        <v>2035</v>
      </c>
      <c r="B15" s="37" t="n">
        <v>2531.97518270616</v>
      </c>
      <c r="C15" s="36">
        <f>'5. Light fleet split'!E15</f>
        <v/>
      </c>
      <c r="D15" s="18">
        <f>B15/C15*100</f>
        <v/>
      </c>
      <c r="E15" s="37" t="n">
        <v>2886.69324606196</v>
      </c>
      <c r="F15" s="39">
        <f>E15/B15</f>
        <v/>
      </c>
      <c r="G15" s="36">
        <f>'5. Light fleet split'!R15</f>
        <v/>
      </c>
      <c r="H15" s="35">
        <f>G15*D15/100</f>
        <v/>
      </c>
      <c r="I15" s="35">
        <f>H15*F15</f>
        <v/>
      </c>
      <c r="J15" s="37" t="n">
        <v>1434.96838570181</v>
      </c>
      <c r="K15" s="40">
        <f>J15/'5. Light fleet split'!F15</f>
        <v/>
      </c>
      <c r="L15" s="36">
        <f>'5. Light fleet split'!S15</f>
        <v/>
      </c>
      <c r="M15" s="35">
        <f>L15*K15</f>
        <v/>
      </c>
      <c r="N15" s="37" t="n">
        <v>801.089275482007</v>
      </c>
      <c r="O15" s="40">
        <f>N15/'5. Light fleet split'!G15</f>
        <v/>
      </c>
      <c r="P15" s="36">
        <f>'5. Light fleet split'!P15</f>
        <v/>
      </c>
      <c r="Q15" s="35">
        <f>P15*O15</f>
        <v/>
      </c>
      <c r="R15" s="37" t="n">
        <v>173.295191210719</v>
      </c>
      <c r="S15" s="40">
        <f>R15/'5. Light fleet split'!H15</f>
        <v/>
      </c>
      <c r="T15" s="36">
        <f>'5. Light fleet split'!Q15</f>
        <v/>
      </c>
      <c r="U15" s="35">
        <f>T15*S15</f>
        <v/>
      </c>
      <c r="V15" s="37" t="n">
        <v>1984.3156178667</v>
      </c>
      <c r="W15" s="37" t="n">
        <v>4431.30364981007</v>
      </c>
      <c r="X15" s="36">
        <f>SUM('4. Engine forecasts'!K42:K45)</f>
        <v/>
      </c>
      <c r="Y15" s="35">
        <f>X15*V15/W15</f>
        <v/>
      </c>
    </row>
    <row r="16">
      <c r="A16" s="14" t="n">
        <v>2036</v>
      </c>
      <c r="B16" s="37" t="n">
        <v>2432.06546987474</v>
      </c>
      <c r="C16" s="36">
        <f>'5. Light fleet split'!E16</f>
        <v/>
      </c>
      <c r="D16" s="18">
        <f>B16/C16*100</f>
        <v/>
      </c>
      <c r="E16" s="37" t="n">
        <v>2870.0202267989</v>
      </c>
      <c r="F16" s="39">
        <f>E16/B16</f>
        <v/>
      </c>
      <c r="G16" s="36">
        <f>'5. Light fleet split'!R16</f>
        <v/>
      </c>
      <c r="H16" s="35">
        <f>G16*D16/100</f>
        <v/>
      </c>
      <c r="I16" s="35">
        <f>H16*F16</f>
        <v/>
      </c>
      <c r="J16" s="37" t="n">
        <v>1443.73888381115</v>
      </c>
      <c r="K16" s="40">
        <f>J16/'5. Light fleet split'!F16</f>
        <v/>
      </c>
      <c r="L16" s="36">
        <f>'5. Light fleet split'!S16</f>
        <v/>
      </c>
      <c r="M16" s="35">
        <f>L16*K16</f>
        <v/>
      </c>
      <c r="N16" s="37" t="n">
        <v>984.979893802953</v>
      </c>
      <c r="O16" s="40">
        <f>N16/'5. Light fleet split'!G16</f>
        <v/>
      </c>
      <c r="P16" s="36">
        <f>'5. Light fleet split'!P16</f>
        <v/>
      </c>
      <c r="Q16" s="35">
        <f>P16*O16</f>
        <v/>
      </c>
      <c r="R16" s="37" t="n">
        <v>192.613777278713</v>
      </c>
      <c r="S16" s="40">
        <f>R16/'5. Light fleet split'!H16</f>
        <v/>
      </c>
      <c r="T16" s="36">
        <f>'5. Light fleet split'!Q16</f>
        <v/>
      </c>
      <c r="U16" s="35">
        <f>T16*S16</f>
        <v/>
      </c>
      <c r="V16" s="37" t="n">
        <v>2039.87790293343</v>
      </c>
      <c r="W16" s="37" t="n">
        <v>4400.9835987388</v>
      </c>
      <c r="X16" s="36">
        <f>SUM('4. Engine forecasts'!K46:K49)</f>
        <v/>
      </c>
      <c r="Y16" s="35">
        <f>X16*V16/W16</f>
        <v/>
      </c>
    </row>
    <row r="17">
      <c r="A17" s="14" t="n">
        <v>2037</v>
      </c>
      <c r="B17" s="37" t="n">
        <v>2320.70429539147</v>
      </c>
      <c r="C17" s="36">
        <f>'5. Light fleet split'!E17</f>
        <v/>
      </c>
      <c r="D17" s="18">
        <f>B17/C17*100</f>
        <v/>
      </c>
      <c r="E17" s="37" t="n">
        <v>2831.34851511319</v>
      </c>
      <c r="F17" s="39">
        <f>E17/B17</f>
        <v/>
      </c>
      <c r="G17" s="36">
        <f>'5. Light fleet split'!R17</f>
        <v/>
      </c>
      <c r="H17" s="35">
        <f>G17*D17/100</f>
        <v/>
      </c>
      <c r="I17" s="35">
        <f>H17*F17</f>
        <v/>
      </c>
      <c r="J17" s="37" t="n">
        <v>1444.42303452378</v>
      </c>
      <c r="K17" s="40">
        <f>J17/'5. Light fleet split'!F17</f>
        <v/>
      </c>
      <c r="L17" s="36">
        <f>'5. Light fleet split'!S17</f>
        <v/>
      </c>
      <c r="M17" s="35">
        <f>L17*K17</f>
        <v/>
      </c>
      <c r="N17" s="37" t="n">
        <v>1208.15350381081</v>
      </c>
      <c r="O17" s="40">
        <f>N17/'5. Light fleet split'!G17</f>
        <v/>
      </c>
      <c r="P17" s="36">
        <f>'5. Light fleet split'!P17</f>
        <v/>
      </c>
      <c r="Q17" s="35">
        <f>P17*O17</f>
        <v/>
      </c>
      <c r="R17" s="37" t="n">
        <v>209.223128081942</v>
      </c>
      <c r="S17" s="40">
        <f>R17/'5. Light fleet split'!H17</f>
        <v/>
      </c>
      <c r="T17" s="36">
        <f>'5. Light fleet split'!Q17</f>
        <v/>
      </c>
      <c r="U17" s="35">
        <f>T17*S17</f>
        <v/>
      </c>
      <c r="V17" s="37" t="n">
        <v>2092.94573890766</v>
      </c>
      <c r="W17" s="37" t="n">
        <v>4367.44621705844</v>
      </c>
      <c r="X17" s="36">
        <f>SUM('4. Engine forecasts'!K50:K53)</f>
        <v/>
      </c>
      <c r="Y17" s="35">
        <f>X17*V17/W17</f>
        <v/>
      </c>
    </row>
    <row r="18">
      <c r="A18" s="14" t="n">
        <v>2038</v>
      </c>
      <c r="B18" s="37" t="n">
        <v>2196.30215452424</v>
      </c>
      <c r="C18" s="36">
        <f>'5. Light fleet split'!E18</f>
        <v/>
      </c>
      <c r="D18" s="18">
        <f>B18/C18*100</f>
        <v/>
      </c>
      <c r="E18" s="37" t="n">
        <v>2767.364948166</v>
      </c>
      <c r="F18" s="39">
        <f>E18/B18</f>
        <v/>
      </c>
      <c r="G18" s="36">
        <f>'5. Light fleet split'!R18</f>
        <v/>
      </c>
      <c r="H18" s="35">
        <f>G18*D18/100</f>
        <v/>
      </c>
      <c r="I18" s="35">
        <f>H18*F18</f>
        <v/>
      </c>
      <c r="J18" s="37" t="n">
        <v>1434.5477338374</v>
      </c>
      <c r="K18" s="40">
        <f>J18/'5. Light fleet split'!F18</f>
        <v/>
      </c>
      <c r="L18" s="36">
        <f>'5. Light fleet split'!S18</f>
        <v/>
      </c>
      <c r="M18" s="35">
        <f>L18*K18</f>
        <v/>
      </c>
      <c r="N18" s="37" t="n">
        <v>1472.30544052707</v>
      </c>
      <c r="O18" s="40">
        <f>N18/'5. Light fleet split'!G18</f>
        <v/>
      </c>
      <c r="P18" s="36">
        <f>'5. Light fleet split'!P18</f>
        <v/>
      </c>
      <c r="Q18" s="35">
        <f>P18*O18</f>
        <v/>
      </c>
      <c r="R18" s="37" t="n">
        <v>223.469428988324</v>
      </c>
      <c r="S18" s="40">
        <f>R18/'5. Light fleet split'!H18</f>
        <v/>
      </c>
      <c r="T18" s="36">
        <f>'5. Light fleet split'!Q18</f>
        <v/>
      </c>
      <c r="U18" s="35">
        <f>T18*S18</f>
        <v/>
      </c>
      <c r="V18" s="37" t="n">
        <v>2143.79370618422</v>
      </c>
      <c r="W18" s="37" t="n">
        <v>4331.55267198913</v>
      </c>
      <c r="X18" s="36">
        <f>SUM('4. Engine forecasts'!K54:K57)</f>
        <v/>
      </c>
      <c r="Y18" s="35">
        <f>X18*V18/W18</f>
        <v/>
      </c>
    </row>
    <row r="19">
      <c r="A19" s="14" t="n">
        <v>2039</v>
      </c>
      <c r="B19" s="37" t="n">
        <v>2061.27472972376</v>
      </c>
      <c r="C19" s="36">
        <f>'5. Light fleet split'!E19</f>
        <v/>
      </c>
      <c r="D19" s="18">
        <f>B19/C19*100</f>
        <v/>
      </c>
      <c r="E19" s="37" t="n">
        <v>2679.60328294049</v>
      </c>
      <c r="F19" s="39">
        <f>E19/B19</f>
        <v/>
      </c>
      <c r="G19" s="36">
        <f>'5. Light fleet split'!R19</f>
        <v/>
      </c>
      <c r="H19" s="35">
        <f>G19*D19/100</f>
        <v/>
      </c>
      <c r="I19" s="35">
        <f>H19*F19</f>
        <v/>
      </c>
      <c r="J19" s="37" t="n">
        <v>1415.15619174858</v>
      </c>
      <c r="K19" s="40">
        <f>J19/'5. Light fleet split'!F19</f>
        <v/>
      </c>
      <c r="L19" s="36">
        <f>'5. Light fleet split'!S19</f>
        <v/>
      </c>
      <c r="M19" s="35">
        <f>L19*K19</f>
        <v/>
      </c>
      <c r="N19" s="37" t="n">
        <v>1786.24132937004</v>
      </c>
      <c r="O19" s="40">
        <f>N19/'5. Light fleet split'!G19</f>
        <v/>
      </c>
      <c r="P19" s="36">
        <f>'5. Light fleet split'!P19</f>
        <v/>
      </c>
      <c r="Q19" s="35">
        <f>P19*O19</f>
        <v/>
      </c>
      <c r="R19" s="37" t="n">
        <v>237.225361250763</v>
      </c>
      <c r="S19" s="40">
        <f>R19/'5. Light fleet split'!H19</f>
        <v/>
      </c>
      <c r="T19" s="36">
        <f>'5. Light fleet split'!Q19</f>
        <v/>
      </c>
      <c r="U19" s="35">
        <f>T19*S19</f>
        <v/>
      </c>
      <c r="V19" s="37" t="n">
        <v>2191.72644614549</v>
      </c>
      <c r="W19" s="37" t="n">
        <v>4292.15867722638</v>
      </c>
      <c r="X19" s="36">
        <f>SUM('4. Engine forecasts'!K58:K61)</f>
        <v/>
      </c>
      <c r="Y19" s="35">
        <f>X19*V19/W19</f>
        <v/>
      </c>
    </row>
    <row r="20">
      <c r="A20" s="14" t="n">
        <v>2040</v>
      </c>
      <c r="B20" s="37" t="n">
        <v>1918.99711721876</v>
      </c>
      <c r="C20" s="36">
        <f>'5. Light fleet split'!E20</f>
        <v/>
      </c>
      <c r="D20" s="18">
        <f>B20/C20*100</f>
        <v/>
      </c>
      <c r="E20" s="37" t="n">
        <v>2571.28887882776</v>
      </c>
      <c r="F20" s="39">
        <f>E20/B20</f>
        <v/>
      </c>
      <c r="G20" s="36">
        <f>'5. Light fleet split'!R20</f>
        <v/>
      </c>
      <c r="H20" s="35">
        <f>G20*D20/100</f>
        <v/>
      </c>
      <c r="I20" s="35">
        <f>H20*F20</f>
        <v/>
      </c>
      <c r="J20" s="37" t="n">
        <v>1387.8202200727</v>
      </c>
      <c r="K20" s="40">
        <f>J20/'5. Light fleet split'!F20</f>
        <v/>
      </c>
      <c r="L20" s="36">
        <f>'5. Light fleet split'!S20</f>
        <v/>
      </c>
      <c r="M20" s="35">
        <f>L20*K20</f>
        <v/>
      </c>
      <c r="N20" s="37" t="n">
        <v>2153.0279249591</v>
      </c>
      <c r="O20" s="40">
        <f>N20/'5. Light fleet split'!G20</f>
        <v/>
      </c>
      <c r="P20" s="36">
        <f>'5. Light fleet split'!P20</f>
        <v/>
      </c>
      <c r="Q20" s="35">
        <f>P20*O20</f>
        <v/>
      </c>
      <c r="R20" s="37" t="n">
        <v>247.179439956936</v>
      </c>
      <c r="S20" s="40">
        <f>R20/'5. Light fleet split'!H20</f>
        <v/>
      </c>
      <c r="T20" s="36">
        <f>'5. Light fleet split'!Q20</f>
        <v/>
      </c>
      <c r="U20" s="35">
        <f>T20*S20</f>
        <v/>
      </c>
      <c r="V20" s="37" t="n">
        <v>2237.00455268575</v>
      </c>
      <c r="W20" s="37" t="n">
        <v>4250.07277106412</v>
      </c>
      <c r="X20" s="36">
        <f>SUM('4. Engine forecasts'!K62:K65)</f>
        <v/>
      </c>
      <c r="Y20" s="35">
        <f>X20*V20/W20</f>
        <v/>
      </c>
    </row>
    <row r="21">
      <c r="A21" s="14" t="n">
        <v>2041</v>
      </c>
      <c r="B21" s="37" t="n">
        <v>1772.16675120006</v>
      </c>
      <c r="C21" s="36">
        <f>'5. Light fleet split'!E21</f>
        <v/>
      </c>
      <c r="D21" s="18">
        <f>B21/C21*100</f>
        <v/>
      </c>
      <c r="E21" s="37" t="n">
        <v>2445.32935020591</v>
      </c>
      <c r="F21" s="39">
        <f>E21/B21</f>
        <v/>
      </c>
      <c r="G21" s="36">
        <f>'5. Light fleet split'!R21</f>
        <v/>
      </c>
      <c r="H21" s="35">
        <f>G21*D21/100</f>
        <v/>
      </c>
      <c r="I21" s="35">
        <f>H21*F21</f>
        <v/>
      </c>
      <c r="J21" s="37" t="n">
        <v>1357.51875757453</v>
      </c>
      <c r="K21" s="40">
        <f>J21/'5. Light fleet split'!F21</f>
        <v/>
      </c>
      <c r="L21" s="36">
        <f>'5. Light fleet split'!S21</f>
        <v/>
      </c>
      <c r="M21" s="35">
        <f>L21*K21</f>
        <v/>
      </c>
      <c r="N21" s="37" t="n">
        <v>2561.82733740386</v>
      </c>
      <c r="O21" s="40">
        <f>N21/'5. Light fleet split'!G21</f>
        <v/>
      </c>
      <c r="P21" s="36">
        <f>'5. Light fleet split'!P21</f>
        <v/>
      </c>
      <c r="Q21" s="35">
        <f>P21*O21</f>
        <v/>
      </c>
      <c r="R21" s="37" t="n">
        <v>251.278516289568</v>
      </c>
      <c r="S21" s="40">
        <f>R21/'5. Light fleet split'!H21</f>
        <v/>
      </c>
      <c r="T21" s="36">
        <f>'5. Light fleet split'!Q21</f>
        <v/>
      </c>
      <c r="U21" s="35">
        <f>T21*S21</f>
        <v/>
      </c>
      <c r="V21" s="37" t="n">
        <v>2280.09804371026</v>
      </c>
      <c r="W21" s="37" t="n">
        <v>4206.39611056122</v>
      </c>
      <c r="X21" s="36">
        <f>SUM('4. Engine forecasts'!K66:K69)</f>
        <v/>
      </c>
      <c r="Y21" s="35">
        <f>X21*V21/W21</f>
        <v/>
      </c>
    </row>
    <row r="22">
      <c r="A22" s="14" t="n">
        <v>2042</v>
      </c>
      <c r="B22" s="37" t="n">
        <v>1612.9036275764</v>
      </c>
      <c r="C22" s="36">
        <f>'5. Light fleet split'!E22</f>
        <v/>
      </c>
      <c r="D22" s="18">
        <f>B22/C22*100</f>
        <v/>
      </c>
      <c r="E22" s="37" t="n">
        <v>2290.01282736822</v>
      </c>
      <c r="F22" s="39">
        <f>E22/B22</f>
        <v/>
      </c>
      <c r="G22" s="36">
        <f>'5. Light fleet split'!R22</f>
        <v/>
      </c>
      <c r="H22" s="35">
        <f>G22*D22/100</f>
        <v/>
      </c>
      <c r="I22" s="35">
        <f>H22*F22</f>
        <v/>
      </c>
      <c r="J22" s="37" t="n">
        <v>1319.30902357917</v>
      </c>
      <c r="K22" s="40">
        <f>J22/'5. Light fleet split'!F22</f>
        <v/>
      </c>
      <c r="L22" s="36">
        <f>'5. Light fleet split'!S22</f>
        <v/>
      </c>
      <c r="M22" s="35">
        <f>L22*K22</f>
        <v/>
      </c>
      <c r="N22" s="37" t="n">
        <v>3008.76402757176</v>
      </c>
      <c r="O22" s="40">
        <f>N22/'5. Light fleet split'!G22</f>
        <v/>
      </c>
      <c r="P22" s="36">
        <f>'5. Light fleet split'!P22</f>
        <v/>
      </c>
      <c r="Q22" s="35">
        <f>P22*O22</f>
        <v/>
      </c>
      <c r="R22" s="37" t="n">
        <v>253.541851574394</v>
      </c>
      <c r="S22" s="40">
        <f>R22/'5. Light fleet split'!H22</f>
        <v/>
      </c>
      <c r="T22" s="36">
        <f>'5. Light fleet split'!Q22</f>
        <v/>
      </c>
      <c r="U22" s="35">
        <f>T22*S22</f>
        <v/>
      </c>
      <c r="V22" s="37" t="n">
        <v>2321.4524711287</v>
      </c>
      <c r="W22" s="37" t="n">
        <v>4162.09923825426</v>
      </c>
      <c r="X22" s="36">
        <f>SUM('4. Engine forecasts'!K70:K73)</f>
        <v/>
      </c>
      <c r="Y22" s="35">
        <f>X22*V22/W22</f>
        <v/>
      </c>
    </row>
    <row r="23">
      <c r="A23" s="14" t="n">
        <v>2043</v>
      </c>
      <c r="B23" s="37" t="n">
        <v>1455.56004539805</v>
      </c>
      <c r="C23" s="36">
        <f>'5. Light fleet split'!E23</f>
        <v/>
      </c>
      <c r="D23" s="18">
        <f>B23/C23*100</f>
        <v/>
      </c>
      <c r="E23" s="37" t="n">
        <v>2124.86293562035</v>
      </c>
      <c r="F23" s="39">
        <f>E23/B23</f>
        <v/>
      </c>
      <c r="G23" s="36">
        <f>'5. Light fleet split'!R23</f>
        <v/>
      </c>
      <c r="H23" s="35">
        <f>G23*D23/100</f>
        <v/>
      </c>
      <c r="I23" s="35">
        <f>H23*F23</f>
        <v/>
      </c>
      <c r="J23" s="37" t="n">
        <v>1280.08617473179</v>
      </c>
      <c r="K23" s="40">
        <f>J23/'5. Light fleet split'!F23</f>
        <v/>
      </c>
      <c r="L23" s="36">
        <f>'5. Light fleet split'!S23</f>
        <v/>
      </c>
      <c r="M23" s="35">
        <f>L23*K23</f>
        <v/>
      </c>
      <c r="N23" s="37" t="n">
        <v>3472.7959487599</v>
      </c>
      <c r="O23" s="40">
        <f>N23/'5. Light fleet split'!G23</f>
        <v/>
      </c>
      <c r="P23" s="36">
        <f>'5. Light fleet split'!P23</f>
        <v/>
      </c>
      <c r="Q23" s="35">
        <f>P23*O23</f>
        <v/>
      </c>
      <c r="R23" s="37" t="n">
        <v>254.300289378611</v>
      </c>
      <c r="S23" s="40">
        <f>R23/'5. Light fleet split'!H23</f>
        <v/>
      </c>
      <c r="T23" s="36">
        <f>'5. Light fleet split'!Q23</f>
        <v/>
      </c>
      <c r="U23" s="35">
        <f>T23*S23</f>
        <v/>
      </c>
      <c r="V23" s="37" t="n">
        <v>2359.10129003576</v>
      </c>
      <c r="W23" s="37" t="n">
        <v>4113.76682105405</v>
      </c>
      <c r="X23" s="36">
        <f>SUM('4. Engine forecasts'!K74:K77)</f>
        <v/>
      </c>
      <c r="Y23" s="35">
        <f>X23*V23/W23</f>
        <v/>
      </c>
    </row>
    <row r="24">
      <c r="A24" s="14" t="n">
        <v>2044</v>
      </c>
      <c r="B24" s="37" t="n">
        <v>1308.24608415523</v>
      </c>
      <c r="C24" s="36">
        <f>'5. Light fleet split'!E24</f>
        <v/>
      </c>
      <c r="D24" s="18">
        <f>B24/C24*100</f>
        <v/>
      </c>
      <c r="E24" s="37" t="n">
        <v>1962.12842242206</v>
      </c>
      <c r="F24" s="39">
        <f>E24/B24</f>
        <v/>
      </c>
      <c r="G24" s="36">
        <f>'5. Light fleet split'!R24</f>
        <v/>
      </c>
      <c r="H24" s="35">
        <f>G24*D24/100</f>
        <v/>
      </c>
      <c r="I24" s="35">
        <f>H24*F24</f>
        <v/>
      </c>
      <c r="J24" s="37" t="n">
        <v>1240.3969481907</v>
      </c>
      <c r="K24" s="40">
        <f>J24/'5. Light fleet split'!F24</f>
        <v/>
      </c>
      <c r="L24" s="36">
        <f>'5. Light fleet split'!S24</f>
        <v/>
      </c>
      <c r="M24" s="35">
        <f>L24*K24</f>
        <v/>
      </c>
      <c r="N24" s="37" t="n">
        <v>3927.97404130812</v>
      </c>
      <c r="O24" s="40">
        <f>N24/'5. Light fleet split'!G24</f>
        <v/>
      </c>
      <c r="P24" s="36">
        <f>'5. Light fleet split'!P24</f>
        <v/>
      </c>
      <c r="Q24" s="35">
        <f>P24*O24</f>
        <v/>
      </c>
      <c r="R24" s="37" t="n">
        <v>253.965440260185</v>
      </c>
      <c r="S24" s="40">
        <f>R24/'5. Light fleet split'!H24</f>
        <v/>
      </c>
      <c r="T24" s="36">
        <f>'5. Light fleet split'!Q24</f>
        <v/>
      </c>
      <c r="U24" s="35">
        <f>T24*S24</f>
        <v/>
      </c>
      <c r="V24" s="37" t="n">
        <v>2393.8529215994</v>
      </c>
      <c r="W24" s="37" t="n">
        <v>4063.0592295997</v>
      </c>
      <c r="X24" s="36">
        <f>SUM('4. Engine forecasts'!K78:K81)</f>
        <v/>
      </c>
      <c r="Y24" s="35">
        <f>X24*V24/W24</f>
        <v/>
      </c>
    </row>
    <row r="25">
      <c r="A25" s="14" t="n">
        <v>2045</v>
      </c>
      <c r="B25" s="37" t="n">
        <v>1172.96852286038</v>
      </c>
      <c r="C25" s="36">
        <f>'5. Light fleet split'!E25</f>
        <v/>
      </c>
      <c r="D25" s="18">
        <f>B25/C25*100</f>
        <v/>
      </c>
      <c r="E25" s="37" t="n">
        <v>1806.11937901037</v>
      </c>
      <c r="F25" s="39">
        <f>E25/B25</f>
        <v/>
      </c>
      <c r="G25" s="36">
        <f>'5. Light fleet split'!R25</f>
        <v/>
      </c>
      <c r="H25" s="35">
        <f>G25*D25/100</f>
        <v/>
      </c>
      <c r="I25" s="35">
        <f>H25*F25</f>
        <v/>
      </c>
      <c r="J25" s="37" t="n">
        <v>1201.54236189156</v>
      </c>
      <c r="K25" s="40">
        <f>J25/'5. Light fleet split'!F25</f>
        <v/>
      </c>
      <c r="L25" s="36">
        <f>'5. Light fleet split'!S25</f>
        <v/>
      </c>
      <c r="M25" s="35">
        <f>L25*K25</f>
        <v/>
      </c>
      <c r="N25" s="37" t="n">
        <v>4382.26487557937</v>
      </c>
      <c r="O25" s="40">
        <f>N25/'5. Light fleet split'!G25</f>
        <v/>
      </c>
      <c r="P25" s="36">
        <f>'5. Light fleet split'!P25</f>
        <v/>
      </c>
      <c r="Q25" s="35">
        <f>P25*O25</f>
        <v/>
      </c>
      <c r="R25" s="37" t="n">
        <v>252.575331213999</v>
      </c>
      <c r="S25" s="40">
        <f>R25/'5. Light fleet split'!H25</f>
        <v/>
      </c>
      <c r="T25" s="36">
        <f>'5. Light fleet split'!Q25</f>
        <v/>
      </c>
      <c r="U25" s="35">
        <f>T25*S25</f>
        <v/>
      </c>
      <c r="V25" s="37" t="n">
        <v>2425.76993039776</v>
      </c>
      <c r="W25" s="37" t="n">
        <v>4010.29936334635</v>
      </c>
      <c r="X25" s="36">
        <f>SUM('4. Engine forecasts'!K82:K85)</f>
        <v/>
      </c>
      <c r="Y25" s="35">
        <f>X25*V25/W25</f>
        <v/>
      </c>
    </row>
    <row r="26">
      <c r="A26" s="14" t="n">
        <v>2046</v>
      </c>
      <c r="B26" s="37" t="n">
        <v>1050.52058396656</v>
      </c>
      <c r="C26" s="36">
        <f>'5. Light fleet split'!E26</f>
        <v/>
      </c>
      <c r="D26" s="18">
        <f>B26/C26*100</f>
        <v/>
      </c>
      <c r="E26" s="37" t="n">
        <v>1659.55467711814</v>
      </c>
      <c r="F26" s="39">
        <f>E26/B26</f>
        <v/>
      </c>
      <c r="G26" s="36">
        <f>'5. Light fleet split'!R26</f>
        <v/>
      </c>
      <c r="H26" s="35">
        <f>G26*D26/100</f>
        <v/>
      </c>
      <c r="I26" s="35">
        <f>H26*F26</f>
        <v/>
      </c>
      <c r="J26" s="37" t="n">
        <v>1162.43666089883</v>
      </c>
      <c r="K26" s="40">
        <f>J26/'5. Light fleet split'!F26</f>
        <v/>
      </c>
      <c r="L26" s="36">
        <f>'5. Light fleet split'!S26</f>
        <v/>
      </c>
      <c r="M26" s="35">
        <f>L26*K26</f>
        <v/>
      </c>
      <c r="N26" s="37" t="n">
        <v>4862.04151332838</v>
      </c>
      <c r="O26" s="40">
        <f>N26/'5. Light fleet split'!G26</f>
        <v/>
      </c>
      <c r="P26" s="36">
        <f>'5. Light fleet split'!P26</f>
        <v/>
      </c>
      <c r="Q26" s="35">
        <f>P26*O26</f>
        <v/>
      </c>
      <c r="R26" s="37" t="n">
        <v>250.449516588739</v>
      </c>
      <c r="S26" s="40">
        <f>R26/'5. Light fleet split'!H26</f>
        <v/>
      </c>
      <c r="T26" s="36">
        <f>'5. Light fleet split'!Q26</f>
        <v/>
      </c>
      <c r="U26" s="35">
        <f>T26*S26</f>
        <v/>
      </c>
      <c r="V26" s="37" t="n">
        <v>2453.00842644178</v>
      </c>
      <c r="W26" s="37" t="n">
        <v>3952.67191395642</v>
      </c>
      <c r="X26" s="36">
        <f>SUM('4. Engine forecasts'!K86:K89)</f>
        <v/>
      </c>
      <c r="Y26" s="35">
        <f>X26*V26/W26</f>
        <v/>
      </c>
    </row>
    <row r="27">
      <c r="A27" s="14" t="n">
        <v>2047</v>
      </c>
      <c r="B27" s="37" t="n">
        <v>939.986215553904</v>
      </c>
      <c r="C27" s="36">
        <f>'5. Light fleet split'!E27</f>
        <v/>
      </c>
      <c r="D27" s="18">
        <f>B27/C27*100</f>
        <v/>
      </c>
      <c r="E27" s="37" t="n">
        <v>1522.51371199827</v>
      </c>
      <c r="F27" s="39">
        <f>E27/B27</f>
        <v/>
      </c>
      <c r="G27" s="36">
        <f>'5. Light fleet split'!R27</f>
        <v/>
      </c>
      <c r="H27" s="35">
        <f>G27*D27/100</f>
        <v/>
      </c>
      <c r="I27" s="35">
        <f>H27*F27</f>
        <v/>
      </c>
      <c r="J27" s="37" t="n">
        <v>1122.91666572422</v>
      </c>
      <c r="K27" s="40">
        <f>J27/'5. Light fleet split'!F27</f>
        <v/>
      </c>
      <c r="L27" s="36">
        <f>'5. Light fleet split'!S27</f>
        <v/>
      </c>
      <c r="M27" s="35">
        <f>L27*K27</f>
        <v/>
      </c>
      <c r="N27" s="37" t="n">
        <v>5354.10981215937</v>
      </c>
      <c r="O27" s="40">
        <f>N27/'5. Light fleet split'!G27</f>
        <v/>
      </c>
      <c r="P27" s="36">
        <f>'5. Light fleet split'!P27</f>
        <v/>
      </c>
      <c r="Q27" s="35">
        <f>P27*O27</f>
        <v/>
      </c>
      <c r="R27" s="37" t="n">
        <v>247.944763385955</v>
      </c>
      <c r="S27" s="40">
        <f>R27/'5. Light fleet split'!H27</f>
        <v/>
      </c>
      <c r="T27" s="36">
        <f>'5. Light fleet split'!Q27</f>
        <v/>
      </c>
      <c r="U27" s="35">
        <f>T27*S27</f>
        <v/>
      </c>
      <c r="V27" s="37" t="n">
        <v>2476.31154844859</v>
      </c>
      <c r="W27" s="37" t="n">
        <v>3891.70531183723</v>
      </c>
      <c r="X27" s="36">
        <f>SUM('4. Engine forecasts'!K90:K93)</f>
        <v/>
      </c>
      <c r="Y27" s="35">
        <f>X27*V27/W27</f>
        <v/>
      </c>
    </row>
    <row r="28">
      <c r="A28" s="14" t="n">
        <v>2048</v>
      </c>
      <c r="B28" s="37" t="n">
        <v>841.589280474823</v>
      </c>
      <c r="C28" s="36">
        <f>'5. Light fleet split'!E28</f>
        <v/>
      </c>
      <c r="D28" s="18">
        <f>B28/C28*100</f>
        <v/>
      </c>
      <c r="E28" s="37" t="n">
        <v>1396.81538568352</v>
      </c>
      <c r="F28" s="39">
        <f>E28/B28</f>
        <v/>
      </c>
      <c r="G28" s="36">
        <f>'5. Light fleet split'!R28</f>
        <v/>
      </c>
      <c r="H28" s="35">
        <f>G28*D28/100</f>
        <v/>
      </c>
      <c r="I28" s="35">
        <f>H28*F28</f>
        <v/>
      </c>
      <c r="J28" s="37" t="n">
        <v>1082.74654767952</v>
      </c>
      <c r="K28" s="40">
        <f>J28/'5. Light fleet split'!F28</f>
        <v/>
      </c>
      <c r="L28" s="36">
        <f>'5. Light fleet split'!S28</f>
        <v/>
      </c>
      <c r="M28" s="35">
        <f>L28*K28</f>
        <v/>
      </c>
      <c r="N28" s="37" t="n">
        <v>5873.68082204803</v>
      </c>
      <c r="O28" s="40">
        <f>N28/'5. Light fleet split'!G28</f>
        <v/>
      </c>
      <c r="P28" s="36">
        <f>'5. Light fleet split'!P28</f>
        <v/>
      </c>
      <c r="Q28" s="35">
        <f>P28*O28</f>
        <v/>
      </c>
      <c r="R28" s="37" t="n">
        <v>245.699541225759</v>
      </c>
      <c r="S28" s="40">
        <f>R28/'5. Light fleet split'!H28</f>
        <v/>
      </c>
      <c r="T28" s="36">
        <f>'5. Light fleet split'!Q28</f>
        <v/>
      </c>
      <c r="U28" s="35">
        <f>T28*S28</f>
        <v/>
      </c>
      <c r="V28" s="37" t="n">
        <v>2495.59509402488</v>
      </c>
      <c r="W28" s="37" t="n">
        <v>3827.51178120883</v>
      </c>
      <c r="X28" s="36">
        <f>SUM('4. Engine forecasts'!K94:K97)</f>
        <v/>
      </c>
      <c r="Y28" s="35">
        <f>X28*V28/W28</f>
        <v/>
      </c>
    </row>
    <row r="29">
      <c r="A29" s="14" t="n">
        <v>2049</v>
      </c>
      <c r="B29" s="37" t="n">
        <v>753.045267153356</v>
      </c>
      <c r="C29" s="36">
        <f>'5. Light fleet split'!E29</f>
        <v/>
      </c>
      <c r="D29" s="18">
        <f>B29/C29*100</f>
        <v/>
      </c>
      <c r="E29" s="37" t="n">
        <v>1279.97935442894</v>
      </c>
      <c r="F29" s="39">
        <f>E29/B29</f>
        <v/>
      </c>
      <c r="G29" s="36">
        <f>'5. Light fleet split'!R29</f>
        <v/>
      </c>
      <c r="H29" s="35">
        <f>G29*D29/100</f>
        <v/>
      </c>
      <c r="I29" s="35">
        <f>H29*F29</f>
        <v/>
      </c>
      <c r="J29" s="37" t="n">
        <v>1041.39806262587</v>
      </c>
      <c r="K29" s="40">
        <f>J29/'5. Light fleet split'!F29</f>
        <v/>
      </c>
      <c r="L29" s="36">
        <f>'5. Light fleet split'!S29</f>
        <v/>
      </c>
      <c r="M29" s="35">
        <f>L29*K29</f>
        <v/>
      </c>
      <c r="N29" s="37" t="n">
        <v>6380.74849043867</v>
      </c>
      <c r="O29" s="40">
        <f>N29/'5. Light fleet split'!G29</f>
        <v/>
      </c>
      <c r="P29" s="36">
        <f>'5. Light fleet split'!P29</f>
        <v/>
      </c>
      <c r="Q29" s="35">
        <f>P29*O29</f>
        <v/>
      </c>
      <c r="R29" s="37" t="n">
        <v>242.830096474358</v>
      </c>
      <c r="S29" s="40">
        <f>R29/'5. Light fleet split'!H29</f>
        <v/>
      </c>
      <c r="T29" s="36">
        <f>'5. Light fleet split'!Q29</f>
        <v/>
      </c>
      <c r="U29" s="35">
        <f>T29*S29</f>
        <v/>
      </c>
      <c r="V29" s="37" t="n">
        <v>2510.71185668179</v>
      </c>
      <c r="W29" s="37" t="n">
        <v>3760.09862845001</v>
      </c>
      <c r="X29" s="36">
        <f>SUM('4. Engine forecasts'!K98:K101)</f>
        <v/>
      </c>
      <c r="Y29" s="35">
        <f>X29*V29/W29</f>
        <v/>
      </c>
    </row>
    <row r="30">
      <c r="A30" s="14" t="n">
        <v>2050</v>
      </c>
      <c r="B30" s="37" t="n">
        <v>673.368126706594</v>
      </c>
      <c r="C30" s="36">
        <f>'5. Light fleet split'!E30</f>
        <v/>
      </c>
      <c r="D30" s="18">
        <f>B30/C30*100</f>
        <v/>
      </c>
      <c r="E30" s="37" t="n">
        <v>1171.50816887837</v>
      </c>
      <c r="F30" s="39">
        <f>E30/B30</f>
        <v/>
      </c>
      <c r="G30" s="36">
        <f>'5. Light fleet split'!R30</f>
        <v/>
      </c>
      <c r="H30" s="35">
        <f>G30*D30/100</f>
        <v/>
      </c>
      <c r="I30" s="35">
        <f>H30*F30</f>
        <v/>
      </c>
      <c r="J30" s="37" t="n">
        <v>999.260459284699</v>
      </c>
      <c r="K30" s="40">
        <f>J30/'5. Light fleet split'!F30</f>
        <v/>
      </c>
      <c r="L30" s="36">
        <f>'5. Light fleet split'!S30</f>
        <v/>
      </c>
      <c r="M30" s="35">
        <f>L30*K30</f>
        <v/>
      </c>
      <c r="N30" s="37" t="n">
        <v>6855.01700437808</v>
      </c>
      <c r="O30" s="40">
        <f>N30/'5. Light fleet split'!G30</f>
        <v/>
      </c>
      <c r="P30" s="36">
        <f>'5. Light fleet split'!P30</f>
        <v/>
      </c>
      <c r="Q30" s="35">
        <f>P30*O30</f>
        <v/>
      </c>
      <c r="R30" s="37" t="n">
        <v>238.9436521442</v>
      </c>
      <c r="S30" s="40">
        <f>R30/'5. Light fleet split'!H30</f>
        <v/>
      </c>
      <c r="T30" s="36">
        <f>'5. Light fleet split'!Q30</f>
        <v/>
      </c>
      <c r="U30" s="35">
        <f>T30*S30</f>
        <v/>
      </c>
      <c r="V30" s="37" t="n">
        <v>2523.10499503596</v>
      </c>
      <c r="W30" s="37" t="n">
        <v>3691.79950549205</v>
      </c>
      <c r="X30" s="36">
        <f>SUM('4. Engine forecasts'!K102:K105)</f>
        <v/>
      </c>
      <c r="Y30" s="35">
        <f>X30*V30/W30</f>
        <v/>
      </c>
    </row>
    <row r="32">
      <c r="A32" s="2" t="inlineStr">
        <is>
          <t>MBU26 source cells per year, e.g. FY2030: petrol litres AF15, petrol duty revenue AF45, conventional RUC revenue AF33 / km AF10, BEV AF35/AF12, PHEV AF37/AF14, heavy AF34/AF11 (column letter advances one per June year on the MBU26 sheet). The effective duty rate steps up in FY2027 (+6c legislated) and FY2028 (+12c) because MoT's own revenue line prices the legislated path.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3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1" t="inlineStr">
        <is>
          <t>Rolling up to the National Land Transport Fund</t>
        </is>
      </c>
    </row>
    <row r="2">
      <c r="A2" s="2" t="inlineStr">
        <is>
          <t>Modelled lines (green) plus the MBU26 lines we do not model (blue: LPG/CNG, refunds, admin fees, registration, track-user charge) combine through the standard fund identities.</t>
        </is>
      </c>
    </row>
    <row r="4">
      <c r="A4" s="3" t="inlineStr">
        <is>
          <t>Per June year, $m nominal ex GST. Blue inputs quote MBU26 rows 36-63</t>
        </is>
      </c>
      <c r="B4" s="4" t="n"/>
      <c r="C4" s="4" t="n"/>
      <c r="D4" s="4" t="n"/>
      <c r="E4" s="4" t="n"/>
      <c r="F4" s="4" t="n"/>
      <c r="G4" s="4" t="n"/>
      <c r="H4" s="4" t="n"/>
      <c r="I4" s="4" t="n"/>
      <c r="J4" s="4" t="n"/>
      <c r="K4" s="4" t="n"/>
      <c r="L4" s="4" t="n"/>
      <c r="M4" s="4" t="n"/>
      <c r="N4" s="4" t="n"/>
      <c r="O4" s="4" t="n"/>
      <c r="P4" s="4" t="n"/>
      <c r="Q4" s="4" t="n"/>
      <c r="R4" s="4" t="n"/>
      <c r="S4" s="4" t="n"/>
      <c r="T4" s="4" t="n"/>
      <c r="U4" s="4" t="n"/>
      <c r="V4" s="4" t="n"/>
      <c r="W4" s="4" t="n"/>
      <c r="X4" s="4" t="n"/>
    </row>
    <row r="5">
      <c r="A5" s="13" t="inlineStr">
        <is>
          <t>June year</t>
        </is>
      </c>
      <c r="B5" s="13" t="inlineStr">
        <is>
          <t>Petrol duty (ours)</t>
        </is>
      </c>
      <c r="C5" s="13" t="inlineStr">
        <is>
          <t>LPG (MBU26)</t>
        </is>
      </c>
      <c r="D5" s="13" t="inlineStr">
        <is>
          <t>CNG (MBU26)</t>
        </is>
      </c>
      <c r="E5" s="13" t="inlineStr">
        <is>
          <t>Gross fuel excise = sum</t>
        </is>
      </c>
      <c r="F5" s="13" t="inlineStr">
        <is>
          <t>Fuel refunds (MBU26)</t>
        </is>
      </c>
      <c r="G5" s="13" t="inlineStr">
        <is>
          <t>Net fuel excise</t>
        </is>
      </c>
      <c r="H5" s="13" t="inlineStr">
        <is>
          <t>Conventional RUC (ours)</t>
        </is>
      </c>
      <c r="I5" s="13" t="inlineStr">
        <is>
          <t>BEV RUC (ours)</t>
        </is>
      </c>
      <c r="J5" s="13" t="inlineStr">
        <is>
          <t>PHEV RUC (ours)</t>
        </is>
      </c>
      <c r="K5" s="13" t="inlineStr">
        <is>
          <t>Heavy RUC (ours)</t>
        </is>
      </c>
      <c r="L5" s="13" t="inlineStr">
        <is>
          <t>Heavy BEV RUC (MBU26)</t>
        </is>
      </c>
      <c r="M5" s="13" t="inlineStr">
        <is>
          <t>RUC refunds (MBU26)</t>
        </is>
      </c>
      <c r="N5" s="13" t="inlineStr">
        <is>
          <t>Gross RUC = sum + refunds back</t>
        </is>
      </c>
      <c r="O5" s="13" t="inlineStr">
        <is>
          <t>RUC admin fees (MBU26)</t>
        </is>
      </c>
      <c r="P5" s="13" t="inlineStr">
        <is>
          <t>Net RUC</t>
        </is>
      </c>
      <c r="Q5" s="13" t="inlineStr">
        <is>
          <t>Registration MR1+MR2 (MBU26)</t>
        </is>
      </c>
      <c r="R5" s="13" t="inlineStr">
        <is>
          <t>Registration admin (MBU26)</t>
        </is>
      </c>
      <c r="S5" s="13" t="inlineStr">
        <is>
          <t>Registration refunds (MBU26)</t>
        </is>
      </c>
      <c r="T5" s="13" t="inlineStr">
        <is>
          <t>Net registration</t>
        </is>
      </c>
      <c r="U5" s="13" t="inlineStr">
        <is>
          <t>Certificate of ownership (MBU26)</t>
        </is>
      </c>
      <c r="V5" s="13" t="inlineStr">
        <is>
          <t>Track user charge (MBU26)</t>
        </is>
      </c>
      <c r="W5" s="13" t="inlineStr">
        <is>
          <t>Total NLTF = net fuel + net RUC + net rego + TUC</t>
        </is>
      </c>
      <c r="X5" s="13" t="inlineStr">
        <is>
          <t>Cross-check: gross-to-net identity</t>
        </is>
      </c>
    </row>
    <row r="6">
      <c r="A6" s="14" t="n">
        <v>2026</v>
      </c>
      <c r="B6" s="36">
        <f>'6. Rates &amp; revenue'!I6</f>
        <v/>
      </c>
      <c r="C6" s="37" t="n">
        <v>42.0451626401906</v>
      </c>
      <c r="D6" s="37" t="n">
        <v>0</v>
      </c>
      <c r="E6" s="35">
        <f>B6+C6+D6</f>
        <v/>
      </c>
      <c r="F6" s="37" t="n">
        <v>73.2675246956005</v>
      </c>
      <c r="G6" s="35">
        <f>E6-F6</f>
        <v/>
      </c>
      <c r="H6" s="36">
        <f>'6. Rates &amp; revenue'!M6</f>
        <v/>
      </c>
      <c r="I6" s="36">
        <f>'6. Rates &amp; revenue'!Q6</f>
        <v/>
      </c>
      <c r="J6" s="36">
        <f>'6. Rates &amp; revenue'!U6</f>
        <v/>
      </c>
      <c r="K6" s="36">
        <f>'6. Rates &amp; revenue'!Y6</f>
        <v/>
      </c>
      <c r="L6" s="37" t="n">
        <v>0</v>
      </c>
      <c r="M6" s="37" t="n">
        <v>67.8850340031132</v>
      </c>
      <c r="N6" s="35">
        <f>SUM(H6:M6)</f>
        <v/>
      </c>
      <c r="O6" s="37" t="n">
        <v>34.57087120608</v>
      </c>
      <c r="P6" s="35">
        <f>N6-O6-M6</f>
        <v/>
      </c>
      <c r="Q6" s="37" t="n">
        <v>499.5565306356284</v>
      </c>
      <c r="R6" s="37" t="n">
        <v>72.71056741927249</v>
      </c>
      <c r="S6" s="37" t="n">
        <v>1.71676968776402</v>
      </c>
      <c r="T6" s="35">
        <f>Q6-R6-S6</f>
        <v/>
      </c>
      <c r="U6" s="37" t="n">
        <v>0</v>
      </c>
      <c r="V6" s="37" t="n">
        <v>17.4060774864124</v>
      </c>
      <c r="W6" s="35">
        <f>G6+P6+T6+V6</f>
        <v/>
      </c>
      <c r="X6" s="38">
        <f>(E6+N6+Q6+U6+V6)-(O6+R6+U6)-(F6+M6+S6)-W6</f>
        <v/>
      </c>
    </row>
    <row r="7">
      <c r="A7" s="14" t="n">
        <v>2027</v>
      </c>
      <c r="B7" s="36">
        <f>'6. Rates &amp; revenue'!I7</f>
        <v/>
      </c>
      <c r="C7" s="37" t="n">
        <v>42.6326898203412</v>
      </c>
      <c r="D7" s="37" t="n">
        <v>0</v>
      </c>
      <c r="E7" s="35">
        <f>B7+C7+D7</f>
        <v/>
      </c>
      <c r="F7" s="37" t="n">
        <v>82.10496190395649</v>
      </c>
      <c r="G7" s="35">
        <f>E7-F7</f>
        <v/>
      </c>
      <c r="H7" s="36">
        <f>'6. Rates &amp; revenue'!M7</f>
        <v/>
      </c>
      <c r="I7" s="36">
        <f>'6. Rates &amp; revenue'!Q7</f>
        <v/>
      </c>
      <c r="J7" s="36">
        <f>'6. Rates &amp; revenue'!U7</f>
        <v/>
      </c>
      <c r="K7" s="36">
        <f>'6. Rates &amp; revenue'!Y7</f>
        <v/>
      </c>
      <c r="L7" s="37" t="n">
        <v>0</v>
      </c>
      <c r="M7" s="37" t="n">
        <v>79.5158512577278</v>
      </c>
      <c r="N7" s="35">
        <f>SUM(H7:M7)</f>
        <v/>
      </c>
      <c r="O7" s="37" t="n">
        <v>35.7378757668996</v>
      </c>
      <c r="P7" s="35">
        <f>N7-O7-M7</f>
        <v/>
      </c>
      <c r="Q7" s="37" t="n">
        <v>570.3439955500369</v>
      </c>
      <c r="R7" s="37" t="n">
        <v>72.25847674119591</v>
      </c>
      <c r="S7" s="37" t="n">
        <v>1.93576665839146</v>
      </c>
      <c r="T7" s="35">
        <f>Q7-R7-S7</f>
        <v/>
      </c>
      <c r="U7" s="37" t="n">
        <v>0</v>
      </c>
      <c r="V7" s="37" t="n">
        <v>17.5578996928248</v>
      </c>
      <c r="W7" s="35">
        <f>G7+P7+T7+V7</f>
        <v/>
      </c>
      <c r="X7" s="38">
        <f>(E7+N7+Q7+U7+V7)-(O7+R7+U7)-(F7+M7+S7)-W7</f>
        <v/>
      </c>
    </row>
    <row r="8">
      <c r="A8" s="14" t="n">
        <v>2028</v>
      </c>
      <c r="B8" s="36">
        <f>'6. Rates &amp; revenue'!I8</f>
        <v/>
      </c>
      <c r="C8" s="37" t="n">
        <v>42.8533768621873</v>
      </c>
      <c r="D8" s="37" t="n">
        <v>0</v>
      </c>
      <c r="E8" s="35">
        <f>B8+C8+D8</f>
        <v/>
      </c>
      <c r="F8" s="37" t="n">
        <v>92.1117150014535</v>
      </c>
      <c r="G8" s="35">
        <f>E8-F8</f>
        <v/>
      </c>
      <c r="H8" s="36">
        <f>'6. Rates &amp; revenue'!M8</f>
        <v/>
      </c>
      <c r="I8" s="36">
        <f>'6. Rates &amp; revenue'!Q8</f>
        <v/>
      </c>
      <c r="J8" s="36">
        <f>'6. Rates &amp; revenue'!U8</f>
        <v/>
      </c>
      <c r="K8" s="36">
        <f>'6. Rates &amp; revenue'!Y8</f>
        <v/>
      </c>
      <c r="L8" s="37" t="n">
        <v>20.2030363135059</v>
      </c>
      <c r="M8" s="37" t="n">
        <v>92.54674172396911</v>
      </c>
      <c r="N8" s="35">
        <f>SUM(H8:M8)</f>
        <v/>
      </c>
      <c r="O8" s="37" t="n">
        <v>37.7898168481218</v>
      </c>
      <c r="P8" s="35">
        <f>N8-O8-M8</f>
        <v/>
      </c>
      <c r="Q8" s="37" t="n">
        <v>564.0759078180181</v>
      </c>
      <c r="R8" s="37" t="n">
        <v>71.8861735118593</v>
      </c>
      <c r="S8" s="37" t="n">
        <v>1.93922402957318</v>
      </c>
      <c r="T8" s="35">
        <f>Q8-R8-S8</f>
        <v/>
      </c>
      <c r="U8" s="37" t="n">
        <v>0</v>
      </c>
      <c r="V8" s="37" t="n">
        <v>17.5578996928248</v>
      </c>
      <c r="W8" s="35">
        <f>G8+P8+T8+V8</f>
        <v/>
      </c>
      <c r="X8" s="38">
        <f>(E8+N8+Q8+U8+V8)-(O8+R8+U8)-(F8+M8+S8)-W8</f>
        <v/>
      </c>
    </row>
    <row r="9">
      <c r="A9" s="14" t="n">
        <v>2029</v>
      </c>
      <c r="B9" s="36">
        <f>'6. Rates &amp; revenue'!I9</f>
        <v/>
      </c>
      <c r="C9" s="37" t="n">
        <v>43.0565466561107</v>
      </c>
      <c r="D9" s="37" t="n">
        <v>0</v>
      </c>
      <c r="E9" s="35">
        <f>B9+C9+D9</f>
        <v/>
      </c>
      <c r="F9" s="37" t="n">
        <v>97.83051679470179</v>
      </c>
      <c r="G9" s="35">
        <f>E9-F9</f>
        <v/>
      </c>
      <c r="H9" s="36">
        <f>'6. Rates &amp; revenue'!M9</f>
        <v/>
      </c>
      <c r="I9" s="36">
        <f>'6. Rates &amp; revenue'!Q9</f>
        <v/>
      </c>
      <c r="J9" s="36">
        <f>'6. Rates &amp; revenue'!U9</f>
        <v/>
      </c>
      <c r="K9" s="36">
        <f>'6. Rates &amp; revenue'!Y9</f>
        <v/>
      </c>
      <c r="L9" s="37" t="n">
        <v>26.0839002326657</v>
      </c>
      <c r="M9" s="37" t="n">
        <v>102.088910316411</v>
      </c>
      <c r="N9" s="35">
        <f>SUM(H9:M9)</f>
        <v/>
      </c>
      <c r="O9" s="37" t="n">
        <v>40.0918773715206</v>
      </c>
      <c r="P9" s="35">
        <f>N9-O9-M9</f>
        <v/>
      </c>
      <c r="Q9" s="37" t="n">
        <v>558.3078428659381</v>
      </c>
      <c r="R9" s="37" t="n">
        <v>71.5205705630239</v>
      </c>
      <c r="S9" s="37" t="n">
        <v>1.94416230921848</v>
      </c>
      <c r="T9" s="35">
        <f>Q9-R9-S9</f>
        <v/>
      </c>
      <c r="U9" s="37" t="n">
        <v>0</v>
      </c>
      <c r="V9" s="37" t="n">
        <v>17.5578996928248</v>
      </c>
      <c r="W9" s="35">
        <f>G9+P9+T9+V9</f>
        <v/>
      </c>
      <c r="X9" s="38">
        <f>(E9+N9+Q9+U9+V9)-(O9+R9+U9)-(F9+M9+S9)-W9</f>
        <v/>
      </c>
    </row>
    <row r="10">
      <c r="A10" s="14" t="n">
        <v>2030</v>
      </c>
      <c r="B10" s="36">
        <f>'6. Rates &amp; revenue'!I10</f>
        <v/>
      </c>
      <c r="C10" s="37" t="n">
        <v>43.2447778470936</v>
      </c>
      <c r="D10" s="37" t="n">
        <v>0</v>
      </c>
      <c r="E10" s="35">
        <f>B10+C10+D10</f>
        <v/>
      </c>
      <c r="F10" s="37" t="n">
        <v>102.412992390514</v>
      </c>
      <c r="G10" s="35">
        <f>E10-F10</f>
        <v/>
      </c>
      <c r="H10" s="36">
        <f>'6. Rates &amp; revenue'!M10</f>
        <v/>
      </c>
      <c r="I10" s="36">
        <f>'6. Rates &amp; revenue'!Q10</f>
        <v/>
      </c>
      <c r="J10" s="36">
        <f>'6. Rates &amp; revenue'!U10</f>
        <v/>
      </c>
      <c r="K10" s="36">
        <f>'6. Rates &amp; revenue'!Y10</f>
        <v/>
      </c>
      <c r="L10" s="37" t="n">
        <v>32.8477686056627</v>
      </c>
      <c r="M10" s="37" t="n">
        <v>110.930625671315</v>
      </c>
      <c r="N10" s="35">
        <f>SUM(H10:M10)</f>
        <v/>
      </c>
      <c r="O10" s="37" t="n">
        <v>42.4740089885113</v>
      </c>
      <c r="P10" s="35">
        <f>N10-O10-M10</f>
        <v/>
      </c>
      <c r="Q10" s="37" t="n">
        <v>553.0031767675906</v>
      </c>
      <c r="R10" s="37" t="n">
        <v>71.16894520672621</v>
      </c>
      <c r="S10" s="37" t="n">
        <v>1.95051327200492</v>
      </c>
      <c r="T10" s="35">
        <f>Q10-R10-S10</f>
        <v/>
      </c>
      <c r="U10" s="37" t="n">
        <v>0</v>
      </c>
      <c r="V10" s="37" t="n">
        <v>17.5578996928248</v>
      </c>
      <c r="W10" s="35">
        <f>G10+P10+T10+V10</f>
        <v/>
      </c>
      <c r="X10" s="38">
        <f>(E10+N10+Q10+U10+V10)-(O10+R10+U10)-(F10+M10+S10)-W10</f>
        <v/>
      </c>
    </row>
    <row r="11">
      <c r="A11" s="14" t="n">
        <v>2031</v>
      </c>
      <c r="B11" s="36">
        <f>'6. Rates &amp; revenue'!I11</f>
        <v/>
      </c>
      <c r="C11" s="37" t="n">
        <v>43.4201183252799</v>
      </c>
      <c r="D11" s="37" t="n">
        <v>0</v>
      </c>
      <c r="E11" s="35">
        <f>B11+C11+D11</f>
        <v/>
      </c>
      <c r="F11" s="37" t="n">
        <v>105.362124293893</v>
      </c>
      <c r="G11" s="35">
        <f>E11-F11</f>
        <v/>
      </c>
      <c r="H11" s="36">
        <f>'6. Rates &amp; revenue'!M11</f>
        <v/>
      </c>
      <c r="I11" s="36">
        <f>'6. Rates &amp; revenue'!Q11</f>
        <v/>
      </c>
      <c r="J11" s="36">
        <f>'6. Rates &amp; revenue'!U11</f>
        <v/>
      </c>
      <c r="K11" s="36">
        <f>'6. Rates &amp; revenue'!Y11</f>
        <v/>
      </c>
      <c r="L11" s="37" t="n">
        <v>41.0117467869006</v>
      </c>
      <c r="M11" s="37" t="n">
        <v>117.891319728698</v>
      </c>
      <c r="N11" s="35">
        <f>SUM(H11:M11)</f>
        <v/>
      </c>
      <c r="O11" s="37" t="n">
        <v>41.725687568003</v>
      </c>
      <c r="P11" s="35">
        <f>N11-O11-M11</f>
        <v/>
      </c>
      <c r="Q11" s="37" t="n">
        <v>548.1236653539303</v>
      </c>
      <c r="R11" s="37" t="n">
        <v>70.83512945115621</v>
      </c>
      <c r="S11" s="37" t="n">
        <v>1.95819772040296</v>
      </c>
      <c r="T11" s="35">
        <f>Q11-R11-S11</f>
        <v/>
      </c>
      <c r="U11" s="37" t="n">
        <v>0</v>
      </c>
      <c r="V11" s="37" t="n">
        <v>17.5578996928248</v>
      </c>
      <c r="W11" s="35">
        <f>G11+P11+T11+V11</f>
        <v/>
      </c>
      <c r="X11" s="38">
        <f>(E11+N11+Q11+U11+V11)-(O11+R11+U11)-(F11+M11+S11)-W11</f>
        <v/>
      </c>
    </row>
    <row r="12">
      <c r="A12" s="14" t="n">
        <v>2032</v>
      </c>
      <c r="B12" s="36">
        <f>'6. Rates &amp; revenue'!I12</f>
        <v/>
      </c>
      <c r="C12" s="37" t="n">
        <v>43.5842216228547</v>
      </c>
      <c r="D12" s="37" t="n">
        <v>0</v>
      </c>
      <c r="E12" s="35">
        <f>B12+C12+D12</f>
        <v/>
      </c>
      <c r="F12" s="37" t="n">
        <v>107.812549264829</v>
      </c>
      <c r="G12" s="35">
        <f>E12-F12</f>
        <v/>
      </c>
      <c r="H12" s="36">
        <f>'6. Rates &amp; revenue'!M12</f>
        <v/>
      </c>
      <c r="I12" s="36">
        <f>'6. Rates &amp; revenue'!Q12</f>
        <v/>
      </c>
      <c r="J12" s="36">
        <f>'6. Rates &amp; revenue'!U12</f>
        <v/>
      </c>
      <c r="K12" s="36">
        <f>'6. Rates &amp; revenue'!Y12</f>
        <v/>
      </c>
      <c r="L12" s="37" t="n">
        <v>51.1473679964819</v>
      </c>
      <c r="M12" s="37" t="n">
        <v>124.681962600044</v>
      </c>
      <c r="N12" s="35">
        <f>SUM(H12:M12)</f>
        <v/>
      </c>
      <c r="O12" s="37" t="n">
        <v>43.0819602396266</v>
      </c>
      <c r="P12" s="35">
        <f>N12-O12-M12</f>
        <v/>
      </c>
      <c r="Q12" s="37" t="n">
        <v>543.6318608697579</v>
      </c>
      <c r="R12" s="37" t="n">
        <v>70.52073388088129</v>
      </c>
      <c r="S12" s="37" t="n">
        <v>1.96713368876597</v>
      </c>
      <c r="T12" s="35">
        <f>Q12-R12-S12</f>
        <v/>
      </c>
      <c r="U12" s="37" t="n">
        <v>0</v>
      </c>
      <c r="V12" s="37" t="n">
        <v>17.5578996928248</v>
      </c>
      <c r="W12" s="35">
        <f>G12+P12+T12+V12</f>
        <v/>
      </c>
      <c r="X12" s="38">
        <f>(E12+N12+Q12+U12+V12)-(O12+R12+U12)-(F12+M12+S12)-W12</f>
        <v/>
      </c>
    </row>
    <row r="13">
      <c r="A13" s="14" t="n">
        <v>2033</v>
      </c>
      <c r="B13" s="36">
        <f>'6. Rates &amp; revenue'!I13</f>
        <v/>
      </c>
      <c r="C13" s="37" t="n">
        <v>43.7384421166535</v>
      </c>
      <c r="D13" s="37" t="n">
        <v>0</v>
      </c>
      <c r="E13" s="35">
        <f>B13+C13+D13</f>
        <v/>
      </c>
      <c r="F13" s="37" t="n">
        <v>109.549632988318</v>
      </c>
      <c r="G13" s="35">
        <f>E13-F13</f>
        <v/>
      </c>
      <c r="H13" s="36">
        <f>'6. Rates &amp; revenue'!M13</f>
        <v/>
      </c>
      <c r="I13" s="36">
        <f>'6. Rates &amp; revenue'!Q13</f>
        <v/>
      </c>
      <c r="J13" s="36">
        <f>'6. Rates &amp; revenue'!U13</f>
        <v/>
      </c>
      <c r="K13" s="36">
        <f>'6. Rates &amp; revenue'!Y13</f>
        <v/>
      </c>
      <c r="L13" s="37" t="n">
        <v>63.2839809951267</v>
      </c>
      <c r="M13" s="37" t="n">
        <v>131.773399789263</v>
      </c>
      <c r="N13" s="35">
        <f>SUM(H13:M13)</f>
        <v/>
      </c>
      <c r="O13" s="37" t="n">
        <v>44.5188744826643</v>
      </c>
      <c r="P13" s="35">
        <f>N13-O13-M13</f>
        <v/>
      </c>
      <c r="Q13" s="37" t="n">
        <v>539.4923403662387</v>
      </c>
      <c r="R13" s="37" t="n">
        <v>70.226068078118</v>
      </c>
      <c r="S13" s="37" t="n">
        <v>1.9772409500257</v>
      </c>
      <c r="T13" s="35">
        <f>Q13-R13-S13</f>
        <v/>
      </c>
      <c r="U13" s="37" t="n">
        <v>0</v>
      </c>
      <c r="V13" s="37" t="n">
        <v>17.5578996928248</v>
      </c>
      <c r="W13" s="35">
        <f>G13+P13+T13+V13</f>
        <v/>
      </c>
      <c r="X13" s="38">
        <f>(E13+N13+Q13+U13+V13)-(O13+R13+U13)-(F13+M13+S13)-W13</f>
        <v/>
      </c>
    </row>
    <row r="14">
      <c r="A14" s="14" t="n">
        <v>2034</v>
      </c>
      <c r="B14" s="36">
        <f>'6. Rates &amp; revenue'!I14</f>
        <v/>
      </c>
      <c r="C14" s="37" t="n">
        <v>43.8839031230627</v>
      </c>
      <c r="D14" s="37" t="n">
        <v>0</v>
      </c>
      <c r="E14" s="35">
        <f>B14+C14+D14</f>
        <v/>
      </c>
      <c r="F14" s="37" t="n">
        <v>110.804945861663</v>
      </c>
      <c r="G14" s="35">
        <f>E14-F14</f>
        <v/>
      </c>
      <c r="H14" s="36">
        <f>'6. Rates &amp; revenue'!M14</f>
        <v/>
      </c>
      <c r="I14" s="36">
        <f>'6. Rates &amp; revenue'!Q14</f>
        <v/>
      </c>
      <c r="J14" s="36">
        <f>'6. Rates &amp; revenue'!U14</f>
        <v/>
      </c>
      <c r="K14" s="36">
        <f>'6. Rates &amp; revenue'!Y14</f>
        <v/>
      </c>
      <c r="L14" s="37" t="n">
        <v>76.9285191687259</v>
      </c>
      <c r="M14" s="37" t="n">
        <v>139.318092955328</v>
      </c>
      <c r="N14" s="35">
        <f>SUM(H14:M14)</f>
        <v/>
      </c>
      <c r="O14" s="37" t="n">
        <v>46.1518565104338</v>
      </c>
      <c r="P14" s="35">
        <f>N14-O14-M14</f>
        <v/>
      </c>
      <c r="Q14" s="37" t="n">
        <v>535.6722565897716</v>
      </c>
      <c r="R14" s="37" t="n">
        <v>69.9506951716758</v>
      </c>
      <c r="S14" s="37" t="n">
        <v>1.98844335681006</v>
      </c>
      <c r="T14" s="35">
        <f>Q14-R14-S14</f>
        <v/>
      </c>
      <c r="U14" s="37" t="n">
        <v>0</v>
      </c>
      <c r="V14" s="37" t="n">
        <v>17.5578996928248</v>
      </c>
      <c r="W14" s="35">
        <f>G14+P14+T14+V14</f>
        <v/>
      </c>
      <c r="X14" s="38">
        <f>(E14+N14+Q14+U14+V14)-(O14+R14+U14)-(F14+M14+S14)-W14</f>
        <v/>
      </c>
    </row>
    <row r="15">
      <c r="A15" s="14" t="n">
        <v>2035</v>
      </c>
      <c r="B15" s="36">
        <f>'6. Rates &amp; revenue'!I15</f>
        <v/>
      </c>
      <c r="C15" s="37" t="n">
        <v>44.0215466525324</v>
      </c>
      <c r="D15" s="37" t="n">
        <v>0</v>
      </c>
      <c r="E15" s="35">
        <f>B15+C15+D15</f>
        <v/>
      </c>
      <c r="F15" s="37" t="n">
        <v>111.375622629096</v>
      </c>
      <c r="G15" s="35">
        <f>E15-F15</f>
        <v/>
      </c>
      <c r="H15" s="36">
        <f>'6. Rates &amp; revenue'!M15</f>
        <v/>
      </c>
      <c r="I15" s="36">
        <f>'6. Rates &amp; revenue'!Q15</f>
        <v/>
      </c>
      <c r="J15" s="36">
        <f>'6. Rates &amp; revenue'!U15</f>
        <v/>
      </c>
      <c r="K15" s="36">
        <f>'6. Rates &amp; revenue'!Y15</f>
        <v/>
      </c>
      <c r="L15" s="37" t="n">
        <v>91.9519535476318</v>
      </c>
      <c r="M15" s="37" t="n">
        <v>147.449793891533</v>
      </c>
      <c r="N15" s="35">
        <f>SUM(H15:M15)</f>
        <v/>
      </c>
      <c r="O15" s="37" t="n">
        <v>48.013835899398</v>
      </c>
      <c r="P15" s="35">
        <f>N15-O15-M15</f>
        <v/>
      </c>
      <c r="Q15" s="37" t="n">
        <v>532.1415118475148</v>
      </c>
      <c r="R15" s="37" t="n">
        <v>69.69376452198939</v>
      </c>
      <c r="S15" s="37" t="n">
        <v>2.00066993516834</v>
      </c>
      <c r="T15" s="35">
        <f>Q15-R15-S15</f>
        <v/>
      </c>
      <c r="U15" s="37" t="n">
        <v>0</v>
      </c>
      <c r="V15" s="37" t="n">
        <v>17.5578996928248</v>
      </c>
      <c r="W15" s="35">
        <f>G15+P15+T15+V15</f>
        <v/>
      </c>
      <c r="X15" s="38">
        <f>(E15+N15+Q15+U15+V15)-(O15+R15+U15)-(F15+M15+S15)-W15</f>
        <v/>
      </c>
    </row>
    <row r="16">
      <c r="A16" s="14" t="n">
        <v>2036</v>
      </c>
      <c r="B16" s="36">
        <f>'6. Rates &amp; revenue'!I16</f>
        <v/>
      </c>
      <c r="C16" s="37" t="n">
        <v>44.1521704507391</v>
      </c>
      <c r="D16" s="37" t="n">
        <v>0</v>
      </c>
      <c r="E16" s="35">
        <f>B16+C16+D16</f>
        <v/>
      </c>
      <c r="F16" s="37" t="n">
        <v>111.106023147159</v>
      </c>
      <c r="G16" s="35">
        <f>E16-F16</f>
        <v/>
      </c>
      <c r="H16" s="36">
        <f>'6. Rates &amp; revenue'!M16</f>
        <v/>
      </c>
      <c r="I16" s="36">
        <f>'6. Rates &amp; revenue'!Q16</f>
        <v/>
      </c>
      <c r="J16" s="36">
        <f>'6. Rates &amp; revenue'!U16</f>
        <v/>
      </c>
      <c r="K16" s="36">
        <f>'6. Rates &amp; revenue'!Y16</f>
        <v/>
      </c>
      <c r="L16" s="37" t="n">
        <v>109.203809524932</v>
      </c>
      <c r="M16" s="37" t="n">
        <v>156.345670516527</v>
      </c>
      <c r="N16" s="35">
        <f>SUM(H16:M16)</f>
        <v/>
      </c>
      <c r="O16" s="37" t="n">
        <v>50.0644599348363</v>
      </c>
      <c r="P16" s="35">
        <f>N16-O16-M16</f>
        <v/>
      </c>
      <c r="Q16" s="37" t="n">
        <v>528.8727287182977</v>
      </c>
      <c r="R16" s="37" t="n">
        <v>69.4542120353986</v>
      </c>
      <c r="S16" s="37" t="n">
        <v>2.01385527260378</v>
      </c>
      <c r="T16" s="35">
        <f>Q16-R16-S16</f>
        <v/>
      </c>
      <c r="U16" s="37" t="n">
        <v>0</v>
      </c>
      <c r="V16" s="37" t="n">
        <v>17.5578996928248</v>
      </c>
      <c r="W16" s="35">
        <f>G16+P16+T16+V16</f>
        <v/>
      </c>
      <c r="X16" s="38">
        <f>(E16+N16+Q16+U16+V16)-(O16+R16+U16)-(F16+M16+S16)-W16</f>
        <v/>
      </c>
    </row>
    <row r="17">
      <c r="A17" s="14" t="n">
        <v>2037</v>
      </c>
      <c r="B17" s="36">
        <f>'6. Rates &amp; revenue'!I17</f>
        <v/>
      </c>
      <c r="C17" s="37" t="n">
        <v>44.2764560365186</v>
      </c>
      <c r="D17" s="37" t="n">
        <v>0</v>
      </c>
      <c r="E17" s="35">
        <f>B17+C17+D17</f>
        <v/>
      </c>
      <c r="F17" s="37" t="n">
        <v>109.973477960174</v>
      </c>
      <c r="G17" s="35">
        <f>E17-F17</f>
        <v/>
      </c>
      <c r="H17" s="36">
        <f>'6. Rates &amp; revenue'!M17</f>
        <v/>
      </c>
      <c r="I17" s="36">
        <f>'6. Rates &amp; revenue'!Q17</f>
        <v/>
      </c>
      <c r="J17" s="36">
        <f>'6. Rates &amp; revenue'!U17</f>
        <v/>
      </c>
      <c r="K17" s="36">
        <f>'6. Rates &amp; revenue'!Y17</f>
        <v/>
      </c>
      <c r="L17" s="37" t="n">
        <v>128.51123816134</v>
      </c>
      <c r="M17" s="37" t="n">
        <v>166.11748206683</v>
      </c>
      <c r="N17" s="35">
        <f>SUM(H17:M17)</f>
        <v/>
      </c>
      <c r="O17" s="37" t="n">
        <v>52.3400196815529</v>
      </c>
      <c r="P17" s="35">
        <f>N17-O17-M17</f>
        <v/>
      </c>
      <c r="Q17" s="37" t="n">
        <v>525.84111683754</v>
      </c>
      <c r="R17" s="37" t="n">
        <v>69.23088104577189</v>
      </c>
      <c r="S17" s="37" t="n">
        <v>2.02793951629894</v>
      </c>
      <c r="T17" s="35">
        <f>Q17-R17-S17</f>
        <v/>
      </c>
      <c r="U17" s="37" t="n">
        <v>0</v>
      </c>
      <c r="V17" s="37" t="n">
        <v>17.5578996928248</v>
      </c>
      <c r="W17" s="35">
        <f>G17+P17+T17+V17</f>
        <v/>
      </c>
      <c r="X17" s="38">
        <f>(E17+N17+Q17+U17+V17)-(O17+R17+U17)-(F17+M17+S17)-W17</f>
        <v/>
      </c>
    </row>
    <row r="18">
      <c r="A18" s="14" t="n">
        <v>2038</v>
      </c>
      <c r="B18" s="36">
        <f>'6. Rates &amp; revenue'!I18</f>
        <v/>
      </c>
      <c r="C18" s="37" t="n">
        <v>44.3949902416884</v>
      </c>
      <c r="D18" s="37" t="n">
        <v>0</v>
      </c>
      <c r="E18" s="35">
        <f>B18+C18+D18</f>
        <v/>
      </c>
      <c r="F18" s="37" t="n">
        <v>107.845443219883</v>
      </c>
      <c r="G18" s="35">
        <f>E18-F18</f>
        <v/>
      </c>
      <c r="H18" s="36">
        <f>'6. Rates &amp; revenue'!M18</f>
        <v/>
      </c>
      <c r="I18" s="36">
        <f>'6. Rates &amp; revenue'!Q18</f>
        <v/>
      </c>
      <c r="J18" s="36">
        <f>'6. Rates &amp; revenue'!U18</f>
        <v/>
      </c>
      <c r="K18" s="36">
        <f>'6. Rates &amp; revenue'!Y18</f>
        <v/>
      </c>
      <c r="L18" s="37" t="n">
        <v>149.985846124059</v>
      </c>
      <c r="M18" s="37" t="n">
        <v>176.757657333179</v>
      </c>
      <c r="N18" s="35">
        <f>SUM(H18:M18)</f>
        <v/>
      </c>
      <c r="O18" s="37" t="n">
        <v>54.8208494923377</v>
      </c>
      <c r="P18" s="35">
        <f>N18-O18-M18</f>
        <v/>
      </c>
      <c r="Q18" s="37" t="n">
        <v>523.0242916225482</v>
      </c>
      <c r="R18" s="37" t="n">
        <v>69.0225951048985</v>
      </c>
      <c r="S18" s="37" t="n">
        <v>2.04286816403657</v>
      </c>
      <c r="T18" s="35">
        <f>Q18-R18-S18</f>
        <v/>
      </c>
      <c r="U18" s="37" t="n">
        <v>0</v>
      </c>
      <c r="V18" s="37" t="n">
        <v>17.5578996928248</v>
      </c>
      <c r="W18" s="35">
        <f>G18+P18+T18+V18</f>
        <v/>
      </c>
      <c r="X18" s="38">
        <f>(E18+N18+Q18+U18+V18)-(O18+R18+U18)-(F18+M18+S18)-W18</f>
        <v/>
      </c>
    </row>
    <row r="19">
      <c r="A19" s="14" t="n">
        <v>2039</v>
      </c>
      <c r="B19" s="36">
        <f>'6. Rates &amp; revenue'!I19</f>
        <v/>
      </c>
      <c r="C19" s="37" t="n">
        <v>44.5082819804597</v>
      </c>
      <c r="D19" s="37" t="n">
        <v>0</v>
      </c>
      <c r="E19" s="35">
        <f>B19+C19+D19</f>
        <v/>
      </c>
      <c r="F19" s="37" t="n">
        <v>104.774784081152</v>
      </c>
      <c r="G19" s="35">
        <f>E19-F19</f>
        <v/>
      </c>
      <c r="H19" s="36">
        <f>'6. Rates &amp; revenue'!M19</f>
        <v/>
      </c>
      <c r="I19" s="36">
        <f>'6. Rates &amp; revenue'!Q19</f>
        <v/>
      </c>
      <c r="J19" s="36">
        <f>'6. Rates &amp; revenue'!U19</f>
        <v/>
      </c>
      <c r="K19" s="36">
        <f>'6. Rates &amp; revenue'!Y19</f>
        <v/>
      </c>
      <c r="L19" s="37" t="n">
        <v>173.707393127976</v>
      </c>
      <c r="M19" s="37" t="n">
        <v>188.621369058521</v>
      </c>
      <c r="N19" s="35">
        <f>SUM(H19:M19)</f>
        <v/>
      </c>
      <c r="O19" s="37" t="n">
        <v>57.6724203799025</v>
      </c>
      <c r="P19" s="35">
        <f>N19-O19-M19</f>
        <v/>
      </c>
      <c r="Q19" s="37" t="n">
        <v>520.4020758793362</v>
      </c>
      <c r="R19" s="37" t="n">
        <v>68.8282013511128</v>
      </c>
      <c r="S19" s="37" t="n">
        <v>2.05859175234344</v>
      </c>
      <c r="T19" s="35">
        <f>Q19-R19-S19</f>
        <v/>
      </c>
      <c r="U19" s="37" t="n">
        <v>0</v>
      </c>
      <c r="V19" s="37" t="n">
        <v>17.5578996928248</v>
      </c>
      <c r="W19" s="35">
        <f>G19+P19+T19+V19</f>
        <v/>
      </c>
      <c r="X19" s="38">
        <f>(E19+N19+Q19+U19+V19)-(O19+R19+U19)-(F19+M19+S19)-W19</f>
        <v/>
      </c>
    </row>
    <row r="20">
      <c r="A20" s="14" t="n">
        <v>2040</v>
      </c>
      <c r="B20" s="36">
        <f>'6. Rates &amp; revenue'!I20</f>
        <v/>
      </c>
      <c r="C20" s="37" t="n">
        <v>44.6167754628172</v>
      </c>
      <c r="D20" s="37" t="n">
        <v>0</v>
      </c>
      <c r="E20" s="35">
        <f>B20+C20+D20</f>
        <v/>
      </c>
      <c r="F20" s="37" t="n">
        <v>100.880671835815</v>
      </c>
      <c r="G20" s="35">
        <f>E20-F20</f>
        <v/>
      </c>
      <c r="H20" s="36">
        <f>'6. Rates &amp; revenue'!M20</f>
        <v/>
      </c>
      <c r="I20" s="36">
        <f>'6. Rates &amp; revenue'!Q20</f>
        <v/>
      </c>
      <c r="J20" s="36">
        <f>'6. Rates &amp; revenue'!U20</f>
        <v/>
      </c>
      <c r="K20" s="36">
        <f>'6. Rates &amp; revenue'!Y20</f>
        <v/>
      </c>
      <c r="L20" s="37" t="n">
        <v>199.41036530757</v>
      </c>
      <c r="M20" s="37" t="n">
        <v>201.743131210754</v>
      </c>
      <c r="N20" s="35">
        <f>SUM(H20:M20)</f>
        <v/>
      </c>
      <c r="O20" s="37" t="n">
        <v>60.8331810202173</v>
      </c>
      <c r="P20" s="35">
        <f>N20-O20-M20</f>
        <v/>
      </c>
      <c r="Q20" s="37" t="n">
        <v>517.9563010223371</v>
      </c>
      <c r="R20" s="37" t="n">
        <v>68.6465956810414</v>
      </c>
      <c r="S20" s="37" t="n">
        <v>2.07506550113276</v>
      </c>
      <c r="T20" s="35">
        <f>Q20-R20-S20</f>
        <v/>
      </c>
      <c r="U20" s="37" t="n">
        <v>0</v>
      </c>
      <c r="V20" s="37" t="n">
        <v>17.5578996928248</v>
      </c>
      <c r="W20" s="35">
        <f>G20+P20+T20+V20</f>
        <v/>
      </c>
      <c r="X20" s="38">
        <f>(E20+N20+Q20+U20+V20)-(O20+R20+U20)-(F20+M20+S20)-W20</f>
        <v/>
      </c>
    </row>
    <row r="21">
      <c r="A21" s="14" t="n">
        <v>2041</v>
      </c>
      <c r="B21" s="36">
        <f>'6. Rates &amp; revenue'!I21</f>
        <v/>
      </c>
      <c r="C21" s="37" t="n">
        <v>44.7208607201694</v>
      </c>
      <c r="D21" s="37" t="n">
        <v>0</v>
      </c>
      <c r="E21" s="35">
        <f>B21+C21+D21</f>
        <v/>
      </c>
      <c r="F21" s="37" t="n">
        <v>96.27161009911801</v>
      </c>
      <c r="G21" s="35">
        <f>E21-F21</f>
        <v/>
      </c>
      <c r="H21" s="36">
        <f>'6. Rates &amp; revenue'!M21</f>
        <v/>
      </c>
      <c r="I21" s="36">
        <f>'6. Rates &amp; revenue'!Q21</f>
        <v/>
      </c>
      <c r="J21" s="36">
        <f>'6. Rates &amp; revenue'!U21</f>
        <v/>
      </c>
      <c r="K21" s="36">
        <f>'6. Rates &amp; revenue'!Y21</f>
        <v/>
      </c>
      <c r="L21" s="37" t="n">
        <v>227.224707529575</v>
      </c>
      <c r="M21" s="37" t="n">
        <v>215.878323472771</v>
      </c>
      <c r="N21" s="35">
        <f>SUM(H21:M21)</f>
        <v/>
      </c>
      <c r="O21" s="37" t="n">
        <v>64.1477051417427</v>
      </c>
      <c r="P21" s="35">
        <f>N21-O21-M21</f>
        <v/>
      </c>
      <c r="Q21" s="37" t="n">
        <v>515.6706165952565</v>
      </c>
      <c r="R21" s="37" t="n">
        <v>68.4767365547289</v>
      </c>
      <c r="S21" s="37" t="n">
        <v>2.09224894798797</v>
      </c>
      <c r="T21" s="35">
        <f>Q21-R21-S21</f>
        <v/>
      </c>
      <c r="U21" s="37" t="n">
        <v>0</v>
      </c>
      <c r="V21" s="37" t="n">
        <v>17.5578996928248</v>
      </c>
      <c r="W21" s="35">
        <f>G21+P21+T21+V21</f>
        <v/>
      </c>
      <c r="X21" s="38">
        <f>(E21+N21+Q21+U21+V21)-(O21+R21+U21)-(F21+M21+S21)-W21</f>
        <v/>
      </c>
    </row>
    <row r="22">
      <c r="A22" s="14" t="n">
        <v>2042</v>
      </c>
      <c r="B22" s="36">
        <f>'6. Rates &amp; revenue'!I22</f>
        <v/>
      </c>
      <c r="C22" s="37" t="n">
        <v>44.8208820738309</v>
      </c>
      <c r="D22" s="37" t="n">
        <v>0</v>
      </c>
      <c r="E22" s="35">
        <f>B22+C22+D22</f>
        <v/>
      </c>
      <c r="F22" s="37" t="n">
        <v>90.49083051921799</v>
      </c>
      <c r="G22" s="35">
        <f>E22-F22</f>
        <v/>
      </c>
      <c r="H22" s="36">
        <f>'6. Rates &amp; revenue'!M22</f>
        <v/>
      </c>
      <c r="I22" s="36">
        <f>'6. Rates &amp; revenue'!Q22</f>
        <v/>
      </c>
      <c r="J22" s="36">
        <f>'6. Rates &amp; revenue'!U22</f>
        <v/>
      </c>
      <c r="K22" s="36">
        <f>'6. Rates &amp; revenue'!Y22</f>
        <v/>
      </c>
      <c r="L22" s="37" t="n">
        <v>263.876076225064</v>
      </c>
      <c r="M22" s="37" t="n">
        <v>231.09741243652</v>
      </c>
      <c r="N22" s="35">
        <f>SUM(H22:M22)</f>
        <v/>
      </c>
      <c r="O22" s="37" t="n">
        <v>67.600189311367</v>
      </c>
      <c r="P22" s="35">
        <f>N22-O22-M22</f>
        <v/>
      </c>
      <c r="Q22" s="37" t="n">
        <v>513.5303122637637</v>
      </c>
      <c r="R22" s="37" t="n">
        <v>68.3176516493357</v>
      </c>
      <c r="S22" s="37" t="n">
        <v>2.11010559019988</v>
      </c>
      <c r="T22" s="35">
        <f>Q22-R22-S22</f>
        <v/>
      </c>
      <c r="U22" s="37" t="n">
        <v>0</v>
      </c>
      <c r="V22" s="37" t="n">
        <v>17.5578996928248</v>
      </c>
      <c r="W22" s="35">
        <f>G22+P22+T22+V22</f>
        <v/>
      </c>
      <c r="X22" s="38">
        <f>(E22+N22+Q22+U22+V22)-(O22+R22+U22)-(F22+M22+S22)-W22</f>
        <v/>
      </c>
    </row>
    <row r="23">
      <c r="A23" s="14" t="n">
        <v>2043</v>
      </c>
      <c r="B23" s="36">
        <f>'6. Rates &amp; revenue'!I23</f>
        <v/>
      </c>
      <c r="C23" s="37" t="n">
        <v>44.9171450107643</v>
      </c>
      <c r="D23" s="37" t="n">
        <v>0</v>
      </c>
      <c r="E23" s="35">
        <f>B23+C23+D23</f>
        <v/>
      </c>
      <c r="F23" s="37" t="n">
        <v>84.2908865071801</v>
      </c>
      <c r="G23" s="35">
        <f>E23-F23</f>
        <v/>
      </c>
      <c r="H23" s="36">
        <f>'6. Rates &amp; revenue'!M23</f>
        <v/>
      </c>
      <c r="I23" s="36">
        <f>'6. Rates &amp; revenue'!Q23</f>
        <v/>
      </c>
      <c r="J23" s="36">
        <f>'6. Rates &amp; revenue'!U23</f>
        <v/>
      </c>
      <c r="K23" s="36">
        <f>'6. Rates &amp; revenue'!Y23</f>
        <v/>
      </c>
      <c r="L23" s="37" t="n">
        <v>305.214624217451</v>
      </c>
      <c r="M23" s="37" t="n">
        <v>246.75296902741</v>
      </c>
      <c r="N23" s="35">
        <f>SUM(H23:M23)</f>
        <v/>
      </c>
      <c r="O23" s="37" t="n">
        <v>71.01007120829991</v>
      </c>
      <c r="P23" s="35">
        <f>N23-O23-M23</f>
        <v/>
      </c>
      <c r="Q23" s="37" t="n">
        <v>511.5221539391218</v>
      </c>
      <c r="R23" s="37" t="n">
        <v>68.1684400031144</v>
      </c>
      <c r="S23" s="37" t="n">
        <v>2.12860254401761</v>
      </c>
      <c r="T23" s="35">
        <f>Q23-R23-S23</f>
        <v/>
      </c>
      <c r="U23" s="37" t="n">
        <v>0</v>
      </c>
      <c r="V23" s="37" t="n">
        <v>17.5578996928248</v>
      </c>
      <c r="W23" s="35">
        <f>G23+P23+T23+V23</f>
        <v/>
      </c>
      <c r="X23" s="38">
        <f>(E23+N23+Q23+U23+V23)-(O23+R23+U23)-(F23+M23+S23)-W23</f>
        <v/>
      </c>
    </row>
    <row r="24">
      <c r="A24" s="14" t="n">
        <v>2044</v>
      </c>
      <c r="B24" s="36">
        <f>'6. Rates &amp; revenue'!I24</f>
        <v/>
      </c>
      <c r="C24" s="37" t="n">
        <v>45.0099218130958</v>
      </c>
      <c r="D24" s="37" t="n">
        <v>0</v>
      </c>
      <c r="E24" s="35">
        <f>B24+C24+D24</f>
        <v/>
      </c>
      <c r="F24" s="37" t="n">
        <v>78.14828391779029</v>
      </c>
      <c r="G24" s="35">
        <f>E24-F24</f>
        <v/>
      </c>
      <c r="H24" s="36">
        <f>'6. Rates &amp; revenue'!M24</f>
        <v/>
      </c>
      <c r="I24" s="36">
        <f>'6. Rates &amp; revenue'!Q24</f>
        <v/>
      </c>
      <c r="J24" s="36">
        <f>'6. Rates &amp; revenue'!U24</f>
        <v/>
      </c>
      <c r="K24" s="36">
        <f>'6. Rates &amp; revenue'!Y24</f>
        <v/>
      </c>
      <c r="L24" s="37" t="n">
        <v>352.233227602405</v>
      </c>
      <c r="M24" s="37" t="n">
        <v>262.099569525461</v>
      </c>
      <c r="N24" s="35">
        <f>SUM(H24:M24)</f>
        <v/>
      </c>
      <c r="O24" s="37" t="n">
        <v>74.0926209491126</v>
      </c>
      <c r="P24" s="35">
        <f>N24-O24-M24</f>
        <v/>
      </c>
      <c r="Q24" s="37" t="n">
        <v>509.6342343178911</v>
      </c>
      <c r="R24" s="37" t="n">
        <v>68.0282713313282</v>
      </c>
      <c r="S24" s="37" t="n">
        <v>2.14771022566508</v>
      </c>
      <c r="T24" s="35">
        <f>Q24-R24-S24</f>
        <v/>
      </c>
      <c r="U24" s="37" t="n">
        <v>0</v>
      </c>
      <c r="V24" s="37" t="n">
        <v>17.5578996928248</v>
      </c>
      <c r="W24" s="35">
        <f>G24+P24+T24+V24</f>
        <v/>
      </c>
      <c r="X24" s="38">
        <f>(E24+N24+Q24+U24+V24)-(O24+R24+U24)-(F24+M24+S24)-W24</f>
        <v/>
      </c>
    </row>
    <row r="25">
      <c r="A25" s="14" t="n">
        <v>2045</v>
      </c>
      <c r="B25" s="36">
        <f>'6. Rates &amp; revenue'!I25</f>
        <v/>
      </c>
      <c r="C25" s="37" t="n">
        <v>45.0994562030281</v>
      </c>
      <c r="D25" s="37" t="n">
        <v>0</v>
      </c>
      <c r="E25" s="35">
        <f>B25+C25+D25</f>
        <v/>
      </c>
      <c r="F25" s="37" t="n">
        <v>72.2338726712677</v>
      </c>
      <c r="G25" s="35">
        <f>E25-F25</f>
        <v/>
      </c>
      <c r="H25" s="36">
        <f>'6. Rates &amp; revenue'!M25</f>
        <v/>
      </c>
      <c r="I25" s="36">
        <f>'6. Rates &amp; revenue'!Q25</f>
        <v/>
      </c>
      <c r="J25" s="36">
        <f>'6. Rates &amp; revenue'!U25</f>
        <v/>
      </c>
      <c r="K25" s="36">
        <f>'6. Rates &amp; revenue'!Y25</f>
        <v/>
      </c>
      <c r="L25" s="37" t="n">
        <v>405.195236248007</v>
      </c>
      <c r="M25" s="37" t="n">
        <v>277.449511726674</v>
      </c>
      <c r="N25" s="35">
        <f>SUM(H25:M25)</f>
        <v/>
      </c>
      <c r="O25" s="37" t="n">
        <v>76.98162962942111</v>
      </c>
      <c r="P25" s="35">
        <f>N25-O25-M25</f>
        <v/>
      </c>
      <c r="Q25" s="37" t="n">
        <v>507.8558373928368</v>
      </c>
      <c r="R25" s="37" t="n">
        <v>67.8963836003967</v>
      </c>
      <c r="S25" s="37" t="n">
        <v>2.1674020558414</v>
      </c>
      <c r="T25" s="35">
        <f>Q25-R25-S25</f>
        <v/>
      </c>
      <c r="U25" s="37" t="n">
        <v>0</v>
      </c>
      <c r="V25" s="37" t="n">
        <v>17.5578996928248</v>
      </c>
      <c r="W25" s="35">
        <f>G25+P25+T25+V25</f>
        <v/>
      </c>
      <c r="X25" s="38">
        <f>(E25+N25+Q25+U25+V25)-(O25+R25+U25)-(F25+M25+S25)-W25</f>
        <v/>
      </c>
    </row>
    <row r="26">
      <c r="A26" s="14" t="n">
        <v>2046</v>
      </c>
      <c r="B26" s="36">
        <f>'6. Rates &amp; revenue'!I26</f>
        <v/>
      </c>
      <c r="C26" s="37" t="n">
        <v>45.1859672028516</v>
      </c>
      <c r="D26" s="37" t="n">
        <v>0</v>
      </c>
      <c r="E26" s="35">
        <f>B26+C26+D26</f>
        <v/>
      </c>
      <c r="F26" s="37" t="n">
        <v>66.6574579420091</v>
      </c>
      <c r="G26" s="35">
        <f>E26-F26</f>
        <v/>
      </c>
      <c r="H26" s="36">
        <f>'6. Rates &amp; revenue'!M26</f>
        <v/>
      </c>
      <c r="I26" s="36">
        <f>'6. Rates &amp; revenue'!Q26</f>
        <v/>
      </c>
      <c r="J26" s="36">
        <f>'6. Rates &amp; revenue'!U26</f>
        <v/>
      </c>
      <c r="K26" s="36">
        <f>'6. Rates &amp; revenue'!Y26</f>
        <v/>
      </c>
      <c r="L26" s="37" t="n">
        <v>464.56305799956</v>
      </c>
      <c r="M26" s="37" t="n">
        <v>293.57809627017</v>
      </c>
      <c r="N26" s="35">
        <f>SUM(H26:M26)</f>
        <v/>
      </c>
      <c r="O26" s="37" t="n">
        <v>79.977876856118</v>
      </c>
      <c r="P26" s="35">
        <f>N26-O26-M26</f>
        <v/>
      </c>
      <c r="Q26" s="37" t="n">
        <v>506.1773161232576</v>
      </c>
      <c r="R26" s="37" t="n">
        <v>67.7720795706125</v>
      </c>
      <c r="S26" s="37" t="n">
        <v>2.18765418784998</v>
      </c>
      <c r="T26" s="35">
        <f>Q26-R26-S26</f>
        <v/>
      </c>
      <c r="U26" s="37" t="n">
        <v>0</v>
      </c>
      <c r="V26" s="37" t="n">
        <v>17.5578996928248</v>
      </c>
      <c r="W26" s="35">
        <f>G26+P26+T26+V26</f>
        <v/>
      </c>
      <c r="X26" s="38">
        <f>(E26+N26+Q26+U26+V26)-(O26+R26+U26)-(F26+M26+S26)-W26</f>
        <v/>
      </c>
    </row>
    <row r="27">
      <c r="A27" s="14" t="n">
        <v>2047</v>
      </c>
      <c r="B27" s="36">
        <f>'6. Rates &amp; revenue'!I27</f>
        <v/>
      </c>
      <c r="C27" s="37" t="n">
        <v>45.2696523640375</v>
      </c>
      <c r="D27" s="37" t="n">
        <v>0</v>
      </c>
      <c r="E27" s="35">
        <f>B27+C27+D27</f>
        <v/>
      </c>
      <c r="F27" s="37" t="n">
        <v>61.4260147944455</v>
      </c>
      <c r="G27" s="35">
        <f>E27-F27</f>
        <v/>
      </c>
      <c r="H27" s="36">
        <f>'6. Rates &amp; revenue'!M27</f>
        <v/>
      </c>
      <c r="I27" s="36">
        <f>'6. Rates &amp; revenue'!Q27</f>
        <v/>
      </c>
      <c r="J27" s="36">
        <f>'6. Rates &amp; revenue'!U27</f>
        <v/>
      </c>
      <c r="K27" s="36">
        <f>'6. Rates &amp; revenue'!Y27</f>
        <v/>
      </c>
      <c r="L27" s="37" t="n">
        <v>530.440747784838</v>
      </c>
      <c r="M27" s="37" t="n">
        <v>310.094324378504</v>
      </c>
      <c r="N27" s="35">
        <f>SUM(H27:M27)</f>
        <v/>
      </c>
      <c r="O27" s="37" t="n">
        <v>82.9367496485384</v>
      </c>
      <c r="P27" s="35">
        <f>N27-O27-M27</f>
        <v/>
      </c>
      <c r="Q27" s="37" t="n">
        <v>504.5899822904554</v>
      </c>
      <c r="R27" s="37" t="n">
        <v>67.6547227759428</v>
      </c>
      <c r="S27" s="37" t="n">
        <v>2.20844525863813</v>
      </c>
      <c r="T27" s="35">
        <f>Q27-R27-S27</f>
        <v/>
      </c>
      <c r="U27" s="37" t="n">
        <v>0</v>
      </c>
      <c r="V27" s="37" t="n">
        <v>17.5578996928248</v>
      </c>
      <c r="W27" s="35">
        <f>G27+P27+T27+V27</f>
        <v/>
      </c>
      <c r="X27" s="38">
        <f>(E27+N27+Q27+U27+V27)-(O27+R27+U27)-(F27+M27+S27)-W27</f>
        <v/>
      </c>
    </row>
    <row r="28">
      <c r="A28" s="14" t="n">
        <v>2048</v>
      </c>
      <c r="B28" s="36">
        <f>'6. Rates &amp; revenue'!I28</f>
        <v/>
      </c>
      <c r="C28" s="37" t="n">
        <v>45.350690485262</v>
      </c>
      <c r="D28" s="37" t="n">
        <v>0</v>
      </c>
      <c r="E28" s="35">
        <f>B28+C28+D28</f>
        <v/>
      </c>
      <c r="F28" s="37" t="n">
        <v>56.6145468983273</v>
      </c>
      <c r="G28" s="35">
        <f>E28-F28</f>
        <v/>
      </c>
      <c r="H28" s="36">
        <f>'6. Rates &amp; revenue'!M28</f>
        <v/>
      </c>
      <c r="I28" s="36">
        <f>'6. Rates &amp; revenue'!Q28</f>
        <v/>
      </c>
      <c r="J28" s="36">
        <f>'6. Rates &amp; revenue'!U28</f>
        <v/>
      </c>
      <c r="K28" s="36">
        <f>'6. Rates &amp; revenue'!Y28</f>
        <v/>
      </c>
      <c r="L28" s="37" t="n">
        <v>603.069357311424</v>
      </c>
      <c r="M28" s="37" t="n">
        <v>327.498589690661</v>
      </c>
      <c r="N28" s="35">
        <f>SUM(H28:M28)</f>
        <v/>
      </c>
      <c r="O28" s="37" t="n">
        <v>86.03027582147659</v>
      </c>
      <c r="P28" s="35">
        <f>N28-O28-M28</f>
        <v/>
      </c>
      <c r="Q28" s="37" t="n">
        <v>503.0860075150547</v>
      </c>
      <c r="R28" s="37" t="n">
        <v>67.5437332509341</v>
      </c>
      <c r="S28" s="37" t="n">
        <v>2.22975616155917</v>
      </c>
      <c r="T28" s="35">
        <f>Q28-R28-S28</f>
        <v/>
      </c>
      <c r="U28" s="37" t="n">
        <v>0</v>
      </c>
      <c r="V28" s="37" t="n">
        <v>17.5578996928248</v>
      </c>
      <c r="W28" s="35">
        <f>G28+P28+T28+V28</f>
        <v/>
      </c>
      <c r="X28" s="38">
        <f>(E28+N28+Q28+U28+V28)-(O28+R28+U28)-(F28+M28+S28)-W28</f>
        <v/>
      </c>
    </row>
    <row r="29">
      <c r="A29" s="14" t="n">
        <v>2049</v>
      </c>
      <c r="B29" s="36">
        <f>'6. Rates &amp; revenue'!I29</f>
        <v/>
      </c>
      <c r="C29" s="37" t="n">
        <v>45.429243913464</v>
      </c>
      <c r="D29" s="37" t="n">
        <v>0</v>
      </c>
      <c r="E29" s="35">
        <f>B29+C29+D29</f>
        <v/>
      </c>
      <c r="F29" s="37" t="n">
        <v>52.1292517277664</v>
      </c>
      <c r="G29" s="35">
        <f>E29-F29</f>
        <v/>
      </c>
      <c r="H29" s="36">
        <f>'6. Rates &amp; revenue'!M29</f>
        <v/>
      </c>
      <c r="I29" s="36">
        <f>'6. Rates &amp; revenue'!Q29</f>
        <v/>
      </c>
      <c r="J29" s="36">
        <f>'6. Rates &amp; revenue'!U29</f>
        <v/>
      </c>
      <c r="K29" s="36">
        <f>'6. Rates &amp; revenue'!Y29</f>
        <v/>
      </c>
      <c r="L29" s="37" t="n">
        <v>682.334740954331</v>
      </c>
      <c r="M29" s="37" t="n">
        <v>344.46438551803</v>
      </c>
      <c r="N29" s="35">
        <f>SUM(H29:M29)</f>
        <v/>
      </c>
      <c r="O29" s="37" t="n">
        <v>88.812806202703</v>
      </c>
      <c r="P29" s="35">
        <f>N29-O29-M29</f>
        <v/>
      </c>
      <c r="Q29" s="37" t="n">
        <v>501.658334426522</v>
      </c>
      <c r="R29" s="37" t="n">
        <v>67.4385832091796</v>
      </c>
      <c r="S29" s="37" t="n">
        <v>2.25156983943842</v>
      </c>
      <c r="T29" s="35">
        <f>Q29-R29-S29</f>
        <v/>
      </c>
      <c r="U29" s="37" t="n">
        <v>0</v>
      </c>
      <c r="V29" s="37" t="n">
        <v>17.5578996928248</v>
      </c>
      <c r="W29" s="35">
        <f>G29+P29+T29+V29</f>
        <v/>
      </c>
      <c r="X29" s="38">
        <f>(E29+N29+Q29+U29+V29)-(O29+R29+U29)-(F29+M29+S29)-W29</f>
        <v/>
      </c>
    </row>
    <row r="30">
      <c r="A30" s="14" t="n">
        <v>2050</v>
      </c>
      <c r="B30" s="36">
        <f>'6. Rates &amp; revenue'!I30</f>
        <v/>
      </c>
      <c r="C30" s="37" t="n">
        <v>45.5054605024188</v>
      </c>
      <c r="D30" s="37" t="n">
        <v>0</v>
      </c>
      <c r="E30" s="35">
        <f>B30+C30+D30</f>
        <v/>
      </c>
      <c r="F30" s="37" t="n">
        <v>47.9534944692059</v>
      </c>
      <c r="G30" s="35">
        <f>E30-F30</f>
        <v/>
      </c>
      <c r="H30" s="36">
        <f>'6. Rates &amp; revenue'!M30</f>
        <v/>
      </c>
      <c r="I30" s="36">
        <f>'6. Rates &amp; revenue'!Q30</f>
        <v/>
      </c>
      <c r="J30" s="36">
        <f>'6. Rates &amp; revenue'!U30</f>
        <v/>
      </c>
      <c r="K30" s="36">
        <f>'6. Rates &amp; revenue'!Y30</f>
        <v/>
      </c>
      <c r="L30" s="37" t="n">
        <v>767.053372995499</v>
      </c>
      <c r="M30" s="37" t="n">
        <v>360.361687197605</v>
      </c>
      <c r="N30" s="35">
        <f>SUM(H30:M30)</f>
        <v/>
      </c>
      <c r="O30" s="37" t="n">
        <v>91.1032864355532</v>
      </c>
      <c r="P30" s="35">
        <f>N30-O30-M30</f>
        <v/>
      </c>
      <c r="Q30" s="37" t="n">
        <v>500.3005970218617</v>
      </c>
      <c r="R30" s="37" t="n">
        <v>67.33879280644361</v>
      </c>
      <c r="S30" s="37" t="n">
        <v>2.27387109648037</v>
      </c>
      <c r="T30" s="35">
        <f>Q30-R30-S30</f>
        <v/>
      </c>
      <c r="U30" s="37" t="n">
        <v>0</v>
      </c>
      <c r="V30" s="37" t="n">
        <v>17.5578996928248</v>
      </c>
      <c r="W30" s="35">
        <f>G30+P30+T30+V30</f>
        <v/>
      </c>
      <c r="X30" s="38">
        <f>(E30+N30+Q30+U30+V30)-(O30+R30+U30)-(F30+M30+S30)-W30</f>
        <v/>
      </c>
    </row>
    <row r="32">
      <c r="A32" s="2" t="inlineStr">
        <is>
          <t>Gross RUC adds refunds back before netting them off again (MoT's published convention). The cross-check column recomputes total NLTF the official way - total gross revenue minus total admin fees minus total refunds - and must equal zero against the stream-wise rollup.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34"/>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s>
  <sheetData>
    <row r="1">
      <c r="A1" s="1" t="inlineStr">
        <is>
          <t>Does this workbook match the dashboard? Yes - to the dollar.</t>
        </is>
      </c>
    </row>
    <row r="2">
      <c r="A2" s="2" t="inlineStr">
        <is>
          <t>Blue columns are the committed values behind the dashboard charts (AR(1) engine pack, base case). Green columns are this workbook's formulas. Every difference column should read zero.</t>
        </is>
      </c>
    </row>
    <row r="4">
      <c r="A4" s="3" t="inlineStr">
        <is>
          <t>Workbook vs committed dashboard pack (base case, June years)</t>
        </is>
      </c>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c r="AG4" s="4" t="n"/>
      <c r="AH4" s="4" t="n"/>
      <c r="AI4" s="4" t="n"/>
      <c r="AJ4" s="4" t="n"/>
      <c r="AK4" s="4" t="n"/>
    </row>
    <row r="5">
      <c r="B5" s="12" t="inlineStr">
        <is>
          <t>Petrol litres (million L)</t>
        </is>
      </c>
      <c r="E5" s="12" t="inlineStr">
        <is>
          <t>Petrol duty revenue ($m)</t>
        </is>
      </c>
      <c r="H5" s="12" t="inlineStr">
        <is>
          <t>Conventional light RUC km (m km)</t>
        </is>
      </c>
      <c r="K5" s="12" t="inlineStr">
        <is>
          <t>Battery-electric RUC km (m km)</t>
        </is>
      </c>
      <c r="N5" s="12" t="inlineStr">
        <is>
          <t>Plug-in hybrid RUC km (m km)</t>
        </is>
      </c>
      <c r="Q5" s="12" t="inlineStr">
        <is>
          <t>Conventional light RUC revenue ($m)</t>
        </is>
      </c>
      <c r="T5" s="12" t="inlineStr">
        <is>
          <t>Battery-electric RUC revenue ($m)</t>
        </is>
      </c>
      <c r="W5" s="12" t="inlineStr">
        <is>
          <t>Plug-in hybrid RUC revenue ($m)</t>
        </is>
      </c>
      <c r="Z5" s="12" t="inlineStr">
        <is>
          <t>Heavy RUC revenue ($m)</t>
        </is>
      </c>
      <c r="AC5" s="12" t="inlineStr">
        <is>
          <t>Net fuel excise ($m)</t>
        </is>
      </c>
      <c r="AF5" s="12" t="inlineStr">
        <is>
          <t>Net RUC ($m)</t>
        </is>
      </c>
      <c r="AI5" s="12" t="inlineStr">
        <is>
          <t>Total NLTF revenue ($m)</t>
        </is>
      </c>
    </row>
    <row r="6">
      <c r="A6" s="13" t="inlineStr">
        <is>
          <t>June year</t>
        </is>
      </c>
      <c r="B6" s="13" t="inlineStr">
        <is>
          <t>This workbook</t>
        </is>
      </c>
      <c r="C6" s="13" t="inlineStr">
        <is>
          <t>Dashboard</t>
        </is>
      </c>
      <c r="D6" s="13" t="inlineStr">
        <is>
          <t>Difference</t>
        </is>
      </c>
      <c r="E6" s="13" t="inlineStr">
        <is>
          <t>This workbook</t>
        </is>
      </c>
      <c r="F6" s="13" t="inlineStr">
        <is>
          <t>Dashboard</t>
        </is>
      </c>
      <c r="G6" s="13" t="inlineStr">
        <is>
          <t>Difference</t>
        </is>
      </c>
      <c r="H6" s="13" t="inlineStr">
        <is>
          <t>This workbook</t>
        </is>
      </c>
      <c r="I6" s="13" t="inlineStr">
        <is>
          <t>Dashboard</t>
        </is>
      </c>
      <c r="J6" s="13" t="inlineStr">
        <is>
          <t>Difference</t>
        </is>
      </c>
      <c r="K6" s="13" t="inlineStr">
        <is>
          <t>This workbook</t>
        </is>
      </c>
      <c r="L6" s="13" t="inlineStr">
        <is>
          <t>Dashboard</t>
        </is>
      </c>
      <c r="M6" s="13" t="inlineStr">
        <is>
          <t>Difference</t>
        </is>
      </c>
      <c r="N6" s="13" t="inlineStr">
        <is>
          <t>This workbook</t>
        </is>
      </c>
      <c r="O6" s="13" t="inlineStr">
        <is>
          <t>Dashboard</t>
        </is>
      </c>
      <c r="P6" s="13" t="inlineStr">
        <is>
          <t>Difference</t>
        </is>
      </c>
      <c r="Q6" s="13" t="inlineStr">
        <is>
          <t>This workbook</t>
        </is>
      </c>
      <c r="R6" s="13" t="inlineStr">
        <is>
          <t>Dashboard</t>
        </is>
      </c>
      <c r="S6" s="13" t="inlineStr">
        <is>
          <t>Difference</t>
        </is>
      </c>
      <c r="T6" s="13" t="inlineStr">
        <is>
          <t>This workbook</t>
        </is>
      </c>
      <c r="U6" s="13" t="inlineStr">
        <is>
          <t>Dashboard</t>
        </is>
      </c>
      <c r="V6" s="13" t="inlineStr">
        <is>
          <t>Difference</t>
        </is>
      </c>
      <c r="W6" s="13" t="inlineStr">
        <is>
          <t>This workbook</t>
        </is>
      </c>
      <c r="X6" s="13" t="inlineStr">
        <is>
          <t>Dashboard</t>
        </is>
      </c>
      <c r="Y6" s="13" t="inlineStr">
        <is>
          <t>Difference</t>
        </is>
      </c>
      <c r="Z6" s="13" t="inlineStr">
        <is>
          <t>This workbook</t>
        </is>
      </c>
      <c r="AA6" s="13" t="inlineStr">
        <is>
          <t>Dashboard</t>
        </is>
      </c>
      <c r="AB6" s="13" t="inlineStr">
        <is>
          <t>Difference</t>
        </is>
      </c>
      <c r="AC6" s="13" t="inlineStr">
        <is>
          <t>This workbook</t>
        </is>
      </c>
      <c r="AD6" s="13" t="inlineStr">
        <is>
          <t>Dashboard</t>
        </is>
      </c>
      <c r="AE6" s="13" t="inlineStr">
        <is>
          <t>Difference</t>
        </is>
      </c>
      <c r="AF6" s="13" t="inlineStr">
        <is>
          <t>This workbook</t>
        </is>
      </c>
      <c r="AG6" s="13" t="inlineStr">
        <is>
          <t>Dashboard</t>
        </is>
      </c>
      <c r="AH6" s="13" t="inlineStr">
        <is>
          <t>Difference</t>
        </is>
      </c>
      <c r="AI6" s="13" t="inlineStr">
        <is>
          <t>This workbook</t>
        </is>
      </c>
      <c r="AJ6" s="13" t="inlineStr">
        <is>
          <t>Dashboard</t>
        </is>
      </c>
      <c r="AK6" s="13" t="inlineStr">
        <is>
          <t>Difference</t>
        </is>
      </c>
    </row>
    <row r="7">
      <c r="A7" s="14" t="n">
        <v>2026</v>
      </c>
      <c r="B7" s="36">
        <f>'6. Rates &amp; revenue'!H6</f>
        <v/>
      </c>
      <c r="C7" s="37" t="n">
        <v>2936.20421618675</v>
      </c>
      <c r="D7" s="38">
        <f>B7-C7</f>
        <v/>
      </c>
      <c r="E7" s="36">
        <f>'6. Rates &amp; revenue'!I6</f>
        <v/>
      </c>
      <c r="F7" s="37" t="n">
        <v>2056.047640342611</v>
      </c>
      <c r="G7" s="38">
        <f>E7-F7</f>
        <v/>
      </c>
      <c r="H7" s="36">
        <f>'5. Light fleet split'!S6</f>
        <v/>
      </c>
      <c r="I7" s="37" t="n">
        <v>12354.53326571022</v>
      </c>
      <c r="J7" s="38">
        <f>H7-I7</f>
        <v/>
      </c>
      <c r="K7" s="36">
        <f>'5. Light fleet split'!P6</f>
        <v/>
      </c>
      <c r="L7" s="37" t="n">
        <v>1191.845204419182</v>
      </c>
      <c r="M7" s="38">
        <f>K7-L7</f>
        <v/>
      </c>
      <c r="N7" s="36">
        <f>'5. Light fleet split'!Q6</f>
        <v/>
      </c>
      <c r="O7" s="37" t="n">
        <v>624.210990914802</v>
      </c>
      <c r="P7" s="38">
        <f>N7-O7</f>
        <v/>
      </c>
      <c r="Q7" s="36">
        <f>'6. Rates &amp; revenue'!M6</f>
        <v/>
      </c>
      <c r="R7" s="37" t="n">
        <v>836.9241128552899</v>
      </c>
      <c r="S7" s="38">
        <f>Q7-R7</f>
        <v/>
      </c>
      <c r="T7" s="36">
        <f>'6. Rates &amp; revenue'!Q6</f>
        <v/>
      </c>
      <c r="U7" s="37" t="n">
        <v>80.28370852995084</v>
      </c>
      <c r="V7" s="38">
        <f>T7-U7</f>
        <v/>
      </c>
      <c r="W7" s="36">
        <f>'6. Rates &amp; revenue'!U6</f>
        <v/>
      </c>
      <c r="X7" s="37" t="n">
        <v>21.52367459486641</v>
      </c>
      <c r="Y7" s="38">
        <f>W7-X7</f>
        <v/>
      </c>
      <c r="Z7" s="36">
        <f>'6. Rates &amp; revenue'!Y6</f>
        <v/>
      </c>
      <c r="AA7" s="37" t="n">
        <v>1129.322762595925</v>
      </c>
      <c r="AB7" s="38">
        <f>Z7-AA7</f>
        <v/>
      </c>
      <c r="AC7" s="36">
        <f>'7. NLTF rollup'!G6</f>
        <v/>
      </c>
      <c r="AD7" s="37" t="n">
        <v>2024.8252782872</v>
      </c>
      <c r="AE7" s="38">
        <f>AC7-AD7</f>
        <v/>
      </c>
      <c r="AF7" s="36">
        <f>'7. NLTF rollup'!P6</f>
        <v/>
      </c>
      <c r="AG7" s="37" t="n">
        <v>2033.483387369953</v>
      </c>
      <c r="AH7" s="38">
        <f>AF7-AG7</f>
        <v/>
      </c>
      <c r="AI7" s="36">
        <f>'7. NLTF rollup'!W6</f>
        <v/>
      </c>
      <c r="AJ7" s="37" t="n">
        <v>4500.843936672157</v>
      </c>
      <c r="AK7" s="38">
        <f>AI7-AJ7</f>
        <v/>
      </c>
    </row>
    <row r="8">
      <c r="A8" s="14" t="n">
        <v>2027</v>
      </c>
      <c r="B8" s="36">
        <f>'6. Rates &amp; revenue'!H7</f>
        <v/>
      </c>
      <c r="C8" s="37" t="n">
        <v>2766.789627287435</v>
      </c>
      <c r="D8" s="38">
        <f>B8-C8</f>
        <v/>
      </c>
      <c r="E8" s="36">
        <f>'6. Rates &amp; revenue'!I7</f>
        <v/>
      </c>
      <c r="F8" s="37" t="n">
        <v>2102.326376627242</v>
      </c>
      <c r="G8" s="38">
        <f>E8-F8</f>
        <v/>
      </c>
      <c r="H8" s="36">
        <f>'5. Light fleet split'!S7</f>
        <v/>
      </c>
      <c r="I8" s="37" t="n">
        <v>11872.66203656835</v>
      </c>
      <c r="J8" s="38">
        <f>H8-I8</f>
        <v/>
      </c>
      <c r="K8" s="36">
        <f>'5. Light fleet split'!P7</f>
        <v/>
      </c>
      <c r="L8" s="37" t="n">
        <v>1484.781167750223</v>
      </c>
      <c r="M8" s="38">
        <f>K8-L8</f>
        <v/>
      </c>
      <c r="N8" s="36">
        <f>'5. Light fleet split'!Q7</f>
        <v/>
      </c>
      <c r="O8" s="37" t="n">
        <v>818.2788468148329</v>
      </c>
      <c r="P8" s="38">
        <f>N8-O8</f>
        <v/>
      </c>
      <c r="Q8" s="36">
        <f>'6. Rates &amp; revenue'!M7</f>
        <v/>
      </c>
      <c r="R8" s="37" t="n">
        <v>865.9001110853621</v>
      </c>
      <c r="S8" s="38">
        <f>Q8-R8</f>
        <v/>
      </c>
      <c r="T8" s="36">
        <f>'6. Rates &amp; revenue'!Q7</f>
        <v/>
      </c>
      <c r="U8" s="37" t="n">
        <v>108.2604890865137</v>
      </c>
      <c r="V8" s="38">
        <f>T8-U8</f>
        <v/>
      </c>
      <c r="W8" s="36">
        <f>'6. Rates &amp; revenue'!U7</f>
        <v/>
      </c>
      <c r="X8" s="37" t="n">
        <v>29.9452191321711</v>
      </c>
      <c r="Y8" s="38">
        <f>W8-X8</f>
        <v/>
      </c>
      <c r="Z8" s="36">
        <f>'6. Rates &amp; revenue'!Y7</f>
        <v/>
      </c>
      <c r="AA8" s="37" t="n">
        <v>1231.406116392775</v>
      </c>
      <c r="AB8" s="38">
        <f>Z8-AA8</f>
        <v/>
      </c>
      <c r="AC8" s="36">
        <f>'7. NLTF rollup'!G7</f>
        <v/>
      </c>
      <c r="AD8" s="37" t="n">
        <v>2062.854104543626</v>
      </c>
      <c r="AE8" s="38">
        <f>AC8-AD8</f>
        <v/>
      </c>
      <c r="AF8" s="36">
        <f>'7. NLTF rollup'!P7</f>
        <v/>
      </c>
      <c r="AG8" s="37" t="n">
        <v>2199.774059929923</v>
      </c>
      <c r="AH8" s="38">
        <f>AF8-AG8</f>
        <v/>
      </c>
      <c r="AI8" s="36">
        <f>'7. NLTF rollup'!W7</f>
        <v/>
      </c>
      <c r="AJ8" s="37" t="n">
        <v>4776.335816316823</v>
      </c>
      <c r="AK8" s="38">
        <f>AI8-AJ8</f>
        <v/>
      </c>
    </row>
    <row r="9">
      <c r="A9" s="14" t="n">
        <v>2028</v>
      </c>
      <c r="B9" s="36">
        <f>'6. Rates &amp; revenue'!H8</f>
        <v/>
      </c>
      <c r="C9" s="37" t="n">
        <v>2704.660843034633</v>
      </c>
      <c r="D9" s="38">
        <f>B9-C9</f>
        <v/>
      </c>
      <c r="E9" s="36">
        <f>'6. Rates &amp; revenue'!I8</f>
        <v/>
      </c>
      <c r="F9" s="37" t="n">
        <v>2299.203551327065</v>
      </c>
      <c r="G9" s="38">
        <f>E9-F9</f>
        <v/>
      </c>
      <c r="H9" s="36">
        <f>'5. Light fleet split'!S8</f>
        <v/>
      </c>
      <c r="I9" s="37" t="n">
        <v>12321.17750546908</v>
      </c>
      <c r="J9" s="38">
        <f>H9-I9</f>
        <v/>
      </c>
      <c r="K9" s="36">
        <f>'5. Light fleet split'!P8</f>
        <v/>
      </c>
      <c r="L9" s="37" t="n">
        <v>1851.521639240915</v>
      </c>
      <c r="M9" s="38">
        <f>K9-L9</f>
        <v/>
      </c>
      <c r="N9" s="36">
        <f>'5. Light fleet split'!Q8</f>
        <v/>
      </c>
      <c r="O9" s="37" t="n">
        <v>1036.935345495011</v>
      </c>
      <c r="P9" s="38">
        <f>N9-O9</f>
        <v/>
      </c>
      <c r="Q9" s="36">
        <f>'6. Rates &amp; revenue'!M8</f>
        <v/>
      </c>
      <c r="R9" s="37" t="n">
        <v>1001.861409549053</v>
      </c>
      <c r="S9" s="38">
        <f>Q9-R9</f>
        <v/>
      </c>
      <c r="T9" s="36">
        <f>'6. Rates &amp; revenue'!Q8</f>
        <v/>
      </c>
      <c r="U9" s="37" t="n">
        <v>150.6212853522483</v>
      </c>
      <c r="V9" s="38">
        <f>T9-U9</f>
        <v/>
      </c>
      <c r="W9" s="36">
        <f>'6. Rates &amp; revenue'!U8</f>
        <v/>
      </c>
      <c r="X9" s="37" t="n">
        <v>41.5966613845325</v>
      </c>
      <c r="Y9" s="38">
        <f>W9-X9</f>
        <v/>
      </c>
      <c r="Z9" s="36">
        <f>'6. Rates &amp; revenue'!Y8</f>
        <v/>
      </c>
      <c r="AA9" s="37" t="n">
        <v>1380.116725975766</v>
      </c>
      <c r="AB9" s="38">
        <f>Z9-AA9</f>
        <v/>
      </c>
      <c r="AC9" s="36">
        <f>'7. NLTF rollup'!G8</f>
        <v/>
      </c>
      <c r="AD9" s="37" t="n">
        <v>2249.9452131878</v>
      </c>
      <c r="AE9" s="38">
        <f>AC9-AD9</f>
        <v/>
      </c>
      <c r="AF9" s="36">
        <f>'7. NLTF rollup'!P8</f>
        <v/>
      </c>
      <c r="AG9" s="37" t="n">
        <v>2556.609301726984</v>
      </c>
      <c r="AH9" s="38">
        <f>AF9-AG9</f>
        <v/>
      </c>
      <c r="AI9" s="36">
        <f>'7. NLTF rollup'!W8</f>
        <v/>
      </c>
      <c r="AJ9" s="37" t="n">
        <v>5314.362924884193</v>
      </c>
      <c r="AK9" s="38">
        <f>AI9-AJ9</f>
        <v/>
      </c>
    </row>
    <row r="10">
      <c r="A10" s="14" t="n">
        <v>2029</v>
      </c>
      <c r="B10" s="36">
        <f>'6. Rates &amp; revenue'!H9</f>
        <v/>
      </c>
      <c r="C10" s="37" t="n">
        <v>2655.271718124623</v>
      </c>
      <c r="D10" s="38">
        <f>B10-C10</f>
        <v/>
      </c>
      <c r="E10" s="36">
        <f>'6. Rates &amp; revenue'!I9</f>
        <v/>
      </c>
      <c r="F10" s="37" t="n">
        <v>2390.038492191112</v>
      </c>
      <c r="G10" s="38">
        <f>E10-F10</f>
        <v/>
      </c>
      <c r="H10" s="36">
        <f>'5. Light fleet split'!S9</f>
        <v/>
      </c>
      <c r="I10" s="37" t="n">
        <v>12507.79954095648</v>
      </c>
      <c r="J10" s="38">
        <f>H10-I10</f>
        <v/>
      </c>
      <c r="K10" s="36">
        <f>'5. Light fleet split'!P9</f>
        <v/>
      </c>
      <c r="L10" s="37" t="n">
        <v>2286.771437856836</v>
      </c>
      <c r="M10" s="38">
        <f>K10-L10</f>
        <v/>
      </c>
      <c r="N10" s="36">
        <f>'5. Light fleet split'!Q9</f>
        <v/>
      </c>
      <c r="O10" s="37" t="n">
        <v>1274.177193790795</v>
      </c>
      <c r="P10" s="38">
        <f>N10-O10</f>
        <v/>
      </c>
      <c r="Q10" s="36">
        <f>'6. Rates &amp; revenue'!M9</f>
        <v/>
      </c>
      <c r="R10" s="37" t="n">
        <v>1077.220090559478</v>
      </c>
      <c r="S10" s="38">
        <f>Q10-R10</f>
        <v/>
      </c>
      <c r="T10" s="36">
        <f>'6. Rates &amp; revenue'!Q9</f>
        <v/>
      </c>
      <c r="U10" s="37" t="n">
        <v>196.9710577997979</v>
      </c>
      <c r="V10" s="38">
        <f>T10-U10</f>
        <v/>
      </c>
      <c r="W10" s="36">
        <f>'6. Rates &amp; revenue'!U9</f>
        <v/>
      </c>
      <c r="X10" s="37" t="n">
        <v>54.12067630626397</v>
      </c>
      <c r="Y10" s="38">
        <f>W10-X10</f>
        <v/>
      </c>
      <c r="Z10" s="36">
        <f>'6. Rates &amp; revenue'!Y9</f>
        <v/>
      </c>
      <c r="AA10" s="37" t="n">
        <v>1474.75571933762</v>
      </c>
      <c r="AB10" s="38">
        <f>Z10-AA10</f>
        <v/>
      </c>
      <c r="AC10" s="36">
        <f>'7. NLTF rollup'!G9</f>
        <v/>
      </c>
      <c r="AD10" s="37" t="n">
        <v>2335.26452205252</v>
      </c>
      <c r="AE10" s="38">
        <f>AC10-AD10</f>
        <v/>
      </c>
      <c r="AF10" s="36">
        <f>'7. NLTF rollup'!P9</f>
        <v/>
      </c>
      <c r="AG10" s="37" t="n">
        <v>2789.059566864305</v>
      </c>
      <c r="AH10" s="38">
        <f>AF10-AG10</f>
        <v/>
      </c>
      <c r="AI10" s="36">
        <f>'7. NLTF rollup'!W9</f>
        <v/>
      </c>
      <c r="AJ10" s="37" t="n">
        <v>5626.725098603346</v>
      </c>
      <c r="AK10" s="38">
        <f>AI10-AJ10</f>
        <v/>
      </c>
    </row>
    <row r="11">
      <c r="A11" s="14" t="n">
        <v>2030</v>
      </c>
      <c r="B11" s="36">
        <f>'6. Rates &amp; revenue'!H10</f>
        <v/>
      </c>
      <c r="C11" s="37" t="n">
        <v>2607.101060932073</v>
      </c>
      <c r="D11" s="38">
        <f>B11-C11</f>
        <v/>
      </c>
      <c r="E11" s="36">
        <f>'6. Rates &amp; revenue'!I10</f>
        <v/>
      </c>
      <c r="F11" s="37" t="n">
        <v>2450.933793100816</v>
      </c>
      <c r="G11" s="38">
        <f>E11-F11</f>
        <v/>
      </c>
      <c r="H11" s="36">
        <f>'5. Light fleet split'!S10</f>
        <v/>
      </c>
      <c r="I11" s="37" t="n">
        <v>12493.29782882809</v>
      </c>
      <c r="J11" s="38">
        <f>H11-I11</f>
        <v/>
      </c>
      <c r="K11" s="36">
        <f>'5. Light fleet split'!P10</f>
        <v/>
      </c>
      <c r="L11" s="37" t="n">
        <v>2748.38381530324</v>
      </c>
      <c r="M11" s="38">
        <f>K11-L11</f>
        <v/>
      </c>
      <c r="N11" s="36">
        <f>'5. Light fleet split'!Q10</f>
        <v/>
      </c>
      <c r="O11" s="37" t="n">
        <v>1509.950886762623</v>
      </c>
      <c r="P11" s="38">
        <f>N11-O11</f>
        <v/>
      </c>
      <c r="Q11" s="36">
        <f>'6. Rates &amp; revenue'!M10</f>
        <v/>
      </c>
      <c r="R11" s="37" t="n">
        <v>1123.823934071027</v>
      </c>
      <c r="S11" s="38">
        <f>Q11-R11</f>
        <v/>
      </c>
      <c r="T11" s="36">
        <f>'6. Rates &amp; revenue'!Q10</f>
        <v/>
      </c>
      <c r="U11" s="37" t="n">
        <v>247.2583499437562</v>
      </c>
      <c r="V11" s="38">
        <f>T11-U11</f>
        <v/>
      </c>
      <c r="W11" s="36">
        <f>'6. Rates &amp; revenue'!U10</f>
        <v/>
      </c>
      <c r="X11" s="37" t="n">
        <v>66.98897109122355</v>
      </c>
      <c r="Y11" s="38">
        <f>W11-X11</f>
        <v/>
      </c>
      <c r="Z11" s="36">
        <f>'6. Rates &amp; revenue'!Y10</f>
        <v/>
      </c>
      <c r="AA11" s="37" t="n">
        <v>1552.689041077398</v>
      </c>
      <c r="AB11" s="38">
        <f>Z11-AA11</f>
        <v/>
      </c>
      <c r="AC11" s="36">
        <f>'7. NLTF rollup'!G10</f>
        <v/>
      </c>
      <c r="AD11" s="37" t="n">
        <v>2391.765578557395</v>
      </c>
      <c r="AE11" s="38">
        <f>AC11-AD11</f>
        <v/>
      </c>
      <c r="AF11" s="36">
        <f>'7. NLTF rollup'!P10</f>
        <v/>
      </c>
      <c r="AG11" s="37" t="n">
        <v>2981.134055800556</v>
      </c>
      <c r="AH11" s="38">
        <f>AF11-AG11</f>
        <v/>
      </c>
      <c r="AI11" s="36">
        <f>'7. NLTF rollup'!W10</f>
        <v/>
      </c>
      <c r="AJ11" s="37" t="n">
        <v>5870.341252339636</v>
      </c>
      <c r="AK11" s="38">
        <f>AI11-AJ11</f>
        <v/>
      </c>
    </row>
    <row r="12">
      <c r="A12" s="14" t="n">
        <v>2031</v>
      </c>
      <c r="B12" s="36">
        <f>'6. Rates &amp; revenue'!H11</f>
        <v/>
      </c>
      <c r="C12" s="37" t="n">
        <v>2551.53487982569</v>
      </c>
      <c r="D12" s="38">
        <f>B12-C12</f>
        <v/>
      </c>
      <c r="E12" s="36">
        <f>'6. Rates &amp; revenue'!I11</f>
        <v/>
      </c>
      <c r="F12" s="37" t="n">
        <v>2500.828740141434</v>
      </c>
      <c r="G12" s="38">
        <f>E12-F12</f>
        <v/>
      </c>
      <c r="H12" s="36">
        <f>'5. Light fleet split'!S11</f>
        <v/>
      </c>
      <c r="I12" s="37" t="n">
        <v>12487.25346736557</v>
      </c>
      <c r="J12" s="38">
        <f>H12-I12</f>
        <v/>
      </c>
      <c r="K12" s="36">
        <f>'5. Light fleet split'!P11</f>
        <v/>
      </c>
      <c r="L12" s="37" t="n">
        <v>3309.327226639888</v>
      </c>
      <c r="M12" s="38">
        <f>K12-L12</f>
        <v/>
      </c>
      <c r="N12" s="36">
        <f>'5. Light fleet split'!Q11</f>
        <v/>
      </c>
      <c r="O12" s="37" t="n">
        <v>1773.344427099062</v>
      </c>
      <c r="P12" s="38">
        <f>N12-O12</f>
        <v/>
      </c>
      <c r="Q12" s="36">
        <f>'6. Rates &amp; revenue'!M11</f>
        <v/>
      </c>
      <c r="R12" s="37" t="n">
        <v>1171.179502704218</v>
      </c>
      <c r="S12" s="38">
        <f>Q12-R12</f>
        <v/>
      </c>
      <c r="T12" s="36">
        <f>'6. Rates &amp; revenue'!Q11</f>
        <v/>
      </c>
      <c r="U12" s="37" t="n">
        <v>310.3818005865552</v>
      </c>
      <c r="V12" s="38">
        <f>T12-U12</f>
        <v/>
      </c>
      <c r="W12" s="36">
        <f>'6. Rates &amp; revenue'!U11</f>
        <v/>
      </c>
      <c r="X12" s="37" t="n">
        <v>82.02604647546727</v>
      </c>
      <c r="Y12" s="38">
        <f>W12-X12</f>
        <v/>
      </c>
      <c r="Z12" s="36">
        <f>'6. Rates &amp; revenue'!Y11</f>
        <v/>
      </c>
      <c r="AA12" s="37" t="n">
        <v>1633.436504491658</v>
      </c>
      <c r="AB12" s="38">
        <f>Z12-AA12</f>
        <v/>
      </c>
      <c r="AC12" s="36">
        <f>'7. NLTF rollup'!G11</f>
        <v/>
      </c>
      <c r="AD12" s="37" t="n">
        <v>2438.886734172821</v>
      </c>
      <c r="AE12" s="38">
        <f>AC12-AD12</f>
        <v/>
      </c>
      <c r="AF12" s="36">
        <f>'7. NLTF rollup'!P11</f>
        <v/>
      </c>
      <c r="AG12" s="37" t="n">
        <v>3196.309913476796</v>
      </c>
      <c r="AH12" s="38">
        <f>AF12-AG12</f>
        <v/>
      </c>
      <c r="AI12" s="36">
        <f>'7. NLTF rollup'!W11</f>
        <v/>
      </c>
      <c r="AJ12" s="37" t="n">
        <v>6128.084885524813</v>
      </c>
      <c r="AK12" s="38">
        <f>AI12-AJ12</f>
        <v/>
      </c>
    </row>
    <row r="13">
      <c r="A13" s="14" t="n">
        <v>2032</v>
      </c>
      <c r="B13" s="36">
        <f>'6. Rates &amp; revenue'!H12</f>
        <v/>
      </c>
      <c r="C13" s="37" t="n">
        <v>2485.10214773014</v>
      </c>
      <c r="D13" s="38">
        <f>B13-C13</f>
        <v/>
      </c>
      <c r="E13" s="36">
        <f>'6. Rates &amp; revenue'!I12</f>
        <v/>
      </c>
      <c r="F13" s="37" t="n">
        <v>2535.154365853288</v>
      </c>
      <c r="G13" s="38">
        <f>E13-F13</f>
        <v/>
      </c>
      <c r="H13" s="36">
        <f>'5. Light fleet split'!S12</f>
        <v/>
      </c>
      <c r="I13" s="37" t="n">
        <v>12443.78619618035</v>
      </c>
      <c r="J13" s="38">
        <f>H13-I13</f>
        <v/>
      </c>
      <c r="K13" s="36">
        <f>'5. Light fleet split'!P12</f>
        <v/>
      </c>
      <c r="L13" s="37" t="n">
        <v>3932.396966746241</v>
      </c>
      <c r="M13" s="38">
        <f>K13-L13</f>
        <v/>
      </c>
      <c r="N13" s="36">
        <f>'5. Light fleet split'!Q12</f>
        <v/>
      </c>
      <c r="O13" s="37" t="n">
        <v>2051.341693962586</v>
      </c>
      <c r="P13" s="38">
        <f>N13-O13</f>
        <v/>
      </c>
      <c r="Q13" s="36">
        <f>'6. Rates &amp; revenue'!M12</f>
        <v/>
      </c>
      <c r="R13" s="37" t="n">
        <v>1214.700189540142</v>
      </c>
      <c r="S13" s="38">
        <f>Q13-R13</f>
        <v/>
      </c>
      <c r="T13" s="36">
        <f>'6. Rates &amp; revenue'!Q12</f>
        <v/>
      </c>
      <c r="U13" s="37" t="n">
        <v>383.8609299089341</v>
      </c>
      <c r="V13" s="38">
        <f>T13-U13</f>
        <v/>
      </c>
      <c r="W13" s="36">
        <f>'6. Rates &amp; revenue'!U12</f>
        <v/>
      </c>
      <c r="X13" s="37" t="n">
        <v>98.7515891473586</v>
      </c>
      <c r="Y13" s="38">
        <f>W13-X13</f>
        <v/>
      </c>
      <c r="Z13" s="36">
        <f>'6. Rates &amp; revenue'!Y12</f>
        <v/>
      </c>
      <c r="AA13" s="37" t="n">
        <v>1712.627721375962</v>
      </c>
      <c r="AB13" s="38">
        <f>Z13-AA13</f>
        <v/>
      </c>
      <c r="AC13" s="36">
        <f>'7. NLTF rollup'!G12</f>
        <v/>
      </c>
      <c r="AD13" s="37" t="n">
        <v>2470.926038211314</v>
      </c>
      <c r="AE13" s="38">
        <f>AC13-AD13</f>
        <v/>
      </c>
      <c r="AF13" s="36">
        <f>'7. NLTF rollup'!P12</f>
        <v/>
      </c>
      <c r="AG13" s="37" t="n">
        <v>3418.005837729253</v>
      </c>
      <c r="AH13" s="38">
        <f>AF13-AG13</f>
        <v/>
      </c>
      <c r="AI13" s="36">
        <f>'7. NLTF rollup'!W12</f>
        <v/>
      </c>
      <c r="AJ13" s="37" t="n">
        <v>6377.633768933503</v>
      </c>
      <c r="AK13" s="38">
        <f>AI13-AJ13</f>
        <v/>
      </c>
    </row>
    <row r="14">
      <c r="A14" s="14" t="n">
        <v>2033</v>
      </c>
      <c r="B14" s="36">
        <f>'6. Rates &amp; revenue'!H13</f>
        <v/>
      </c>
      <c r="C14" s="37" t="n">
        <v>2413.026839832672</v>
      </c>
      <c r="D14" s="38">
        <f>B14-C14</f>
        <v/>
      </c>
      <c r="E14" s="36">
        <f>'6. Rates &amp; revenue'!I13</f>
        <v/>
      </c>
      <c r="F14" s="37" t="n">
        <v>2558.163063112017</v>
      </c>
      <c r="G14" s="38">
        <f>E14-F14</f>
        <v/>
      </c>
      <c r="H14" s="36">
        <f>'5. Light fleet split'!S13</f>
        <v/>
      </c>
      <c r="I14" s="37" t="n">
        <v>12353.37444477187</v>
      </c>
      <c r="J14" s="38">
        <f>H14-I14</f>
        <v/>
      </c>
      <c r="K14" s="36">
        <f>'5. Light fleet split'!P13</f>
        <v/>
      </c>
      <c r="L14" s="37" t="n">
        <v>4653.288529828189</v>
      </c>
      <c r="M14" s="38">
        <f>K14-L14</f>
        <v/>
      </c>
      <c r="N14" s="36">
        <f>'5. Light fleet split'!Q13</f>
        <v/>
      </c>
      <c r="O14" s="37" t="n">
        <v>2337.052322284168</v>
      </c>
      <c r="P14" s="38">
        <f>N14-O14</f>
        <v/>
      </c>
      <c r="Q14" s="36">
        <f>'6. Rates &amp; revenue'!M13</f>
        <v/>
      </c>
      <c r="R14" s="37" t="n">
        <v>1253.18807054988</v>
      </c>
      <c r="S14" s="38">
        <f>Q14-R14</f>
        <v/>
      </c>
      <c r="T14" s="36">
        <f>'6. Rates &amp; revenue'!Q13</f>
        <v/>
      </c>
      <c r="U14" s="37" t="n">
        <v>472.0528549084208</v>
      </c>
      <c r="V14" s="38">
        <f>T14-U14</f>
        <v/>
      </c>
      <c r="W14" s="36">
        <f>'6. Rates &amp; revenue'!U13</f>
        <v/>
      </c>
      <c r="X14" s="37" t="n">
        <v>116.9110424222654</v>
      </c>
      <c r="Y14" s="38">
        <f>W14-X14</f>
        <v/>
      </c>
      <c r="Z14" s="36">
        <f>'6. Rates &amp; revenue'!Y13</f>
        <v/>
      </c>
      <c r="AA14" s="37" t="n">
        <v>1791.051635760192</v>
      </c>
      <c r="AB14" s="38">
        <f>Z14-AA14</f>
        <v/>
      </c>
      <c r="AC14" s="36">
        <f>'7. NLTF rollup'!G13</f>
        <v/>
      </c>
      <c r="AD14" s="37" t="n">
        <v>2492.351872240352</v>
      </c>
      <c r="AE14" s="38">
        <f>AC14-AD14</f>
        <v/>
      </c>
      <c r="AF14" s="36">
        <f>'7. NLTF rollup'!P13</f>
        <v/>
      </c>
      <c r="AG14" s="37" t="n">
        <v>3651.968710153221</v>
      </c>
      <c r="AH14" s="38">
        <f>AF14-AG14</f>
        <v/>
      </c>
      <c r="AI14" s="36">
        <f>'7. NLTF rollup'!W13</f>
        <v/>
      </c>
      <c r="AJ14" s="37" t="n">
        <v>6629.167513424493</v>
      </c>
      <c r="AK14" s="38">
        <f>AI14-AJ14</f>
        <v/>
      </c>
    </row>
    <row r="15">
      <c r="A15" s="14" t="n">
        <v>2034</v>
      </c>
      <c r="B15" s="36">
        <f>'6. Rates &amp; revenue'!H14</f>
        <v/>
      </c>
      <c r="C15" s="37" t="n">
        <v>2335.199024062698</v>
      </c>
      <c r="D15" s="38">
        <f>B15-C15</f>
        <v/>
      </c>
      <c r="E15" s="36">
        <f>'6. Rates &amp; revenue'!I14</f>
        <v/>
      </c>
      <c r="F15" s="37" t="n">
        <v>2569.050438185217</v>
      </c>
      <c r="G15" s="38">
        <f>E15-F15</f>
        <v/>
      </c>
      <c r="H15" s="36">
        <f>'5. Light fleet split'!S14</f>
        <v/>
      </c>
      <c r="I15" s="37" t="n">
        <v>12202.09313025483</v>
      </c>
      <c r="J15" s="38">
        <f>H15-I15</f>
        <v/>
      </c>
      <c r="K15" s="36">
        <f>'5. Light fleet split'!P14</f>
        <v/>
      </c>
      <c r="L15" s="37" t="n">
        <v>5525.126117299767</v>
      </c>
      <c r="M15" s="38">
        <f>K15-L15</f>
        <v/>
      </c>
      <c r="N15" s="36">
        <f>'5. Light fleet split'!Q14</f>
        <v/>
      </c>
      <c r="O15" s="37" t="n">
        <v>2618.243340722186</v>
      </c>
      <c r="P15" s="38">
        <f>N15-O15</f>
        <v/>
      </c>
      <c r="Q15" s="36">
        <f>'6. Rates &amp; revenue'!M14</f>
        <v/>
      </c>
      <c r="R15" s="37" t="n">
        <v>1284.575354287578</v>
      </c>
      <c r="S15" s="38">
        <f>Q15-R15</f>
        <v/>
      </c>
      <c r="T15" s="36">
        <f>'6. Rates &amp; revenue'!Q14</f>
        <v/>
      </c>
      <c r="U15" s="37" t="n">
        <v>581.6576519987325</v>
      </c>
      <c r="V15" s="38">
        <f>T15-U15</f>
        <v/>
      </c>
      <c r="W15" s="36">
        <f>'6. Rates &amp; revenue'!U14</f>
        <v/>
      </c>
      <c r="X15" s="37" t="n">
        <v>135.9261030335923</v>
      </c>
      <c r="Y15" s="38">
        <f>W15-X15</f>
        <v/>
      </c>
      <c r="Z15" s="36">
        <f>'6. Rates &amp; revenue'!Y14</f>
        <v/>
      </c>
      <c r="AA15" s="37" t="n">
        <v>1871.122285929627</v>
      </c>
      <c r="AB15" s="38">
        <f>Z15-AA15</f>
        <v/>
      </c>
      <c r="AC15" s="36">
        <f>'7. NLTF rollup'!G14</f>
        <v/>
      </c>
      <c r="AD15" s="37" t="n">
        <v>2502.129395446617</v>
      </c>
      <c r="AE15" s="38">
        <f>AC15-AD15</f>
        <v/>
      </c>
      <c r="AF15" s="36">
        <f>'7. NLTF rollup'!P14</f>
        <v/>
      </c>
      <c r="AG15" s="37" t="n">
        <v>3904.058057907822</v>
      </c>
      <c r="AH15" s="38">
        <f>AF15-AG15</f>
        <v/>
      </c>
      <c r="AI15" s="36">
        <f>'7. NLTF rollup'!W14</f>
        <v/>
      </c>
      <c r="AJ15" s="37" t="n">
        <v>6887.47847110855</v>
      </c>
      <c r="AK15" s="38">
        <f>AI15-AJ15</f>
        <v/>
      </c>
    </row>
    <row r="16">
      <c r="A16" s="14" t="n">
        <v>2035</v>
      </c>
      <c r="B16" s="36">
        <f>'6. Rates &amp; revenue'!H15</f>
        <v/>
      </c>
      <c r="C16" s="37" t="n">
        <v>2251.308895648816</v>
      </c>
      <c r="D16" s="38">
        <f>B16-C16</f>
        <v/>
      </c>
      <c r="E16" s="36">
        <f>'6. Rates &amp; revenue'!I15</f>
        <v/>
      </c>
      <c r="F16" s="37" t="n">
        <v>2566.706904655648</v>
      </c>
      <c r="G16" s="38">
        <f>E16-F16</f>
        <v/>
      </c>
      <c r="H16" s="36">
        <f>'5. Light fleet split'!S15</f>
        <v/>
      </c>
      <c r="I16" s="37" t="n">
        <v>11983.80601687263</v>
      </c>
      <c r="J16" s="38">
        <f>H16-I16</f>
        <v/>
      </c>
      <c r="K16" s="36">
        <f>'5. Light fleet split'!P15</f>
        <v/>
      </c>
      <c r="L16" s="37" t="n">
        <v>6577.470804964669</v>
      </c>
      <c r="M16" s="38">
        <f>K16-L16</f>
        <v/>
      </c>
      <c r="N16" s="36">
        <f>'5. Light fleet split'!Q15</f>
        <v/>
      </c>
      <c r="O16" s="37" t="n">
        <v>2885.406447537919</v>
      </c>
      <c r="P16" s="38">
        <f>N16-O16</f>
        <v/>
      </c>
      <c r="Q16" s="36">
        <f>'6. Rates &amp; revenue'!M15</f>
        <v/>
      </c>
      <c r="R16" s="37" t="n">
        <v>1307.433236440801</v>
      </c>
      <c r="S16" s="38">
        <f>Q16-R16</f>
        <v/>
      </c>
      <c r="T16" s="36">
        <f>'6. Rates &amp; revenue'!Q15</f>
        <v/>
      </c>
      <c r="U16" s="37" t="n">
        <v>717.6020648216456</v>
      </c>
      <c r="V16" s="38">
        <f>T16-U16</f>
        <v/>
      </c>
      <c r="W16" s="36">
        <f>'6. Rates &amp; revenue'!U15</f>
        <v/>
      </c>
      <c r="X16" s="37" t="n">
        <v>155.2348668775394</v>
      </c>
      <c r="Y16" s="38">
        <f>W16-X16</f>
        <v/>
      </c>
      <c r="Z16" s="36">
        <f>'6. Rates &amp; revenue'!Y15</f>
        <v/>
      </c>
      <c r="AA16" s="37" t="n">
        <v>1951.65166383477</v>
      </c>
      <c r="AB16" s="38">
        <f>Z16-AA16</f>
        <v/>
      </c>
      <c r="AC16" s="36">
        <f>'7. NLTF rollup'!G15</f>
        <v/>
      </c>
      <c r="AD16" s="37" t="n">
        <v>2499.352828679085</v>
      </c>
      <c r="AE16" s="38">
        <f>AC16-AD16</f>
        <v/>
      </c>
      <c r="AF16" s="36">
        <f>'7. NLTF rollup'!P15</f>
        <v/>
      </c>
      <c r="AG16" s="37" t="n">
        <v>4175.859949622989</v>
      </c>
      <c r="AH16" s="38">
        <f>AF16-AG16</f>
        <v/>
      </c>
      <c r="AI16" s="36">
        <f>'7. NLTF rollup'!W15</f>
        <v/>
      </c>
      <c r="AJ16" s="37" t="n">
        <v>7153.217755385257</v>
      </c>
      <c r="AK16" s="38">
        <f>AI16-AJ16</f>
        <v/>
      </c>
    </row>
    <row r="17">
      <c r="A17" s="14" t="n">
        <v>2036</v>
      </c>
      <c r="B17" s="36">
        <f>'6. Rates &amp; revenue'!H16</f>
        <v/>
      </c>
      <c r="C17" s="37" t="n">
        <v>2162.034065819073</v>
      </c>
      <c r="D17" s="38">
        <f>B17-C17</f>
        <v/>
      </c>
      <c r="E17" s="36">
        <f>'6. Rates &amp; revenue'!I16</f>
        <v/>
      </c>
      <c r="F17" s="37" t="n">
        <v>2551.362854655631</v>
      </c>
      <c r="G17" s="38">
        <f>E17-F17</f>
        <v/>
      </c>
      <c r="H17" s="36">
        <f>'5. Light fleet split'!S16</f>
        <v/>
      </c>
      <c r="I17" s="37" t="n">
        <v>11707.07279230319</v>
      </c>
      <c r="J17" s="38">
        <f>H17-I17</f>
        <v/>
      </c>
      <c r="K17" s="36">
        <f>'5. Light fleet split'!P16</f>
        <v/>
      </c>
      <c r="L17" s="37" t="n">
        <v>7824.394382485204</v>
      </c>
      <c r="M17" s="38">
        <f>K17-L17</f>
        <v/>
      </c>
      <c r="N17" s="36">
        <f>'5. Light fleet split'!Q16</f>
        <v/>
      </c>
      <c r="O17" s="37" t="n">
        <v>3102.862927365006</v>
      </c>
      <c r="P17" s="38">
        <f>N17-O17</f>
        <v/>
      </c>
      <c r="Q17" s="36">
        <f>'6. Rates &amp; revenue'!M16</f>
        <v/>
      </c>
      <c r="R17" s="37" t="n">
        <v>1322.021195070832</v>
      </c>
      <c r="S17" s="38">
        <f>Q17-R17</f>
        <v/>
      </c>
      <c r="T17" s="36">
        <f>'6. Rates &amp; revenue'!Q16</f>
        <v/>
      </c>
      <c r="U17" s="37" t="n">
        <v>883.5697356421416</v>
      </c>
      <c r="V17" s="38">
        <f>T17-U17</f>
        <v/>
      </c>
      <c r="W17" s="36">
        <f>'6. Rates &amp; revenue'!U16</f>
        <v/>
      </c>
      <c r="X17" s="37" t="n">
        <v>172.7829221103199</v>
      </c>
      <c r="Y17" s="38">
        <f>W17-X17</f>
        <v/>
      </c>
      <c r="Z17" s="36">
        <f>'6. Rates &amp; revenue'!Y16</f>
        <v/>
      </c>
      <c r="AA17" s="37" t="n">
        <v>2031.675639873256</v>
      </c>
      <c r="AB17" s="38">
        <f>Z17-AA17</f>
        <v/>
      </c>
      <c r="AC17" s="36">
        <f>'7. NLTF rollup'!G16</f>
        <v/>
      </c>
      <c r="AD17" s="37" t="n">
        <v>2484.409001959211</v>
      </c>
      <c r="AE17" s="38">
        <f>AC17-AD17</f>
        <v/>
      </c>
      <c r="AF17" s="36">
        <f>'7. NLTF rollup'!P16</f>
        <v/>
      </c>
      <c r="AG17" s="37" t="n">
        <v>4469.188842286646</v>
      </c>
      <c r="AH17" s="38">
        <f>AF17-AG17</f>
        <v/>
      </c>
      <c r="AI17" s="36">
        <f>'7. NLTF rollup'!W16</f>
        <v/>
      </c>
      <c r="AJ17" s="37" t="n">
        <v>7428.560405348977</v>
      </c>
      <c r="AK17" s="38">
        <f>AI17-AJ17</f>
        <v/>
      </c>
    </row>
    <row r="18">
      <c r="A18" s="14" t="n">
        <v>2037</v>
      </c>
      <c r="B18" s="36">
        <f>'6. Rates &amp; revenue'!H17</f>
        <v/>
      </c>
      <c r="C18" s="37" t="n">
        <v>2065.283617163674</v>
      </c>
      <c r="D18" s="38">
        <f>B18-C18</f>
        <v/>
      </c>
      <c r="E18" s="36">
        <f>'6. Rates &amp; revenue'!I17</f>
        <v/>
      </c>
      <c r="F18" s="37" t="n">
        <v>2519.725461945408</v>
      </c>
      <c r="G18" s="38">
        <f>E18-F18</f>
        <v/>
      </c>
      <c r="H18" s="36">
        <f>'5. Light fleet split'!S17</f>
        <v/>
      </c>
      <c r="I18" s="37" t="n">
        <v>11354.38372467468</v>
      </c>
      <c r="J18" s="38">
        <f>H18-I18</f>
        <v/>
      </c>
      <c r="K18" s="36">
        <f>'5. Light fleet split'!P17</f>
        <v/>
      </c>
      <c r="L18" s="37" t="n">
        <v>9296.155524838685</v>
      </c>
      <c r="M18" s="38">
        <f>K18-L18</f>
        <v/>
      </c>
      <c r="N18" s="36">
        <f>'5. Light fleet split'!Q17</f>
        <v/>
      </c>
      <c r="O18" s="37" t="n">
        <v>3264.618937537598</v>
      </c>
      <c r="P18" s="38">
        <f>N18-O18</f>
        <v/>
      </c>
      <c r="Q18" s="36">
        <f>'6. Rates &amp; revenue'!M17</f>
        <v/>
      </c>
      <c r="R18" s="37" t="n">
        <v>1325.681071774399</v>
      </c>
      <c r="S18" s="38">
        <f>Q18-R18</f>
        <v/>
      </c>
      <c r="T18" s="36">
        <f>'6. Rates &amp; revenue'!Q17</f>
        <v/>
      </c>
      <c r="U18" s="37" t="n">
        <v>1085.372638302538</v>
      </c>
      <c r="V18" s="38">
        <f>T18-U18</f>
        <v/>
      </c>
      <c r="W18" s="36">
        <f>'6. Rates &amp; revenue'!U17</f>
        <v/>
      </c>
      <c r="X18" s="37" t="n">
        <v>187.9604353287276</v>
      </c>
      <c r="Y18" s="38">
        <f>W18-X18</f>
        <v/>
      </c>
      <c r="Z18" s="36">
        <f>'6. Rates &amp; revenue'!Y17</f>
        <v/>
      </c>
      <c r="AA18" s="37" t="n">
        <v>2111.812794491933</v>
      </c>
      <c r="AB18" s="38">
        <f>Z18-AA18</f>
        <v/>
      </c>
      <c r="AC18" s="36">
        <f>'7. NLTF rollup'!G17</f>
        <v/>
      </c>
      <c r="AD18" s="37" t="n">
        <v>2454.028440021753</v>
      </c>
      <c r="AE18" s="38">
        <f>AC18-AD18</f>
        <v/>
      </c>
      <c r="AF18" s="36">
        <f>'7. NLTF rollup'!P17</f>
        <v/>
      </c>
      <c r="AG18" s="37" t="n">
        <v>4786.998158377385</v>
      </c>
      <c r="AH18" s="38">
        <f>AF18-AG18</f>
        <v/>
      </c>
      <c r="AI18" s="36">
        <f>'7. NLTF rollup'!W17</f>
        <v/>
      </c>
      <c r="AJ18" s="37" t="n">
        <v>7713.166794367432</v>
      </c>
      <c r="AK18" s="38">
        <f>AI18-AJ18</f>
        <v/>
      </c>
    </row>
    <row r="19">
      <c r="A19" s="14" t="n">
        <v>2038</v>
      </c>
      <c r="B19" s="36">
        <f>'6. Rates &amp; revenue'!H18</f>
        <v/>
      </c>
      <c r="C19" s="37" t="n">
        <v>1960.397771065636</v>
      </c>
      <c r="D19" s="38">
        <f>B19-C19</f>
        <v/>
      </c>
      <c r="E19" s="36">
        <f>'6. Rates &amp; revenue'!I18</f>
        <v/>
      </c>
      <c r="F19" s="37" t="n">
        <v>2470.122822096389</v>
      </c>
      <c r="G19" s="38">
        <f>E19-F19</f>
        <v/>
      </c>
      <c r="H19" s="36">
        <f>'5. Light fleet split'!S18</f>
        <v/>
      </c>
      <c r="I19" s="37" t="n">
        <v>10938.21009784628</v>
      </c>
      <c r="J19" s="38">
        <f>H19-I19</f>
        <v/>
      </c>
      <c r="K19" s="36">
        <f>'5. Light fleet split'!P18</f>
        <v/>
      </c>
      <c r="L19" s="37" t="n">
        <v>10997.89139114308</v>
      </c>
      <c r="M19" s="38">
        <f>K19-L19</f>
        <v/>
      </c>
      <c r="N19" s="36">
        <f>'5. Light fleet split'!Q18</f>
        <v/>
      </c>
      <c r="O19" s="37" t="n">
        <v>3385.02198273457</v>
      </c>
      <c r="P19" s="38">
        <f>N19-O19</f>
        <v/>
      </c>
      <c r="Q19" s="36">
        <f>'6. Rates &amp; revenue'!M18</f>
        <v/>
      </c>
      <c r="R19" s="37" t="n">
        <v>1318.984064648794</v>
      </c>
      <c r="S19" s="38">
        <f>Q19-R19</f>
        <v/>
      </c>
      <c r="T19" s="36">
        <f>'6. Rates &amp; revenue'!Q18</f>
        <v/>
      </c>
      <c r="U19" s="37" t="n">
        <v>1326.180733400989</v>
      </c>
      <c r="V19" s="38">
        <f>T19-U19</f>
        <v/>
      </c>
      <c r="W19" s="36">
        <f>'6. Rates &amp; revenue'!U18</f>
        <v/>
      </c>
      <c r="X19" s="37" t="n">
        <v>201.2903322033108</v>
      </c>
      <c r="Y19" s="38">
        <f>W19-X19</f>
        <v/>
      </c>
      <c r="Z19" s="36">
        <f>'6. Rates &amp; revenue'!Y18</f>
        <v/>
      </c>
      <c r="AA19" s="37" t="n">
        <v>2193.282655123844</v>
      </c>
      <c r="AB19" s="38">
        <f>Z19-AA19</f>
        <v/>
      </c>
      <c r="AC19" s="36">
        <f>'7. NLTF rollup'!G18</f>
        <v/>
      </c>
      <c r="AD19" s="37" t="n">
        <v>2406.672369118195</v>
      </c>
      <c r="AE19" s="38">
        <f>AC19-AD19</f>
        <v/>
      </c>
      <c r="AF19" s="36">
        <f>'7. NLTF rollup'!P18</f>
        <v/>
      </c>
      <c r="AG19" s="37" t="n">
        <v>5134.90278200866</v>
      </c>
      <c r="AH19" s="38">
        <f>AF19-AG19</f>
        <v/>
      </c>
      <c r="AI19" s="36">
        <f>'7. NLTF rollup'!W18</f>
        <v/>
      </c>
      <c r="AJ19" s="37" t="n">
        <v>8011.091879173294</v>
      </c>
      <c r="AK19" s="38">
        <f>AI19-AJ19</f>
        <v/>
      </c>
    </row>
    <row r="20">
      <c r="A20" s="14" t="n">
        <v>2039</v>
      </c>
      <c r="B20" s="36">
        <f>'6. Rates &amp; revenue'!H19</f>
        <v/>
      </c>
      <c r="C20" s="37" t="n">
        <v>1845.175390210747</v>
      </c>
      <c r="D20" s="38">
        <f>B20-C20</f>
        <v/>
      </c>
      <c r="E20" s="36">
        <f>'6. Rates &amp; revenue'!I19</f>
        <v/>
      </c>
      <c r="F20" s="37" t="n">
        <v>2398.679788730698</v>
      </c>
      <c r="G20" s="38">
        <f>E20-F20</f>
        <v/>
      </c>
      <c r="H20" s="36">
        <f>'5. Light fleet split'!S19</f>
        <v/>
      </c>
      <c r="I20" s="37" t="n">
        <v>10445.38163741982</v>
      </c>
      <c r="J20" s="38">
        <f>H20-I20</f>
        <v/>
      </c>
      <c r="K20" s="36">
        <f>'5. Light fleet split'!P19</f>
        <v/>
      </c>
      <c r="L20" s="37" t="n">
        <v>12953.89226322705</v>
      </c>
      <c r="M20" s="38">
        <f>K20-L20</f>
        <v/>
      </c>
      <c r="N20" s="36">
        <f>'5. Light fleet split'!Q19</f>
        <v/>
      </c>
      <c r="O20" s="37" t="n">
        <v>3488.68683778651</v>
      </c>
      <c r="P20" s="38">
        <f>N20-O20</f>
        <v/>
      </c>
      <c r="Q20" s="36">
        <f>'6. Rates &amp; revenue'!M19</f>
        <v/>
      </c>
      <c r="R20" s="37" t="n">
        <v>1299.509929511398</v>
      </c>
      <c r="S20" s="38">
        <f>Q20-R20</f>
        <v/>
      </c>
      <c r="T20" s="36">
        <f>'6. Rates &amp; revenue'!Q19</f>
        <v/>
      </c>
      <c r="U20" s="37" t="n">
        <v>1611.593736468072</v>
      </c>
      <c r="V20" s="38">
        <f>T20-U20</f>
        <v/>
      </c>
      <c r="W20" s="36">
        <f>'6. Rates &amp; revenue'!U19</f>
        <v/>
      </c>
      <c r="X20" s="37" t="n">
        <v>214.0309374982026</v>
      </c>
      <c r="Y20" s="38">
        <f>W20-X20</f>
        <v/>
      </c>
      <c r="Z20" s="36">
        <f>'6. Rates &amp; revenue'!Y19</f>
        <v/>
      </c>
      <c r="AA20" s="37" t="n">
        <v>2275.801818172091</v>
      </c>
      <c r="AB20" s="38">
        <f>Z20-AA20</f>
        <v/>
      </c>
      <c r="AC20" s="36">
        <f>'7. NLTF rollup'!G19</f>
        <v/>
      </c>
      <c r="AD20" s="37" t="n">
        <v>2338.413286630006</v>
      </c>
      <c r="AE20" s="38">
        <f>AC20-AD20</f>
        <v/>
      </c>
      <c r="AF20" s="36">
        <f>'7. NLTF rollup'!P19</f>
        <v/>
      </c>
      <c r="AG20" s="37" t="n">
        <v>5516.971394397838</v>
      </c>
      <c r="AH20" s="38">
        <f>AF20-AG20</f>
        <v/>
      </c>
      <c r="AI20" s="36">
        <f>'7. NLTF rollup'!W19</f>
        <v/>
      </c>
      <c r="AJ20" s="37" t="n">
        <v>8322.457863496549</v>
      </c>
      <c r="AK20" s="38">
        <f>AI20-AJ20</f>
        <v/>
      </c>
    </row>
    <row r="21">
      <c r="A21" s="14" t="n">
        <v>2040</v>
      </c>
      <c r="B21" s="36">
        <f>'6. Rates &amp; revenue'!H20</f>
        <v/>
      </c>
      <c r="C21" s="37" t="n">
        <v>1721.974419133879</v>
      </c>
      <c r="D21" s="38">
        <f>B21-C21</f>
        <v/>
      </c>
      <c r="E21" s="36">
        <f>'6. Rates &amp; revenue'!I20</f>
        <v/>
      </c>
      <c r="F21" s="37" t="n">
        <v>2307.295635733929</v>
      </c>
      <c r="G21" s="38">
        <f>E21-F21</f>
        <v/>
      </c>
      <c r="H21" s="36">
        <f>'5. Light fleet split'!S20</f>
        <v/>
      </c>
      <c r="I21" s="37" t="n">
        <v>9904.181415598432</v>
      </c>
      <c r="J21" s="38">
        <f>H21-I21</f>
        <v/>
      </c>
      <c r="K21" s="36">
        <f>'5. Light fleet split'!P20</f>
        <v/>
      </c>
      <c r="L21" s="37" t="n">
        <v>15158.0128309849</v>
      </c>
      <c r="M21" s="38">
        <f>K21-L21</f>
        <v/>
      </c>
      <c r="N21" s="36">
        <f>'5. Light fleet split'!Q20</f>
        <v/>
      </c>
      <c r="O21" s="37" t="n">
        <v>3529.019066841382</v>
      </c>
      <c r="P21" s="38">
        <f>N21-O21</f>
        <v/>
      </c>
      <c r="Q21" s="36">
        <f>'6. Rates &amp; revenue'!M20</f>
        <v/>
      </c>
      <c r="R21" s="37" t="n">
        <v>1270.062703829265</v>
      </c>
      <c r="S21" s="38">
        <f>Q21-R21</f>
        <v/>
      </c>
      <c r="T21" s="36">
        <f>'6. Rates &amp; revenue'!Q20</f>
        <v/>
      </c>
      <c r="U21" s="37" t="n">
        <v>1943.787775381348</v>
      </c>
      <c r="V21" s="38">
        <f>T21-U21</f>
        <v/>
      </c>
      <c r="W21" s="36">
        <f>'6. Rates &amp; revenue'!U20</f>
        <v/>
      </c>
      <c r="X21" s="37" t="n">
        <v>223.1575206917148</v>
      </c>
      <c r="Y21" s="38">
        <f>W21-X21</f>
        <v/>
      </c>
      <c r="Z21" s="36">
        <f>'6. Rates &amp; revenue'!Y20</f>
        <v/>
      </c>
      <c r="AA21" s="37" t="n">
        <v>2359.345242177408</v>
      </c>
      <c r="AB21" s="38">
        <f>Z21-AA21</f>
        <v/>
      </c>
      <c r="AC21" s="36">
        <f>'7. NLTF rollup'!G20</f>
        <v/>
      </c>
      <c r="AD21" s="37" t="n">
        <v>2251.031739360931</v>
      </c>
      <c r="AE21" s="38">
        <f>AC21-AD21</f>
        <v/>
      </c>
      <c r="AF21" s="36">
        <f>'7. NLTF rollup'!P20</f>
        <v/>
      </c>
      <c r="AG21" s="37" t="n">
        <v>5934.930426367089</v>
      </c>
      <c r="AH21" s="38">
        <f>AF21-AG21</f>
        <v/>
      </c>
      <c r="AI21" s="36">
        <f>'7. NLTF rollup'!W20</f>
        <v/>
      </c>
      <c r="AJ21" s="37" t="n">
        <v>8650.75470526101</v>
      </c>
      <c r="AK21" s="38">
        <f>AI21-AJ21</f>
        <v/>
      </c>
    </row>
    <row r="22">
      <c r="A22" s="14" t="n">
        <v>2041</v>
      </c>
      <c r="B22" s="36">
        <f>'6. Rates &amp; revenue'!H21</f>
        <v/>
      </c>
      <c r="C22" s="37" t="n">
        <v>1595.174628366486</v>
      </c>
      <c r="D22" s="38">
        <f>B22-C22</f>
        <v/>
      </c>
      <c r="E22" s="36">
        <f>'6. Rates &amp; revenue'!I21</f>
        <v/>
      </c>
      <c r="F22" s="37" t="n">
        <v>2201.106264298725</v>
      </c>
      <c r="G22" s="38">
        <f>E22-F22</f>
        <v/>
      </c>
      <c r="H22" s="36">
        <f>'5. Light fleet split'!S21</f>
        <v/>
      </c>
      <c r="I22" s="37" t="n">
        <v>9359.41980748967</v>
      </c>
      <c r="J22" s="38">
        <f>H22-I22</f>
        <v/>
      </c>
      <c r="K22" s="36">
        <f>'5. Light fleet split'!P21</f>
        <v/>
      </c>
      <c r="L22" s="37" t="n">
        <v>17523.68010215204</v>
      </c>
      <c r="M22" s="38">
        <f>K22-L22</f>
        <v/>
      </c>
      <c r="N22" s="36">
        <f>'5. Light fleet split'!Q21</f>
        <v/>
      </c>
      <c r="O22" s="37" t="n">
        <v>3485.546004183019</v>
      </c>
      <c r="P22" s="38">
        <f>N22-O22</f>
        <v/>
      </c>
      <c r="Q22" s="36">
        <f>'6. Rates &amp; revenue'!M21</f>
        <v/>
      </c>
      <c r="R22" s="37" t="n">
        <v>1236.051776876124</v>
      </c>
      <c r="S22" s="38">
        <f>Q22-R22</f>
        <v/>
      </c>
      <c r="T22" s="36">
        <f>'6. Rates &amp; revenue'!Q21</f>
        <v/>
      </c>
      <c r="U22" s="37" t="n">
        <v>2314.26481269071</v>
      </c>
      <c r="V22" s="38">
        <f>T22-U22</f>
        <v/>
      </c>
      <c r="W22" s="36">
        <f>'6. Rates &amp; revenue'!U21</f>
        <v/>
      </c>
      <c r="X22" s="37" t="n">
        <v>226.996183522419</v>
      </c>
      <c r="Y22" s="38">
        <f>W22-X22</f>
        <v/>
      </c>
      <c r="Z22" s="36">
        <f>'6. Rates &amp; revenue'!Y21</f>
        <v/>
      </c>
      <c r="AA22" s="37" t="n">
        <v>2443.64204676588</v>
      </c>
      <c r="AB22" s="38">
        <f>Z22-AA22</f>
        <v/>
      </c>
      <c r="AC22" s="36">
        <f>'7. NLTF rollup'!G21</f>
        <v/>
      </c>
      <c r="AD22" s="37" t="n">
        <v>2149.555514919777</v>
      </c>
      <c r="AE22" s="38">
        <f>AC22-AD22</f>
        <v/>
      </c>
      <c r="AF22" s="36">
        <f>'7. NLTF rollup'!P21</f>
        <v/>
      </c>
      <c r="AG22" s="37" t="n">
        <v>6384.031822242967</v>
      </c>
      <c r="AH22" s="38">
        <f>AF22-AG22</f>
        <v/>
      </c>
      <c r="AI22" s="36">
        <f>'7. NLTF rollup'!W21</f>
        <v/>
      </c>
      <c r="AJ22" s="37" t="n">
        <v>8996.24686794811</v>
      </c>
      <c r="AK22" s="38">
        <f>AI22-AJ22</f>
        <v/>
      </c>
    </row>
    <row r="23">
      <c r="A23" s="14" t="n">
        <v>2042</v>
      </c>
      <c r="B23" s="36">
        <f>'6. Rates &amp; revenue'!H22</f>
        <v/>
      </c>
      <c r="C23" s="37" t="n">
        <v>1461.04662441718</v>
      </c>
      <c r="D23" s="38">
        <f>B23-C23</f>
        <v/>
      </c>
      <c r="E23" s="36">
        <f>'6. Rates &amp; revenue'!I22</f>
        <v/>
      </c>
      <c r="F23" s="37" t="n">
        <v>2074.405100276145</v>
      </c>
      <c r="G23" s="38">
        <f>E23-F23</f>
        <v/>
      </c>
      <c r="H23" s="36">
        <f>'5. Light fleet split'!S22</f>
        <v/>
      </c>
      <c r="I23" s="37" t="n">
        <v>8773.230988145362</v>
      </c>
      <c r="J23" s="38">
        <f>H23-I23</f>
        <v/>
      </c>
      <c r="K23" s="36">
        <f>'5. Light fleet split'!P22</f>
        <v/>
      </c>
      <c r="L23" s="37" t="n">
        <v>20041.12233517753</v>
      </c>
      <c r="M23" s="38">
        <f>K23-L23</f>
        <v/>
      </c>
      <c r="N23" s="36">
        <f>'5. Light fleet split'!Q22</f>
        <v/>
      </c>
      <c r="O23" s="37" t="n">
        <v>3424.514782814654</v>
      </c>
      <c r="P23" s="38">
        <f>N23-O23</f>
        <v/>
      </c>
      <c r="Q23" s="36">
        <f>'6. Rates &amp; revenue'!M22</f>
        <v/>
      </c>
      <c r="R23" s="37" t="n">
        <v>1192.194358979073</v>
      </c>
      <c r="S23" s="38">
        <f>Q23-R23</f>
        <v/>
      </c>
      <c r="T23" s="36">
        <f>'6. Rates &amp; revenue'!Q22</f>
        <v/>
      </c>
      <c r="U23" s="37" t="n">
        <v>2723.388114127274</v>
      </c>
      <c r="V23" s="38">
        <f>T23-U23</f>
        <v/>
      </c>
      <c r="W23" s="36">
        <f>'6. Rates &amp; revenue'!U22</f>
        <v/>
      </c>
      <c r="X23" s="37" t="n">
        <v>229.493858170324</v>
      </c>
      <c r="Y23" s="38">
        <f>W23-X23</f>
        <v/>
      </c>
      <c r="Z23" s="36">
        <f>'6. Rates &amp; revenue'!Y22</f>
        <v/>
      </c>
      <c r="AA23" s="37" t="n">
        <v>2528.217367467519</v>
      </c>
      <c r="AB23" s="38">
        <f>Z23-AA23</f>
        <v/>
      </c>
      <c r="AC23" s="36">
        <f>'7. NLTF rollup'!G22</f>
        <v/>
      </c>
      <c r="AD23" s="37" t="n">
        <v>2028.735151830758</v>
      </c>
      <c r="AE23" s="38">
        <f>AC23-AD23</f>
        <v/>
      </c>
      <c r="AF23" s="36">
        <f>'7. NLTF rollup'!P22</f>
        <v/>
      </c>
      <c r="AG23" s="37" t="n">
        <v>6869.569585657886</v>
      </c>
      <c r="AH23" s="38">
        <f>AF23-AG23</f>
        <v/>
      </c>
      <c r="AI23" s="36">
        <f>'7. NLTF rollup'!W22</f>
        <v/>
      </c>
      <c r="AJ23" s="37" t="n">
        <v>9358.965192205696</v>
      </c>
      <c r="AK23" s="38">
        <f>AI23-AJ23</f>
        <v/>
      </c>
    </row>
    <row r="24">
      <c r="A24" s="14" t="n">
        <v>2043</v>
      </c>
      <c r="B24" s="36">
        <f>'6. Rates &amp; revenue'!H23</f>
        <v/>
      </c>
      <c r="C24" s="37" t="n">
        <v>1328.363980047381</v>
      </c>
      <c r="D24" s="38">
        <f>B24-C24</f>
        <v/>
      </c>
      <c r="E24" s="36">
        <f>'6. Rates &amp; revenue'!I23</f>
        <v/>
      </c>
      <c r="F24" s="37" t="n">
        <v>1939.178940188564</v>
      </c>
      <c r="G24" s="38">
        <f>E24-F24</f>
        <v/>
      </c>
      <c r="H24" s="36">
        <f>'5. Light fleet split'!S23</f>
        <v/>
      </c>
      <c r="I24" s="37" t="n">
        <v>8220.139260385362</v>
      </c>
      <c r="J24" s="38">
        <f>H24-I24</f>
        <v/>
      </c>
      <c r="K24" s="36">
        <f>'5. Light fleet split'!P23</f>
        <v/>
      </c>
      <c r="L24" s="37" t="n">
        <v>22559.82968394059</v>
      </c>
      <c r="M24" s="38">
        <f>K24-L24</f>
        <v/>
      </c>
      <c r="N24" s="36">
        <f>'5. Light fleet split'!Q23</f>
        <v/>
      </c>
      <c r="O24" s="37" t="n">
        <v>3349.864326616892</v>
      </c>
      <c r="P24" s="38">
        <f>N24-O24</f>
        <v/>
      </c>
      <c r="Q24" s="36">
        <f>'6. Rates &amp; revenue'!M23</f>
        <v/>
      </c>
      <c r="R24" s="37" t="n">
        <v>1148.476756764741</v>
      </c>
      <c r="S24" s="38">
        <f>Q24-R24</f>
        <v/>
      </c>
      <c r="T24" s="36">
        <f>'6. Rates &amp; revenue'!Q23</f>
        <v/>
      </c>
      <c r="U24" s="37" t="n">
        <v>3151.94660429176</v>
      </c>
      <c r="V24" s="38">
        <f>T24-U24</f>
        <v/>
      </c>
      <c r="W24" s="36">
        <f>'6. Rates &amp; revenue'!U23</f>
        <v/>
      </c>
      <c r="X24" s="37" t="n">
        <v>230.8056521039041</v>
      </c>
      <c r="Y24" s="38">
        <f>W24-X24</f>
        <v/>
      </c>
      <c r="Z24" s="36">
        <f>'6. Rates &amp; revenue'!Y23</f>
        <v/>
      </c>
      <c r="AA24" s="37" t="n">
        <v>2614.344367158923</v>
      </c>
      <c r="AB24" s="38">
        <f>Z24-AA24</f>
        <v/>
      </c>
      <c r="AC24" s="36">
        <f>'7. NLTF rollup'!G23</f>
        <v/>
      </c>
      <c r="AD24" s="37" t="n">
        <v>1899.805198692148</v>
      </c>
      <c r="AE24" s="38">
        <f>AC24-AD24</f>
        <v/>
      </c>
      <c r="AF24" s="36">
        <f>'7. NLTF rollup'!P23</f>
        <v/>
      </c>
      <c r="AG24" s="37" t="n">
        <v>7379.77793332848</v>
      </c>
      <c r="AH24" s="38">
        <f>AF24-AG24</f>
        <v/>
      </c>
      <c r="AI24" s="36">
        <f>'7. NLTF rollup'!W23</f>
        <v/>
      </c>
      <c r="AJ24" s="37" t="n">
        <v>9738.366143105442</v>
      </c>
      <c r="AK24" s="38">
        <f>AI24-AJ24</f>
        <v/>
      </c>
    </row>
    <row r="25">
      <c r="A25" s="14" t="n">
        <v>2044</v>
      </c>
      <c r="B25" s="36">
        <f>'6. Rates &amp; revenue'!H24</f>
        <v/>
      </c>
      <c r="C25" s="37" t="n">
        <v>1203.139679812767</v>
      </c>
      <c r="D25" s="38">
        <f>B25-C25</f>
        <v/>
      </c>
      <c r="E25" s="36">
        <f>'6. Rates &amp; revenue'!I24</f>
        <v/>
      </c>
      <c r="F25" s="37" t="n">
        <v>1804.48815440467</v>
      </c>
      <c r="G25" s="38">
        <f>E25-F25</f>
        <v/>
      </c>
      <c r="H25" s="36">
        <f>'5. Light fleet split'!S24</f>
        <v/>
      </c>
      <c r="I25" s="37" t="n">
        <v>7743.303851960076</v>
      </c>
      <c r="J25" s="38">
        <f>H25-I25</f>
        <v/>
      </c>
      <c r="K25" s="36">
        <f>'5. Light fleet split'!P24</f>
        <v/>
      </c>
      <c r="L25" s="37" t="n">
        <v>24951.25694318761</v>
      </c>
      <c r="M25" s="38">
        <f>K25-L25</f>
        <v/>
      </c>
      <c r="N25" s="36">
        <f>'5. Light fleet split'!Q24</f>
        <v/>
      </c>
      <c r="O25" s="37" t="n">
        <v>3271.487568648572</v>
      </c>
      <c r="P25" s="38">
        <f>N25-O25</f>
        <v/>
      </c>
      <c r="Q25" s="36">
        <f>'6. Rates &amp; revenue'!M24</f>
        <v/>
      </c>
      <c r="R25" s="37" t="n">
        <v>1111.512551429606</v>
      </c>
      <c r="S25" s="38">
        <f>Q25-R25</f>
        <v/>
      </c>
      <c r="T25" s="36">
        <f>'6. Rates &amp; revenue'!Q24</f>
        <v/>
      </c>
      <c r="U25" s="37" t="n">
        <v>3581.628177909874</v>
      </c>
      <c r="V25" s="38">
        <f>T25-U25</f>
        <v/>
      </c>
      <c r="W25" s="36">
        <f>'6. Rates &amp; revenue'!U24</f>
        <v/>
      </c>
      <c r="X25" s="37" t="n">
        <v>231.572247546789</v>
      </c>
      <c r="Y25" s="38">
        <f>W25-X25</f>
        <v/>
      </c>
      <c r="Z25" s="36">
        <f>'6. Rates &amp; revenue'!Y24</f>
        <v/>
      </c>
      <c r="AA25" s="37" t="n">
        <v>2701.651939000063</v>
      </c>
      <c r="AB25" s="38">
        <f>Z25-AA25</f>
        <v/>
      </c>
      <c r="AC25" s="36">
        <f>'7. NLTF rollup'!G24</f>
        <v/>
      </c>
      <c r="AD25" s="37" t="n">
        <v>1771.349792299975</v>
      </c>
      <c r="AE25" s="38">
        <f>AC25-AD25</f>
        <v/>
      </c>
      <c r="AF25" s="36">
        <f>'7. NLTF rollup'!P24</f>
        <v/>
      </c>
      <c r="AG25" s="37" t="n">
        <v>7904.505522539624</v>
      </c>
      <c r="AH25" s="38">
        <f>AF25-AG25</f>
        <v/>
      </c>
      <c r="AI25" s="36">
        <f>'7. NLTF rollup'!W24</f>
        <v/>
      </c>
      <c r="AJ25" s="37" t="n">
        <v>10132.87146729332</v>
      </c>
      <c r="AK25" s="38">
        <f>AI25-AJ25</f>
        <v/>
      </c>
    </row>
    <row r="26">
      <c r="A26" s="14" t="n">
        <v>2045</v>
      </c>
      <c r="B26" s="36">
        <f>'6. Rates &amp; revenue'!H25</f>
        <v/>
      </c>
      <c r="C26" s="37" t="n">
        <v>1085.167959211314</v>
      </c>
      <c r="D26" s="38">
        <f>B26-C26</f>
        <v/>
      </c>
      <c r="E26" s="36">
        <f>'6. Rates &amp; revenue'!I25</f>
        <v/>
      </c>
      <c r="F26" s="37" t="n">
        <v>1670.925384965324</v>
      </c>
      <c r="G26" s="38">
        <f>E26-F26</f>
        <v/>
      </c>
      <c r="H26" s="36">
        <f>'5. Light fleet split'!S25</f>
        <v/>
      </c>
      <c r="I26" s="37" t="n">
        <v>7325.360102657958</v>
      </c>
      <c r="J26" s="38">
        <f>H26-I26</f>
        <v/>
      </c>
      <c r="K26" s="36">
        <f>'5. Light fleet split'!P25</f>
        <v/>
      </c>
      <c r="L26" s="37" t="n">
        <v>27239.23791907812</v>
      </c>
      <c r="M26" s="38">
        <f>K26-L26</f>
        <v/>
      </c>
      <c r="N26" s="36">
        <f>'5. Light fleet split'!Q25</f>
        <v/>
      </c>
      <c r="O26" s="37" t="n">
        <v>3183.655286469865</v>
      </c>
      <c r="P26" s="38">
        <f>N26-O26</f>
        <v/>
      </c>
      <c r="Q26" s="36">
        <f>'6. Rates &amp; revenue'!M25</f>
        <v/>
      </c>
      <c r="R26" s="37" t="n">
        <v>1079.574945129219</v>
      </c>
      <c r="S26" s="38">
        <f>Q26-R26</f>
        <v/>
      </c>
      <c r="T26" s="36">
        <f>'6. Rates &amp; revenue'!Q25</f>
        <v/>
      </c>
      <c r="U26" s="37" t="n">
        <v>4014.382688324128</v>
      </c>
      <c r="V26" s="38">
        <f>T26-U26</f>
        <v/>
      </c>
      <c r="W26" s="36">
        <f>'6. Rates &amp; revenue'!U25</f>
        <v/>
      </c>
      <c r="X26" s="37" t="n">
        <v>231.3721479441976</v>
      </c>
      <c r="Y26" s="38">
        <f>W26-X26</f>
        <v/>
      </c>
      <c r="Z26" s="36">
        <f>'6. Rates &amp; revenue'!Y25</f>
        <v/>
      </c>
      <c r="AA26" s="37" t="n">
        <v>2790.075040673169</v>
      </c>
      <c r="AB26" s="38">
        <f>Z26-AA26</f>
        <v/>
      </c>
      <c r="AC26" s="36">
        <f>'7. NLTF rollup'!G25</f>
        <v/>
      </c>
      <c r="AD26" s="37" t="n">
        <v>1643.790968497085</v>
      </c>
      <c r="AE26" s="38">
        <f>AC26-AD26</f>
        <v/>
      </c>
      <c r="AF26" s="36">
        <f>'7. NLTF rollup'!P25</f>
        <v/>
      </c>
      <c r="AG26" s="37" t="n">
        <v>8443.6184286893</v>
      </c>
      <c r="AH26" s="38">
        <f>AF26-AG26</f>
        <v/>
      </c>
      <c r="AI26" s="36">
        <f>'7. NLTF rollup'!W25</f>
        <v/>
      </c>
      <c r="AJ26" s="37" t="n">
        <v>10542.75934861581</v>
      </c>
      <c r="AK26" s="38">
        <f>AI26-AJ26</f>
        <v/>
      </c>
    </row>
    <row r="27">
      <c r="A27" s="14" t="n">
        <v>2046</v>
      </c>
      <c r="B27" s="36">
        <f>'6. Rates &amp; revenue'!H26</f>
        <v/>
      </c>
      <c r="C27" s="37" t="n">
        <v>972.227993712155</v>
      </c>
      <c r="D27" s="38">
        <f>B27-C27</f>
        <v/>
      </c>
      <c r="E27" s="36">
        <f>'6. Rates &amp; revenue'!I26</f>
        <v/>
      </c>
      <c r="F27" s="37" t="n">
        <v>1535.872346354284</v>
      </c>
      <c r="G27" s="38">
        <f>E27-F27</f>
        <v/>
      </c>
      <c r="H27" s="36">
        <f>'5. Light fleet split'!S26</f>
        <v/>
      </c>
      <c r="I27" s="37" t="n">
        <v>6932.177981375889</v>
      </c>
      <c r="J27" s="38">
        <f>H27-I27</f>
        <v/>
      </c>
      <c r="K27" s="36">
        <f>'5. Light fleet split'!P26</f>
        <v/>
      </c>
      <c r="L27" s="37" t="n">
        <v>29491.90196953448</v>
      </c>
      <c r="M27" s="38">
        <f>K27-L27</f>
        <v/>
      </c>
      <c r="N27" s="36">
        <f>'5. Light fleet split'!Q26</f>
        <v/>
      </c>
      <c r="O27" s="37" t="n">
        <v>3080.499096428002</v>
      </c>
      <c r="P27" s="38">
        <f>N27-O27</f>
        <v/>
      </c>
      <c r="Q27" s="36">
        <f>'6. Rates &amp; revenue'!M26</f>
        <v/>
      </c>
      <c r="R27" s="37" t="n">
        <v>1048.145310784033</v>
      </c>
      <c r="S27" s="38">
        <f>Q27-R27</f>
        <v/>
      </c>
      <c r="T27" s="36">
        <f>'6. Rates &amp; revenue'!Q26</f>
        <v/>
      </c>
      <c r="U27" s="37" t="n">
        <v>4459.175577793611</v>
      </c>
      <c r="V27" s="38">
        <f>T27-U27</f>
        <v/>
      </c>
      <c r="W27" s="36">
        <f>'6. Rates &amp; revenue'!U26</f>
        <v/>
      </c>
      <c r="X27" s="37" t="n">
        <v>229.697415125154</v>
      </c>
      <c r="Y27" s="38">
        <f>W27-X27</f>
        <v/>
      </c>
      <c r="Z27" s="36">
        <f>'6. Rates &amp; revenue'!Y26</f>
        <v/>
      </c>
      <c r="AA27" s="37" t="n">
        <v>2879.638323012254</v>
      </c>
      <c r="AB27" s="38">
        <f>Z27-AA27</f>
        <v/>
      </c>
      <c r="AC27" s="36">
        <f>'7. NLTF rollup'!G26</f>
        <v/>
      </c>
      <c r="AD27" s="37" t="n">
        <v>1514.400855615126</v>
      </c>
      <c r="AE27" s="38">
        <f>AC27-AD27</f>
        <v/>
      </c>
      <c r="AF27" s="36">
        <f>'7. NLTF rollup'!P26</f>
        <v/>
      </c>
      <c r="AG27" s="37" t="n">
        <v>9001.241807858496</v>
      </c>
      <c r="AH27" s="38">
        <f>AF27-AG27</f>
        <v/>
      </c>
      <c r="AI27" s="36">
        <f>'7. NLTF rollup'!W26</f>
        <v/>
      </c>
      <c r="AJ27" s="37" t="n">
        <v>10969.41814553124</v>
      </c>
      <c r="AK27" s="38">
        <f>AI27-AJ27</f>
        <v/>
      </c>
    </row>
    <row r="28">
      <c r="A28" s="14" t="n">
        <v>2047</v>
      </c>
      <c r="B28" s="36">
        <f>'6. Rates &amp; revenue'!H27</f>
        <v/>
      </c>
      <c r="C28" s="37" t="n">
        <v>866.3249338451511</v>
      </c>
      <c r="D28" s="38">
        <f>B28-C28</f>
        <v/>
      </c>
      <c r="E28" s="36">
        <f>'6. Rates &amp; revenue'!I27</f>
        <v/>
      </c>
      <c r="F28" s="37" t="n">
        <v>1403.203120428736</v>
      </c>
      <c r="G28" s="38">
        <f>E28-F28</f>
        <v/>
      </c>
      <c r="H28" s="36">
        <f>'5. Light fleet split'!S27</f>
        <v/>
      </c>
      <c r="I28" s="37" t="n">
        <v>6575.232060976876</v>
      </c>
      <c r="J28" s="38">
        <f>H28-I28</f>
        <v/>
      </c>
      <c r="K28" s="36">
        <f>'5. Light fleet split'!P27</f>
        <v/>
      </c>
      <c r="L28" s="37" t="n">
        <v>31658.28022408895</v>
      </c>
      <c r="M28" s="38">
        <f>K28-L28</f>
        <v/>
      </c>
      <c r="N28" s="36">
        <f>'5. Light fleet split'!Q27</f>
        <v/>
      </c>
      <c r="O28" s="37" t="n">
        <v>2972.892705105834</v>
      </c>
      <c r="P28" s="38">
        <f>N28-O28</f>
        <v/>
      </c>
      <c r="Q28" s="36">
        <f>'6. Rates &amp; revenue'!M27</f>
        <v/>
      </c>
      <c r="R28" s="37" t="n">
        <v>1019.325350252941</v>
      </c>
      <c r="S28" s="38">
        <f>Q28-R28</f>
        <v/>
      </c>
      <c r="T28" s="36">
        <f>'6. Rates &amp; revenue'!Q27</f>
        <v/>
      </c>
      <c r="U28" s="37" t="n">
        <v>4907.824891739383</v>
      </c>
      <c r="V28" s="38">
        <f>T28-U28</f>
        <v/>
      </c>
      <c r="W28" s="36">
        <f>'6. Rates &amp; revenue'!U27</f>
        <v/>
      </c>
      <c r="X28" s="37" t="n">
        <v>227.2776473053408</v>
      </c>
      <c r="Y28" s="38">
        <f>W28-X28</f>
        <v/>
      </c>
      <c r="Z28" s="36">
        <f>'6. Rates &amp; revenue'!Y27</f>
        <v/>
      </c>
      <c r="AA28" s="37" t="n">
        <v>2970.369333531984</v>
      </c>
      <c r="AB28" s="38">
        <f>Z28-AA28</f>
        <v/>
      </c>
      <c r="AC28" s="36">
        <f>'7. NLTF rollup'!G27</f>
        <v/>
      </c>
      <c r="AD28" s="37" t="n">
        <v>1387.046757998328</v>
      </c>
      <c r="AE28" s="38">
        <f>AC28-AD28</f>
        <v/>
      </c>
      <c r="AF28" s="36">
        <f>'7. NLTF rollup'!P27</f>
        <v/>
      </c>
      <c r="AG28" s="37" t="n">
        <v>9572.301220965946</v>
      </c>
      <c r="AH28" s="38">
        <f>AF28-AG28</f>
        <v/>
      </c>
      <c r="AI28" s="36">
        <f>'7. NLTF rollup'!W27</f>
        <v/>
      </c>
      <c r="AJ28" s="37" t="n">
        <v>11411.63269291298</v>
      </c>
      <c r="AK28" s="38">
        <f>AI28-AJ28</f>
        <v/>
      </c>
    </row>
    <row r="29">
      <c r="A29" s="14" t="n">
        <v>2048</v>
      </c>
      <c r="B29" s="36">
        <f>'6. Rates &amp; revenue'!H28</f>
        <v/>
      </c>
      <c r="C29" s="37" t="n">
        <v>766.6089284381684</v>
      </c>
      <c r="D29" s="38">
        <f>B29-C29</f>
        <v/>
      </c>
      <c r="E29" s="36">
        <f>'6. Rates &amp; revenue'!I28</f>
        <v/>
      </c>
      <c r="F29" s="37" t="n">
        <v>1272.367853165431</v>
      </c>
      <c r="G29" s="38">
        <f>E29-F29</f>
        <v/>
      </c>
      <c r="H29" s="36">
        <f>'5. Light fleet split'!S28</f>
        <v/>
      </c>
      <c r="I29" s="37" t="n">
        <v>6245.586777158835</v>
      </c>
      <c r="J29" s="38">
        <f>H29-I29</f>
        <v/>
      </c>
      <c r="K29" s="36">
        <f>'5. Light fleet split'!P28</f>
        <v/>
      </c>
      <c r="L29" s="37" t="n">
        <v>33754.52431982527</v>
      </c>
      <c r="M29" s="38">
        <f>K29-L29</f>
        <v/>
      </c>
      <c r="N29" s="36">
        <f>'5. Light fleet split'!Q28</f>
        <v/>
      </c>
      <c r="O29" s="37" t="n">
        <v>2863.327575112928</v>
      </c>
      <c r="P29" s="38">
        <f>N29-O29</f>
        <v/>
      </c>
      <c r="Q29" s="36">
        <f>'6. Rates &amp; revenue'!M28</f>
        <v/>
      </c>
      <c r="R29" s="37" t="n">
        <v>992.1426874855662</v>
      </c>
      <c r="S29" s="38">
        <f>Q29-R29</f>
        <v/>
      </c>
      <c r="T29" s="36">
        <f>'6. Rates &amp; revenue'!Q28</f>
        <v/>
      </c>
      <c r="U29" s="37" t="n">
        <v>5362.074960825849</v>
      </c>
      <c r="V29" s="38">
        <f>T29-U29</f>
        <v/>
      </c>
      <c r="W29" s="36">
        <f>'6. Rates &amp; revenue'!U28</f>
        <v/>
      </c>
      <c r="X29" s="37" t="n">
        <v>224.2987655964714</v>
      </c>
      <c r="Y29" s="38">
        <f>W29-X29</f>
        <v/>
      </c>
      <c r="Z29" s="36">
        <f>'6. Rates &amp; revenue'!Y28</f>
        <v/>
      </c>
      <c r="AA29" s="37" t="n">
        <v>3062.296404108138</v>
      </c>
      <c r="AB29" s="38">
        <f>Z29-AA29</f>
        <v/>
      </c>
      <c r="AC29" s="36">
        <f>'7. NLTF rollup'!G28</f>
        <v/>
      </c>
      <c r="AD29" s="37" t="n">
        <v>1261.103996752365</v>
      </c>
      <c r="AE29" s="38">
        <f>AC29-AD29</f>
        <v/>
      </c>
      <c r="AF29" s="36">
        <f>'7. NLTF rollup'!P28</f>
        <v/>
      </c>
      <c r="AG29" s="37" t="n">
        <v>10157.85189950598</v>
      </c>
      <c r="AH29" s="38">
        <f>AF29-AG29</f>
        <v/>
      </c>
      <c r="AI29" s="36">
        <f>'7. NLTF rollup'!W28</f>
        <v/>
      </c>
      <c r="AJ29" s="37" t="n">
        <v>11869.82631405373</v>
      </c>
      <c r="AK29" s="38">
        <f>AI29-AJ29</f>
        <v/>
      </c>
    </row>
    <row r="30">
      <c r="A30" s="14" t="n">
        <v>2049</v>
      </c>
      <c r="B30" s="36">
        <f>'6. Rates &amp; revenue'!H29</f>
        <v/>
      </c>
      <c r="C30" s="37" t="n">
        <v>675.512424189328</v>
      </c>
      <c r="D30" s="38">
        <f>B30-C30</f>
        <v/>
      </c>
      <c r="E30" s="36">
        <f>'6. Rates &amp; revenue'!I29</f>
        <v/>
      </c>
      <c r="F30" s="37" t="n">
        <v>1148.193866075387</v>
      </c>
      <c r="G30" s="38">
        <f>E30-F30</f>
        <v/>
      </c>
      <c r="H30" s="36">
        <f>'5. Light fleet split'!S29</f>
        <v/>
      </c>
      <c r="I30" s="37" t="n">
        <v>5971.511140360861</v>
      </c>
      <c r="J30" s="38">
        <f>H30-I30</f>
        <v/>
      </c>
      <c r="K30" s="36">
        <f>'5. Light fleet split'!P29</f>
        <v/>
      </c>
      <c r="L30" s="37" t="n">
        <v>35712.10893191452</v>
      </c>
      <c r="M30" s="38">
        <f>K30-L30</f>
        <v/>
      </c>
      <c r="N30" s="36">
        <f>'5. Light fleet split'!Q29</f>
        <v/>
      </c>
      <c r="O30" s="37" t="n">
        <v>2756.031452391522</v>
      </c>
      <c r="P30" s="38">
        <f>N30-O30</f>
        <v/>
      </c>
      <c r="Q30" s="36">
        <f>'6. Rates &amp; revenue'!M29</f>
        <v/>
      </c>
      <c r="R30" s="37" t="n">
        <v>971.475289869604</v>
      </c>
      <c r="S30" s="38">
        <f>Q30-R30</f>
        <v/>
      </c>
      <c r="T30" s="36">
        <f>'6. Rates &amp; revenue'!Q29</f>
        <v/>
      </c>
      <c r="U30" s="37" t="n">
        <v>5809.824441588511</v>
      </c>
      <c r="V30" s="38">
        <f>T30-U30</f>
        <v/>
      </c>
      <c r="W30" s="36">
        <f>'6. Rates &amp; revenue'!U29</f>
        <v/>
      </c>
      <c r="X30" s="37" t="n">
        <v>221.1026232681097</v>
      </c>
      <c r="Y30" s="38">
        <f>W30-X30</f>
        <v/>
      </c>
      <c r="Z30" s="36">
        <f>'6. Rates &amp; revenue'!Y29</f>
        <v/>
      </c>
      <c r="AA30" s="37" t="n">
        <v>3155.448597814266</v>
      </c>
      <c r="AB30" s="38">
        <f>Z30-AA30</f>
        <v/>
      </c>
      <c r="AC30" s="36">
        <f>'7. NLTF rollup'!G29</f>
        <v/>
      </c>
      <c r="AD30" s="37" t="n">
        <v>1141.493858261085</v>
      </c>
      <c r="AE30" s="38">
        <f>AC30-AD30</f>
        <v/>
      </c>
      <c r="AF30" s="36">
        <f>'7. NLTF rollup'!P29</f>
        <v/>
      </c>
      <c r="AG30" s="37" t="n">
        <v>10751.37288729212</v>
      </c>
      <c r="AH30" s="38">
        <f>AF30-AG30</f>
        <v/>
      </c>
      <c r="AI30" s="36">
        <f>'7. NLTF rollup'!W29</f>
        <v/>
      </c>
      <c r="AJ30" s="37" t="n">
        <v>12342.39282662393</v>
      </c>
      <c r="AK30" s="38">
        <f>AI30-AJ30</f>
        <v/>
      </c>
    </row>
    <row r="31">
      <c r="A31" s="14" t="n">
        <v>2050</v>
      </c>
      <c r="B31" s="36">
        <f>'6. Rates &amp; revenue'!H30</f>
        <v/>
      </c>
      <c r="C31" s="37" t="n">
        <v>593.2013596131183</v>
      </c>
      <c r="D31" s="38">
        <f>B31-C31</f>
        <v/>
      </c>
      <c r="E31" s="36">
        <f>'6. Rates &amp; revenue'!I30</f>
        <v/>
      </c>
      <c r="F31" s="37" t="n">
        <v>1032.036134492195</v>
      </c>
      <c r="G31" s="38">
        <f>E31-F31</f>
        <v/>
      </c>
      <c r="H31" s="36">
        <f>'5. Light fleet split'!S30</f>
        <v/>
      </c>
      <c r="I31" s="37" t="n">
        <v>5760.302440315871</v>
      </c>
      <c r="J31" s="38">
        <f>H31-I31</f>
        <v/>
      </c>
      <c r="K31" s="36">
        <f>'5. Light fleet split'!P30</f>
        <v/>
      </c>
      <c r="L31" s="37" t="n">
        <v>37517.252911331</v>
      </c>
      <c r="M31" s="38">
        <f>K31-L31</f>
        <v/>
      </c>
      <c r="N31" s="36">
        <f>'5. Light fleet split'!Q30</f>
        <v/>
      </c>
      <c r="O31" s="37" t="n">
        <v>2651.93124756625</v>
      </c>
      <c r="P31" s="38">
        <f>N31-O31</f>
        <v/>
      </c>
      <c r="Q31" s="36">
        <f>'6. Rates &amp; revenue'!M30</f>
        <v/>
      </c>
      <c r="R31" s="37" t="n">
        <v>959.1479593369965</v>
      </c>
      <c r="S31" s="38">
        <f>Q31-R31</f>
        <v/>
      </c>
      <c r="T31" s="36">
        <f>'6. Rates &amp; revenue'!Q30</f>
        <v/>
      </c>
      <c r="U31" s="37" t="n">
        <v>6246.99778226572</v>
      </c>
      <c r="V31" s="38">
        <f>T31-U31</f>
        <v/>
      </c>
      <c r="W31" s="36">
        <f>'6. Rates &amp; revenue'!U30</f>
        <v/>
      </c>
      <c r="X31" s="37" t="n">
        <v>217.7500747376646</v>
      </c>
      <c r="Y31" s="38">
        <f>W31-X31</f>
        <v/>
      </c>
      <c r="Z31" s="36">
        <f>'6. Rates &amp; revenue'!Y30</f>
        <v/>
      </c>
      <c r="AA31" s="37" t="n">
        <v>3249.855728831248</v>
      </c>
      <c r="AB31" s="38">
        <f>Z31-AA31</f>
        <v/>
      </c>
      <c r="AC31" s="36">
        <f>'7. NLTF rollup'!G30</f>
        <v/>
      </c>
      <c r="AD31" s="37" t="n">
        <v>1029.588100525408</v>
      </c>
      <c r="AE31" s="38">
        <f>AC31-AD31</f>
        <v/>
      </c>
      <c r="AF31" s="36">
        <f>'7. NLTF rollup'!P30</f>
        <v/>
      </c>
      <c r="AG31" s="37" t="n">
        <v>11349.70163173158</v>
      </c>
      <c r="AH31" s="38">
        <f>AF31-AG31</f>
        <v/>
      </c>
      <c r="AI31" s="36">
        <f>'7. NLTF rollup'!W30</f>
        <v/>
      </c>
      <c r="AJ31" s="37" t="n">
        <v>12827.53556506874</v>
      </c>
      <c r="AK31" s="38">
        <f>AI31-AJ31</f>
        <v/>
      </c>
    </row>
    <row r="32">
      <c r="A32" s="19" t="inlineStr">
        <is>
          <t>Largest difference</t>
        </is>
      </c>
      <c r="D32" s="38">
        <f>MAX(MAX(D7:D31),-MIN(D7:D31))</f>
        <v/>
      </c>
      <c r="G32" s="38">
        <f>MAX(MAX(G7:G31),-MIN(G7:G31))</f>
        <v/>
      </c>
      <c r="J32" s="38">
        <f>MAX(MAX(J7:J31),-MIN(J7:J31))</f>
        <v/>
      </c>
      <c r="M32" s="38">
        <f>MAX(MAX(M7:M31),-MIN(M7:M31))</f>
        <v/>
      </c>
      <c r="P32" s="38">
        <f>MAX(MAX(P7:P31),-MIN(P7:P31))</f>
        <v/>
      </c>
      <c r="S32" s="38">
        <f>MAX(MAX(S7:S31),-MIN(S7:S31))</f>
        <v/>
      </c>
      <c r="V32" s="38">
        <f>MAX(MAX(V7:V31),-MIN(V7:V31))</f>
        <v/>
      </c>
      <c r="Y32" s="38">
        <f>MAX(MAX(Y7:Y31),-MIN(Y7:Y31))</f>
        <v/>
      </c>
      <c r="AB32" s="38">
        <f>MAX(MAX(AB7:AB31),-MIN(AB7:AB31))</f>
        <v/>
      </c>
      <c r="AE32" s="38">
        <f>MAX(MAX(AE7:AE31),-MIN(AE7:AE31))</f>
        <v/>
      </c>
      <c r="AH32" s="38">
        <f>MAX(MAX(AH7:AH31),-MIN(AH7:AH31))</f>
        <v/>
      </c>
      <c r="AK32" s="38">
        <f>MAX(MAX(AK7:AK31),-MIN(AK7:AK31))</f>
        <v/>
      </c>
    </row>
    <row r="34">
      <c r="A34" s="41">
        <f>IF(MAX(B32:AK32)&lt;0.01,"MATCH: every line reconciles to the dashboard within $0.01m / 0.01m km","CHECK: a line differs - inspect the difference columns")</f>
        <v/>
      </c>
    </row>
  </sheetData>
  <mergeCells count="12">
    <mergeCell ref="B5:D5"/>
    <mergeCell ref="Q5:S5"/>
    <mergeCell ref="AF5:AH5"/>
    <mergeCell ref="T5:V5"/>
    <mergeCell ref="AC5:AE5"/>
    <mergeCell ref="E5:G5"/>
    <mergeCell ref="K5:M5"/>
    <mergeCell ref="H5:J5"/>
    <mergeCell ref="W5:Y5"/>
    <mergeCell ref="Z5:AB5"/>
    <mergeCell ref="AI5:AK5"/>
    <mergeCell ref="N5:P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9"/>
  <sheetViews>
    <sheetView showGridLines="0" workbookViewId="0">
      <selection activeCell="A1" sqref="A1"/>
    </sheetView>
  </sheetViews>
  <sheetFormatPr baseColWidth="8" defaultRowHeight="15"/>
  <cols>
    <col width="40" customWidth="1" min="1" max="1"/>
    <col width="30" customWidth="1" min="2" max="2"/>
    <col width="40" customWidth="1" min="3" max="3"/>
    <col width="44" customWidth="1" min="4" max="4"/>
    <col width="60" customWidth="1" min="5" max="5"/>
  </cols>
  <sheetData>
    <row r="1">
      <c r="A1" s="1" t="inlineStr">
        <is>
          <t>Where every line comes from - and what the jargon means</t>
        </is>
      </c>
    </row>
    <row r="4">
      <c r="A4" s="3" t="inlineStr">
        <is>
          <t>Series mapping: this workbook &lt;-&gt; the dashboard &lt;-&gt; MoT</t>
        </is>
      </c>
      <c r="B4" s="4" t="n"/>
      <c r="C4" s="4" t="n"/>
      <c r="D4" s="4" t="n"/>
      <c r="E4" s="4" t="n"/>
    </row>
    <row r="5">
      <c r="A5" s="13" t="inlineStr">
        <is>
          <t>Plain-language line (this workbook)</t>
        </is>
      </c>
      <c r="B5" s="13" t="inlineStr">
        <is>
          <t>Dashboard series</t>
        </is>
      </c>
      <c r="C5" s="13" t="inlineStr">
        <is>
          <t>MoT / MBU26 source</t>
        </is>
      </c>
      <c r="D5" s="13" t="inlineStr">
        <is>
          <t>MoT VFM role</t>
        </is>
      </c>
      <c r="E5" s="13" t="inlineStr">
        <is>
          <t>Notes</t>
        </is>
      </c>
    </row>
    <row r="6" ht="30" customHeight="1">
      <c r="A6" s="42" t="inlineStr">
        <is>
          <t>Petrol travel per person</t>
        </is>
      </c>
      <c r="B6" s="43" t="inlineStr">
        <is>
          <t>PED VKT per capita</t>
        </is>
      </c>
      <c r="C6" s="43" t="inlineStr">
        <is>
          <t>MBU26 sheet row 17 (history/official)</t>
        </is>
      </c>
      <c r="D6" s="43" t="inlineStr">
        <is>
          <t>Petrol share of light VKT (sheet 2, col F)</t>
        </is>
      </c>
      <c r="E6" s="43" t="inlineStr">
        <is>
          <t>Forecast by the AR(1) time-series model each quarter; the only line that differs between the two engines.</t>
        </is>
      </c>
    </row>
    <row r="7" ht="30" customHeight="1">
      <c r="A7" s="42" t="inlineStr">
        <is>
          <t>Petrol pool (million km)</t>
        </is>
      </c>
      <c r="B7" s="43" t="inlineStr">
        <is>
          <t>light_petrol_vkt</t>
        </is>
      </c>
      <c r="C7" s="43" t="inlineStr">
        <is>
          <t>MBU26 sheet row 16</t>
        </is>
      </c>
      <c r="D7" s="43" t="inlineStr">
        <is>
          <t>Petrol VKT by scenario</t>
        </is>
      </c>
      <c r="E7" s="43" t="inlineStr">
        <is>
          <t>Travel per person x population, summed over the four quarters of the June year.</t>
        </is>
      </c>
    </row>
    <row r="8" ht="30" customHeight="1">
      <c r="A8" s="42" t="inlineStr">
        <is>
          <t>Light RUC pool (million km)</t>
        </is>
      </c>
      <c r="B8" s="43" t="inlineStr">
        <is>
          <t>light_ruc_net_km (model total)</t>
        </is>
      </c>
      <c r="C8" s="43" t="inlineStr">
        <is>
          <t>MBU26 sheet row 10</t>
        </is>
      </c>
      <c r="D8" s="43" t="inlineStr">
        <is>
          <t>Light pool = diesel + diesel-hybrid + BEV + PHEV</t>
        </is>
      </c>
      <c r="E8" s="43" t="inlineStr">
        <is>
          <t>The light RUC model forecasts the whole light RUC universe; the class split happens on sheet 5.</t>
        </is>
      </c>
    </row>
    <row r="9" ht="30" customHeight="1">
      <c r="A9" s="42" t="inlineStr">
        <is>
          <t>Conventional light RUC km</t>
        </is>
      </c>
      <c r="B9" s="43" t="inlineStr">
        <is>
          <t>light_ruc_net_km (committed)</t>
        </is>
      </c>
      <c r="C9" s="43" t="inlineStr">
        <is>
          <t>MBU26 row 10 (share), row 33 (revenue)</t>
        </is>
      </c>
      <c r="D9" s="43" t="inlineStr">
        <is>
          <t>Diesel + diesel-hybrid VKT</t>
        </is>
      </c>
      <c r="E9" s="43" t="inlineStr">
        <is>
          <t>Light pool minus the electric switch drawn from it.</t>
        </is>
      </c>
    </row>
    <row r="10" ht="30" customHeight="1">
      <c r="A10" s="42" t="inlineStr">
        <is>
          <t>Battery-electric light km</t>
        </is>
      </c>
      <c r="B10" s="43" t="inlineStr">
        <is>
          <t>light_bev_ruc_net_km</t>
        </is>
      </c>
      <c r="C10" s="43" t="inlineStr">
        <is>
          <t>MBU26 row 12 (share), row 35 (revenue)</t>
        </is>
      </c>
      <c r="D10" s="43" t="inlineStr">
        <is>
          <t>'Electric' VKT for LPV+LCV</t>
        </is>
      </c>
      <c r="E10" s="43" t="inlineStr">
        <is>
          <t>Light universe x MoT BEV share.</t>
        </is>
      </c>
    </row>
    <row r="11" ht="30" customHeight="1">
      <c r="A11" s="42" t="inlineStr">
        <is>
          <t>Plug-in hybrid km</t>
        </is>
      </c>
      <c r="B11" s="43" t="inlineStr">
        <is>
          <t>phev_ruc_net_km</t>
        </is>
      </c>
      <c r="C11" s="43" t="inlineStr">
        <is>
          <t>MBU26 row 14 (share), row 37 (revenue)</t>
        </is>
      </c>
      <c r="D11" s="43" t="inlineStr">
        <is>
          <t>'Petrol plug-in' VKT</t>
        </is>
      </c>
      <c r="E11" s="43" t="inlineStr">
        <is>
          <t>Light universe x MoT PHEV share.</t>
        </is>
      </c>
    </row>
    <row r="12" ht="30" customHeight="1">
      <c r="A12" s="42" t="inlineStr">
        <is>
          <t>Heavy RUC km</t>
        </is>
      </c>
      <c r="B12" s="43" t="inlineStr">
        <is>
          <t>heavy_ruc_net_km</t>
        </is>
      </c>
      <c r="C12" s="43" t="inlineStr">
        <is>
          <t>MBU26 row 11 (km), row 34 (revenue)</t>
        </is>
      </c>
      <c r="D12" s="43" t="inlineStr">
        <is>
          <t>M Truck + H Truck VKT; electric share tracked separately</t>
        </is>
      </c>
      <c r="E12" s="43" t="inlineStr">
        <is>
          <t>Forecast directly by the heavy model; heavy BEVs pay the same per-km rate, so electrification is revenue-neutral inside the heavy block.</t>
        </is>
      </c>
    </row>
    <row r="13" ht="30" customHeight="1">
      <c r="A13" s="42" t="inlineStr">
        <is>
          <t>Petrol litres and duty</t>
        </is>
      </c>
      <c r="B13" s="43" t="inlineStr">
        <is>
          <t>ped_volume / gross_ped_revenue</t>
        </is>
      </c>
      <c r="C13" s="43" t="inlineStr">
        <is>
          <t>MBU26 rows 15 (litres) and 45 (revenue)</t>
        </is>
      </c>
      <c r="D13" s="43" t="inlineStr">
        <is>
          <t>-</t>
        </is>
      </c>
      <c r="E13" s="43" t="inlineStr">
        <is>
          <t>Litres = petrol km x MoT fuel intensity; revenue = litres x MoT effective duty rate (legislated FY2027 +6c and FY2028 +12c steps included).</t>
        </is>
      </c>
    </row>
    <row r="14" ht="30" customHeight="1">
      <c r="A14" s="42" t="inlineStr">
        <is>
          <t>Registration, LPG/CNG, refunds, admin, TUC</t>
        </is>
      </c>
      <c r="B14" s="43" t="inlineStr">
        <is>
          <t>net_mvr_revenue etc.</t>
        </is>
      </c>
      <c r="C14" s="43" t="inlineStr">
        <is>
          <t>MBU26 rows 36-63</t>
        </is>
      </c>
      <c r="D14" s="43" t="inlineStr">
        <is>
          <t>-</t>
        </is>
      </c>
      <c r="E14" s="43" t="inlineStr">
        <is>
          <t>Taken from MBU26 as-is - not modelled.</t>
        </is>
      </c>
    </row>
    <row r="15" ht="30" customHeight="1">
      <c r="A15" s="42" t="inlineStr">
        <is>
          <t>Total NLTF revenue</t>
        </is>
      </c>
      <c r="B15" s="43" t="inlineStr">
        <is>
          <t>total_nltf_net_revenue</t>
        </is>
      </c>
      <c r="C15" s="43" t="inlineStr">
        <is>
          <t>MBU26 rows 66-70 (official rollup)</t>
        </is>
      </c>
      <c r="D15" s="43" t="inlineStr">
        <is>
          <t>-</t>
        </is>
      </c>
      <c r="E15" s="43" t="inlineStr">
        <is>
          <t>Net fuel excise + net RUC + net registration + track user charge.</t>
        </is>
      </c>
    </row>
    <row r="17">
      <c r="A17" s="3" t="inlineStr">
        <is>
          <t>Glossary</t>
        </is>
      </c>
      <c r="B17" s="4" t="n"/>
      <c r="C17" s="4" t="n"/>
      <c r="D17" s="4" t="n"/>
      <c r="E17" s="4" t="n"/>
    </row>
    <row r="18">
      <c r="A18" s="19" t="inlineStr">
        <is>
          <t>NLTF</t>
        </is>
      </c>
      <c r="B18" s="43" t="inlineStr">
        <is>
          <t>National Land Transport Fund - where fuel excise, road user charges, registration and track user charges land.</t>
        </is>
      </c>
      <c r="C18" s="44" t="n"/>
      <c r="D18" s="44" t="n"/>
      <c r="E18" s="20" t="n"/>
    </row>
    <row r="19">
      <c r="A19" s="19" t="inlineStr">
        <is>
          <t>PED</t>
        </is>
      </c>
      <c r="B19" s="43" t="inlineStr">
        <is>
          <t>Petrol excise duty. 'PED volume' is petrol litres sold; 'PED VKT per capita' is petrol-vehicle kilometres travelled per person.</t>
        </is>
      </c>
      <c r="C19" s="44" t="n"/>
      <c r="D19" s="44" t="n"/>
      <c r="E19" s="20" t="n"/>
    </row>
    <row r="20">
      <c r="A20" s="19" t="inlineStr">
        <is>
          <t>RUC</t>
        </is>
      </c>
      <c r="B20" s="43" t="inlineStr">
        <is>
          <t>Road user charges - distance-based charges for vehicles that do not pay fuel excise (diesel, electric, heavy).</t>
        </is>
      </c>
      <c r="C20" s="44" t="n"/>
      <c r="D20" s="44" t="n"/>
      <c r="E20" s="20" t="n"/>
    </row>
    <row r="21">
      <c r="A21" s="19" t="inlineStr">
        <is>
          <t>VKT</t>
        </is>
      </c>
      <c r="B21" s="43" t="inlineStr">
        <is>
          <t>Vehicle kilometres travelled.</t>
        </is>
      </c>
      <c r="C21" s="44" t="n"/>
      <c r="D21" s="44" t="n"/>
      <c r="E21" s="20" t="n"/>
    </row>
    <row r="22">
      <c r="A22" s="19" t="inlineStr">
        <is>
          <t>BEV / PHEV</t>
        </is>
      </c>
      <c r="B22" s="43" t="inlineStr">
        <is>
          <t>Battery-electric vehicle / plug-in hybrid electric vehicle.</t>
        </is>
      </c>
      <c r="C22" s="44" t="n"/>
      <c r="D22" s="44" t="n"/>
      <c r="E22" s="20" t="n"/>
    </row>
    <row r="23">
      <c r="A23" s="19" t="inlineStr">
        <is>
          <t>MBU26</t>
        </is>
      </c>
      <c r="B23" s="43" t="inlineStr">
        <is>
          <t>MoT's official 2026 baseline update - the published revenue model this dashboard benchmarks against.</t>
        </is>
      </c>
      <c r="C23" s="44" t="n"/>
      <c r="D23" s="44" t="n"/>
      <c r="E23" s="20" t="n"/>
    </row>
    <row r="24">
      <c r="A24" s="19" t="inlineStr">
        <is>
          <t>VFM 202405</t>
        </is>
      </c>
      <c r="B24" s="43" t="inlineStr">
        <is>
          <t>MoT's Vehicle Fleet Model (May 2024 run) - projects the fleet's power-type mix; source of the EV transition curves.</t>
        </is>
      </c>
      <c r="C24" s="44" t="n"/>
      <c r="D24" s="44" t="n"/>
      <c r="E24" s="20" t="n"/>
    </row>
    <row r="25">
      <c r="A25" s="19" t="inlineStr">
        <is>
          <t>MVR / MR1 / MR2 / COO</t>
        </is>
      </c>
      <c r="B25" s="43" t="inlineStr">
        <is>
          <t>Motor vehicle registration revenue components and the certificate-of-ownership fee.</t>
        </is>
      </c>
      <c r="C25" s="44" t="n"/>
      <c r="D25" s="44" t="n"/>
      <c r="E25" s="20" t="n"/>
    </row>
    <row r="26">
      <c r="A26" s="19" t="inlineStr">
        <is>
          <t>TUC</t>
        </is>
      </c>
      <c r="B26" s="43" t="inlineStr">
        <is>
          <t>Track user charges (rail).</t>
        </is>
      </c>
      <c r="C26" s="44" t="n"/>
      <c r="D26" s="44" t="n"/>
      <c r="E26" s="20" t="n"/>
    </row>
    <row r="27">
      <c r="A27" s="19" t="inlineStr">
        <is>
          <t>June year</t>
        </is>
      </c>
      <c r="B27" s="43" t="inlineStr">
        <is>
          <t>The transport funding year: FY2030 runs July 2029 to June 2030.</t>
        </is>
      </c>
      <c r="C27" s="44" t="n"/>
      <c r="D27" s="44" t="n"/>
      <c r="E27" s="20" t="n"/>
    </row>
    <row r="28">
      <c r="A28" s="19" t="inlineStr">
        <is>
          <t>ex GST</t>
        </is>
      </c>
      <c r="B28" s="43" t="inlineStr">
        <is>
          <t>All dollars exclude GST, matching MoT's published basis.</t>
        </is>
      </c>
      <c r="C28" s="44" t="n"/>
      <c r="D28" s="44" t="n"/>
      <c r="E28" s="20" t="n"/>
    </row>
    <row r="29">
      <c r="A29" s="19" t="inlineStr">
        <is>
          <t>AR(1) model</t>
        </is>
      </c>
      <c r="B29" s="43" t="inlineStr">
        <is>
          <t>Our production PED model: a regression with statistically well-behaved (autocorrelation-corrected) errors; passes all six core diagnostic tests.</t>
        </is>
      </c>
      <c r="C29" s="44" t="n"/>
      <c r="D29" s="44" t="n"/>
      <c r="E29" s="20" t="n"/>
    </row>
  </sheetData>
  <mergeCells count="12">
    <mergeCell ref="B23:E23"/>
    <mergeCell ref="B18:E18"/>
    <mergeCell ref="B26:E26"/>
    <mergeCell ref="B27:E27"/>
    <mergeCell ref="B21:E21"/>
    <mergeCell ref="B29:E29"/>
    <mergeCell ref="B25:E25"/>
    <mergeCell ref="B24:E24"/>
    <mergeCell ref="B19:E19"/>
    <mergeCell ref="B20:E20"/>
    <mergeCell ref="B28:E28"/>
    <mergeCell ref="B22:E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2026-07-09T06:45:25Z</dcterms:created>
  <dcterms:modified xsi:type="dcterms:W3CDTF">2026-07-09T06:45:25Z</dcterms:modified>
</cp:coreProperties>
</file>