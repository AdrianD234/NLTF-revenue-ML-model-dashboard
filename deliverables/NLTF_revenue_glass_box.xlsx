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drian Desilvestro\Repos\NLTF-revenue-ML-model-dashboard\deliverables\"/>
    </mc:Choice>
  </mc:AlternateContent>
  <xr:revisionPtr revIDLastSave="0" documentId="13_ncr:1_{955FCDC9-1C28-4151-8314-4E750D060185}" xr6:coauthVersionLast="47" xr6:coauthVersionMax="47" xr10:uidLastSave="{00000000-0000-0000-0000-000000000000}"/>
  <bookViews>
    <workbookView xWindow="-108" yWindow="-108" windowWidth="30936" windowHeight="16776" activeTab="7" xr2:uid="{00000000-000D-0000-FFFF-FFFF00000000}"/>
  </bookViews>
  <sheets>
    <sheet name="1. Read me" sheetId="1" r:id="rId1"/>
    <sheet name="2. MoT VFM curves" sheetId="2" r:id="rId2"/>
    <sheet name="3. Why an S-curve" sheetId="3" r:id="rId3"/>
    <sheet name="4. Engine forecasts" sheetId="4" r:id="rId4"/>
    <sheet name="5. Light fleet split" sheetId="5" r:id="rId5"/>
    <sheet name="6. Rates &amp; revenue" sheetId="6" r:id="rId6"/>
    <sheet name="7. NLTF rollup" sheetId="7" r:id="rId7"/>
    <sheet name="8. Reconciliation" sheetId="8" r:id="rId8"/>
    <sheet name="9. Mapping &amp; glossa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30" i="7" l="1"/>
  <c r="T29" i="7"/>
  <c r="T28" i="7"/>
  <c r="T27" i="7"/>
  <c r="T26" i="7"/>
  <c r="T25" i="7"/>
  <c r="T24" i="7"/>
  <c r="T23" i="7"/>
  <c r="T22" i="7"/>
  <c r="T21" i="7"/>
  <c r="T20" i="7"/>
  <c r="T19" i="7"/>
  <c r="T18" i="7"/>
  <c r="T17" i="7"/>
  <c r="T16" i="7"/>
  <c r="T15" i="7"/>
  <c r="T14" i="7"/>
  <c r="T13" i="7"/>
  <c r="T12" i="7"/>
  <c r="T11" i="7"/>
  <c r="T10" i="7"/>
  <c r="T9" i="7"/>
  <c r="T8" i="7"/>
  <c r="T7" i="7"/>
  <c r="T6" i="7"/>
  <c r="X30" i="6"/>
  <c r="Y30" i="6" s="1"/>
  <c r="S30" i="6"/>
  <c r="O30" i="6"/>
  <c r="K30" i="6"/>
  <c r="F30" i="6"/>
  <c r="C30" i="6"/>
  <c r="D30" i="6" s="1"/>
  <c r="X29" i="6"/>
  <c r="Y29" i="6" s="1"/>
  <c r="S29" i="6"/>
  <c r="O29" i="6"/>
  <c r="K29" i="6"/>
  <c r="F29" i="6"/>
  <c r="C29" i="6"/>
  <c r="D29" i="6" s="1"/>
  <c r="X28" i="6"/>
  <c r="Y28" i="6" s="1"/>
  <c r="S28" i="6"/>
  <c r="O28" i="6"/>
  <c r="K28" i="6"/>
  <c r="F28" i="6"/>
  <c r="C28" i="6"/>
  <c r="D28" i="6" s="1"/>
  <c r="S27" i="6"/>
  <c r="O27" i="6"/>
  <c r="K27" i="6"/>
  <c r="F27" i="6"/>
  <c r="C27" i="6"/>
  <c r="D27" i="6" s="1"/>
  <c r="S26" i="6"/>
  <c r="O26" i="6"/>
  <c r="K26" i="6"/>
  <c r="F26" i="6"/>
  <c r="C26" i="6"/>
  <c r="D26" i="6" s="1"/>
  <c r="S25" i="6"/>
  <c r="O25" i="6"/>
  <c r="K25" i="6"/>
  <c r="F25" i="6"/>
  <c r="C25" i="6"/>
  <c r="D25" i="6" s="1"/>
  <c r="S24" i="6"/>
  <c r="O24" i="6"/>
  <c r="K24" i="6"/>
  <c r="F24" i="6"/>
  <c r="C24" i="6"/>
  <c r="D24" i="6" s="1"/>
  <c r="S23" i="6"/>
  <c r="O23" i="6"/>
  <c r="K23" i="6"/>
  <c r="F23" i="6"/>
  <c r="C23" i="6"/>
  <c r="D23" i="6" s="1"/>
  <c r="S22" i="6"/>
  <c r="O22" i="6"/>
  <c r="K22" i="6"/>
  <c r="F22" i="6"/>
  <c r="C22" i="6"/>
  <c r="D22" i="6" s="1"/>
  <c r="X21" i="6"/>
  <c r="Y21" i="6" s="1"/>
  <c r="S21" i="6"/>
  <c r="O21" i="6"/>
  <c r="K21" i="6"/>
  <c r="F21" i="6"/>
  <c r="C21" i="6"/>
  <c r="D21" i="6" s="1"/>
  <c r="X20" i="6"/>
  <c r="Y20" i="6" s="1"/>
  <c r="S20" i="6"/>
  <c r="O20" i="6"/>
  <c r="K20" i="6"/>
  <c r="F20" i="6"/>
  <c r="C20" i="6"/>
  <c r="D20" i="6" s="1"/>
  <c r="X19" i="6"/>
  <c r="Y19" i="6" s="1"/>
  <c r="S19" i="6"/>
  <c r="O19" i="6"/>
  <c r="K19" i="6"/>
  <c r="F19" i="6"/>
  <c r="C19" i="6"/>
  <c r="D19" i="6" s="1"/>
  <c r="X18" i="6"/>
  <c r="Y18" i="6" s="1"/>
  <c r="S18" i="6"/>
  <c r="O18" i="6"/>
  <c r="K18" i="6"/>
  <c r="F18" i="6"/>
  <c r="C18" i="6"/>
  <c r="D18" i="6" s="1"/>
  <c r="X17" i="6"/>
  <c r="Y17" i="6" s="1"/>
  <c r="S17" i="6"/>
  <c r="O17" i="6"/>
  <c r="K17" i="6"/>
  <c r="F17" i="6"/>
  <c r="C17" i="6"/>
  <c r="D17" i="6" s="1"/>
  <c r="X16" i="6"/>
  <c r="Y16" i="6" s="1"/>
  <c r="S16" i="6"/>
  <c r="O16" i="6"/>
  <c r="K16" i="6"/>
  <c r="F16" i="6"/>
  <c r="C16" i="6"/>
  <c r="D16" i="6" s="1"/>
  <c r="X15" i="6"/>
  <c r="Y15" i="6" s="1"/>
  <c r="S15" i="6"/>
  <c r="O15" i="6"/>
  <c r="K15" i="6"/>
  <c r="F15" i="6"/>
  <c r="C15" i="6"/>
  <c r="D15" i="6" s="1"/>
  <c r="X14" i="6"/>
  <c r="Y14" i="6" s="1"/>
  <c r="S14" i="6"/>
  <c r="O14" i="6"/>
  <c r="K14" i="6"/>
  <c r="F14" i="6"/>
  <c r="C14" i="6"/>
  <c r="D14" i="6" s="1"/>
  <c r="X13" i="6"/>
  <c r="Y13" i="6" s="1"/>
  <c r="S13" i="6"/>
  <c r="O13" i="6"/>
  <c r="K13" i="6"/>
  <c r="F13" i="6"/>
  <c r="C13" i="6"/>
  <c r="D13" i="6" s="1"/>
  <c r="X12" i="6"/>
  <c r="Y12" i="6" s="1"/>
  <c r="S12" i="6"/>
  <c r="O12" i="6"/>
  <c r="K12" i="6"/>
  <c r="F12" i="6"/>
  <c r="C12" i="6"/>
  <c r="D12" i="6" s="1"/>
  <c r="X11" i="6"/>
  <c r="Y11" i="6" s="1"/>
  <c r="S11" i="6"/>
  <c r="O11" i="6"/>
  <c r="K11" i="6"/>
  <c r="F11" i="6"/>
  <c r="C11" i="6"/>
  <c r="D11" i="6" s="1"/>
  <c r="X10" i="6"/>
  <c r="Y10" i="6" s="1"/>
  <c r="S10" i="6"/>
  <c r="O10" i="6"/>
  <c r="K10" i="6"/>
  <c r="F10" i="6"/>
  <c r="C10" i="6"/>
  <c r="D10" i="6" s="1"/>
  <c r="X9" i="6"/>
  <c r="Y9" i="6" s="1"/>
  <c r="S9" i="6"/>
  <c r="O9" i="6"/>
  <c r="K9" i="6"/>
  <c r="F9" i="6"/>
  <c r="C9" i="6"/>
  <c r="D9" i="6" s="1"/>
  <c r="X8" i="6"/>
  <c r="Y8" i="6" s="1"/>
  <c r="S8" i="6"/>
  <c r="O8" i="6"/>
  <c r="K8" i="6"/>
  <c r="F8" i="6"/>
  <c r="D8" i="6"/>
  <c r="C8" i="6"/>
  <c r="X7" i="6"/>
  <c r="Y7" i="6" s="1"/>
  <c r="S7" i="6"/>
  <c r="O7" i="6"/>
  <c r="K7" i="6"/>
  <c r="F7" i="6"/>
  <c r="C7" i="6"/>
  <c r="D7" i="6" s="1"/>
  <c r="X6" i="6"/>
  <c r="Y6" i="6" s="1"/>
  <c r="S6" i="6"/>
  <c r="O6" i="6"/>
  <c r="K6" i="6"/>
  <c r="F6" i="6"/>
  <c r="C6" i="6"/>
  <c r="D6" i="6" s="1"/>
  <c r="I30" i="5"/>
  <c r="I29" i="5"/>
  <c r="I28" i="5"/>
  <c r="I27" i="5"/>
  <c r="I26" i="5"/>
  <c r="I25" i="5"/>
  <c r="I24" i="5"/>
  <c r="M23" i="5"/>
  <c r="I23" i="5"/>
  <c r="I22" i="5"/>
  <c r="I21" i="5"/>
  <c r="C21" i="5"/>
  <c r="B21" i="5"/>
  <c r="I20" i="5"/>
  <c r="C20" i="5"/>
  <c r="B20" i="5"/>
  <c r="I19" i="5"/>
  <c r="C19" i="5"/>
  <c r="B19" i="5"/>
  <c r="I18" i="5"/>
  <c r="C18" i="5"/>
  <c r="B18" i="5"/>
  <c r="I17" i="5"/>
  <c r="C17" i="5"/>
  <c r="B17" i="5"/>
  <c r="I16" i="5"/>
  <c r="C16" i="5"/>
  <c r="B16" i="5"/>
  <c r="M15" i="5"/>
  <c r="L15" i="5"/>
  <c r="I15" i="5"/>
  <c r="C15" i="5"/>
  <c r="B15" i="5"/>
  <c r="D15" i="5" s="1"/>
  <c r="I14" i="5"/>
  <c r="C14" i="5"/>
  <c r="B14" i="5"/>
  <c r="I13" i="5"/>
  <c r="C13" i="5"/>
  <c r="B13" i="5"/>
  <c r="I12" i="5"/>
  <c r="C12" i="5"/>
  <c r="B12" i="5"/>
  <c r="I11" i="5"/>
  <c r="C11" i="5"/>
  <c r="B11" i="5"/>
  <c r="I10" i="5"/>
  <c r="C10" i="5"/>
  <c r="B10" i="5"/>
  <c r="I9" i="5"/>
  <c r="C9" i="5"/>
  <c r="B9" i="5"/>
  <c r="I8" i="5"/>
  <c r="C8" i="5"/>
  <c r="B8" i="5"/>
  <c r="M7" i="5"/>
  <c r="L7" i="5"/>
  <c r="K7" i="5"/>
  <c r="I7" i="5"/>
  <c r="J7" i="5" s="1"/>
  <c r="C7" i="5"/>
  <c r="B7" i="5"/>
  <c r="D7" i="5" s="1"/>
  <c r="I6" i="5"/>
  <c r="C6" i="5"/>
  <c r="B6" i="5"/>
  <c r="K105" i="4"/>
  <c r="I105" i="4"/>
  <c r="G105" i="4"/>
  <c r="K104" i="4"/>
  <c r="I104" i="4"/>
  <c r="G104" i="4"/>
  <c r="K103" i="4"/>
  <c r="I103" i="4"/>
  <c r="G103" i="4"/>
  <c r="K102" i="4"/>
  <c r="I102" i="4"/>
  <c r="C30" i="5" s="1"/>
  <c r="G102" i="4"/>
  <c r="B30" i="5" s="1"/>
  <c r="K101" i="4"/>
  <c r="I101" i="4"/>
  <c r="G101" i="4"/>
  <c r="K100" i="4"/>
  <c r="I100" i="4"/>
  <c r="G100" i="4"/>
  <c r="K99" i="4"/>
  <c r="I99" i="4"/>
  <c r="G99" i="4"/>
  <c r="K98" i="4"/>
  <c r="I98" i="4"/>
  <c r="C29" i="5" s="1"/>
  <c r="G98" i="4"/>
  <c r="B29" i="5" s="1"/>
  <c r="K97" i="4"/>
  <c r="I97" i="4"/>
  <c r="G97" i="4"/>
  <c r="K96" i="4"/>
  <c r="I96" i="4"/>
  <c r="G96" i="4"/>
  <c r="K95" i="4"/>
  <c r="I95" i="4"/>
  <c r="G95" i="4"/>
  <c r="K94" i="4"/>
  <c r="I94" i="4"/>
  <c r="C28" i="5" s="1"/>
  <c r="G94" i="4"/>
  <c r="B28" i="5" s="1"/>
  <c r="K93" i="4"/>
  <c r="I93" i="4"/>
  <c r="G93" i="4"/>
  <c r="K92" i="4"/>
  <c r="I92" i="4"/>
  <c r="G92" i="4"/>
  <c r="K91" i="4"/>
  <c r="I91" i="4"/>
  <c r="G91" i="4"/>
  <c r="K90" i="4"/>
  <c r="X27" i="6" s="1"/>
  <c r="Y27" i="6" s="1"/>
  <c r="I90" i="4"/>
  <c r="C27" i="5" s="1"/>
  <c r="G90" i="4"/>
  <c r="B27" i="5" s="1"/>
  <c r="K89" i="4"/>
  <c r="I89" i="4"/>
  <c r="G89" i="4"/>
  <c r="K88" i="4"/>
  <c r="I88" i="4"/>
  <c r="G88" i="4"/>
  <c r="K87" i="4"/>
  <c r="I87" i="4"/>
  <c r="G87" i="4"/>
  <c r="K86" i="4"/>
  <c r="X26" i="6" s="1"/>
  <c r="Y26" i="6" s="1"/>
  <c r="I86" i="4"/>
  <c r="C26" i="5" s="1"/>
  <c r="G86" i="4"/>
  <c r="B26" i="5" s="1"/>
  <c r="K85" i="4"/>
  <c r="I85" i="4"/>
  <c r="G85" i="4"/>
  <c r="K84" i="4"/>
  <c r="I84" i="4"/>
  <c r="G84" i="4"/>
  <c r="K83" i="4"/>
  <c r="I83" i="4"/>
  <c r="G83" i="4"/>
  <c r="K82" i="4"/>
  <c r="X25" i="6" s="1"/>
  <c r="Y25" i="6" s="1"/>
  <c r="I82" i="4"/>
  <c r="C25" i="5" s="1"/>
  <c r="G82" i="4"/>
  <c r="B25" i="5" s="1"/>
  <c r="K81" i="4"/>
  <c r="I81" i="4"/>
  <c r="G81" i="4"/>
  <c r="K80" i="4"/>
  <c r="I80" i="4"/>
  <c r="G80" i="4"/>
  <c r="K79" i="4"/>
  <c r="I79" i="4"/>
  <c r="G79" i="4"/>
  <c r="K78" i="4"/>
  <c r="X24" i="6" s="1"/>
  <c r="Y24" i="6" s="1"/>
  <c r="I78" i="4"/>
  <c r="C24" i="5" s="1"/>
  <c r="G78" i="4"/>
  <c r="B24" i="5" s="1"/>
  <c r="K77" i="4"/>
  <c r="I77" i="4"/>
  <c r="G77" i="4"/>
  <c r="K76" i="4"/>
  <c r="I76" i="4"/>
  <c r="G76" i="4"/>
  <c r="K75" i="4"/>
  <c r="I75" i="4"/>
  <c r="G75" i="4"/>
  <c r="K74" i="4"/>
  <c r="X23" i="6" s="1"/>
  <c r="Y23" i="6" s="1"/>
  <c r="I74" i="4"/>
  <c r="C23" i="5" s="1"/>
  <c r="G74" i="4"/>
  <c r="B23" i="5" s="1"/>
  <c r="K73" i="4"/>
  <c r="I73" i="4"/>
  <c r="G73" i="4"/>
  <c r="B22" i="5" s="1"/>
  <c r="K72" i="4"/>
  <c r="X22" i="6" s="1"/>
  <c r="Y22" i="6" s="1"/>
  <c r="I72" i="4"/>
  <c r="C22" i="5" s="1"/>
  <c r="G72" i="4"/>
  <c r="K71" i="4"/>
  <c r="I71" i="4"/>
  <c r="G71" i="4"/>
  <c r="K70" i="4"/>
  <c r="I70" i="4"/>
  <c r="G70" i="4"/>
  <c r="K69" i="4"/>
  <c r="I69" i="4"/>
  <c r="G69" i="4"/>
  <c r="K68" i="4"/>
  <c r="I68" i="4"/>
  <c r="G68" i="4"/>
  <c r="K67" i="4"/>
  <c r="I67" i="4"/>
  <c r="G67" i="4"/>
  <c r="K66" i="4"/>
  <c r="I66" i="4"/>
  <c r="G66" i="4"/>
  <c r="K65" i="4"/>
  <c r="I65" i="4"/>
  <c r="G65" i="4"/>
  <c r="K64" i="4"/>
  <c r="I64" i="4"/>
  <c r="G64" i="4"/>
  <c r="K63" i="4"/>
  <c r="I63" i="4"/>
  <c r="G63" i="4"/>
  <c r="K62" i="4"/>
  <c r="I62" i="4"/>
  <c r="G62" i="4"/>
  <c r="K61" i="4"/>
  <c r="I61" i="4"/>
  <c r="G61" i="4"/>
  <c r="K60" i="4"/>
  <c r="I60" i="4"/>
  <c r="G60" i="4"/>
  <c r="K59" i="4"/>
  <c r="I59" i="4"/>
  <c r="G59" i="4"/>
  <c r="K58" i="4"/>
  <c r="I58" i="4"/>
  <c r="G58" i="4"/>
  <c r="K57" i="4"/>
  <c r="I57" i="4"/>
  <c r="G57" i="4"/>
  <c r="K56" i="4"/>
  <c r="I56" i="4"/>
  <c r="G56" i="4"/>
  <c r="K55" i="4"/>
  <c r="I55" i="4"/>
  <c r="G55" i="4"/>
  <c r="K54" i="4"/>
  <c r="I54" i="4"/>
  <c r="G54" i="4"/>
  <c r="K53" i="4"/>
  <c r="I53" i="4"/>
  <c r="G53" i="4"/>
  <c r="K52" i="4"/>
  <c r="I52" i="4"/>
  <c r="G52" i="4"/>
  <c r="K51" i="4"/>
  <c r="I51" i="4"/>
  <c r="G51" i="4"/>
  <c r="K50" i="4"/>
  <c r="I50" i="4"/>
  <c r="G50" i="4"/>
  <c r="K49" i="4"/>
  <c r="I49" i="4"/>
  <c r="G49" i="4"/>
  <c r="K48" i="4"/>
  <c r="I48" i="4"/>
  <c r="G48" i="4"/>
  <c r="K47" i="4"/>
  <c r="I47" i="4"/>
  <c r="G47" i="4"/>
  <c r="K46" i="4"/>
  <c r="I46" i="4"/>
  <c r="G46" i="4"/>
  <c r="K45" i="4"/>
  <c r="I45" i="4"/>
  <c r="G45" i="4"/>
  <c r="K44" i="4"/>
  <c r="I44" i="4"/>
  <c r="G44" i="4"/>
  <c r="K43" i="4"/>
  <c r="I43" i="4"/>
  <c r="G43" i="4"/>
  <c r="K42" i="4"/>
  <c r="I42" i="4"/>
  <c r="G42" i="4"/>
  <c r="K41" i="4"/>
  <c r="I41" i="4"/>
  <c r="G41" i="4"/>
  <c r="K40" i="4"/>
  <c r="I40" i="4"/>
  <c r="G40" i="4"/>
  <c r="K39" i="4"/>
  <c r="I39" i="4"/>
  <c r="G39" i="4"/>
  <c r="K38" i="4"/>
  <c r="I38" i="4"/>
  <c r="G38" i="4"/>
  <c r="K37" i="4"/>
  <c r="I37" i="4"/>
  <c r="G37" i="4"/>
  <c r="K36" i="4"/>
  <c r="I36" i="4"/>
  <c r="G36" i="4"/>
  <c r="K35" i="4"/>
  <c r="I35" i="4"/>
  <c r="G35" i="4"/>
  <c r="K34" i="4"/>
  <c r="I34" i="4"/>
  <c r="G34" i="4"/>
  <c r="K33" i="4"/>
  <c r="I33" i="4"/>
  <c r="G33" i="4"/>
  <c r="K32" i="4"/>
  <c r="I32" i="4"/>
  <c r="G32" i="4"/>
  <c r="K31" i="4"/>
  <c r="I31" i="4"/>
  <c r="G31" i="4"/>
  <c r="K30" i="4"/>
  <c r="I30" i="4"/>
  <c r="G30" i="4"/>
  <c r="K29" i="4"/>
  <c r="I29" i="4"/>
  <c r="G29" i="4"/>
  <c r="K28" i="4"/>
  <c r="I28" i="4"/>
  <c r="G28" i="4"/>
  <c r="K27" i="4"/>
  <c r="I27" i="4"/>
  <c r="G27" i="4"/>
  <c r="K26" i="4"/>
  <c r="I26" i="4"/>
  <c r="G26" i="4"/>
  <c r="K25" i="4"/>
  <c r="I25" i="4"/>
  <c r="G25" i="4"/>
  <c r="K24" i="4"/>
  <c r="I24" i="4"/>
  <c r="G24" i="4"/>
  <c r="K23" i="4"/>
  <c r="I23" i="4"/>
  <c r="G23" i="4"/>
  <c r="K22" i="4"/>
  <c r="I22" i="4"/>
  <c r="G22" i="4"/>
  <c r="K21" i="4"/>
  <c r="I21" i="4"/>
  <c r="G21" i="4"/>
  <c r="K20" i="4"/>
  <c r="I20" i="4"/>
  <c r="G20" i="4"/>
  <c r="K19" i="4"/>
  <c r="I19" i="4"/>
  <c r="G19" i="4"/>
  <c r="K18" i="4"/>
  <c r="I18" i="4"/>
  <c r="G18" i="4"/>
  <c r="K17" i="4"/>
  <c r="I17" i="4"/>
  <c r="G17" i="4"/>
  <c r="K16" i="4"/>
  <c r="I16" i="4"/>
  <c r="G16" i="4"/>
  <c r="K15" i="4"/>
  <c r="I15" i="4"/>
  <c r="G15" i="4"/>
  <c r="K14" i="4"/>
  <c r="I14" i="4"/>
  <c r="G14" i="4"/>
  <c r="K13" i="4"/>
  <c r="I13" i="4"/>
  <c r="G13" i="4"/>
  <c r="K12" i="4"/>
  <c r="I12" i="4"/>
  <c r="G12" i="4"/>
  <c r="K11" i="4"/>
  <c r="I11" i="4"/>
  <c r="G11" i="4"/>
  <c r="K10" i="4"/>
  <c r="I10" i="4"/>
  <c r="G10" i="4"/>
  <c r="K9" i="4"/>
  <c r="I9" i="4"/>
  <c r="G9" i="4"/>
  <c r="K8" i="4"/>
  <c r="I8" i="4"/>
  <c r="G8" i="4"/>
  <c r="K7" i="4"/>
  <c r="I7" i="4"/>
  <c r="G7" i="4"/>
  <c r="K6" i="4"/>
  <c r="I6" i="4"/>
  <c r="G6" i="4"/>
  <c r="J164" i="3"/>
  <c r="I164" i="3"/>
  <c r="K164" i="3" s="1"/>
  <c r="H164" i="3"/>
  <c r="F164" i="3"/>
  <c r="E164" i="3"/>
  <c r="G164" i="3" s="1"/>
  <c r="C164" i="3"/>
  <c r="B164" i="3"/>
  <c r="D164" i="3" s="1"/>
  <c r="J163" i="3"/>
  <c r="I163" i="3"/>
  <c r="K163" i="3" s="1"/>
  <c r="H163" i="3"/>
  <c r="F163" i="3"/>
  <c r="E163" i="3"/>
  <c r="G163" i="3" s="1"/>
  <c r="C163" i="3"/>
  <c r="B163" i="3"/>
  <c r="D163" i="3" s="1"/>
  <c r="J162" i="3"/>
  <c r="I162" i="3"/>
  <c r="K162" i="3" s="1"/>
  <c r="H162" i="3"/>
  <c r="F162" i="3"/>
  <c r="E162" i="3"/>
  <c r="G162" i="3" s="1"/>
  <c r="C162" i="3"/>
  <c r="B162" i="3"/>
  <c r="D162" i="3" s="1"/>
  <c r="J161" i="3"/>
  <c r="I161" i="3"/>
  <c r="K161" i="3" s="1"/>
  <c r="H161" i="3"/>
  <c r="F161" i="3"/>
  <c r="E161" i="3"/>
  <c r="G161" i="3" s="1"/>
  <c r="C161" i="3"/>
  <c r="B161" i="3"/>
  <c r="D161" i="3" s="1"/>
  <c r="J160" i="3"/>
  <c r="F160" i="3"/>
  <c r="C160" i="3"/>
  <c r="J159" i="3"/>
  <c r="F159" i="3"/>
  <c r="C159" i="3"/>
  <c r="J158" i="3"/>
  <c r="F158" i="3"/>
  <c r="C158" i="3"/>
  <c r="J157" i="3"/>
  <c r="F157" i="3"/>
  <c r="C157" i="3"/>
  <c r="J156" i="3"/>
  <c r="F156" i="3"/>
  <c r="C156" i="3"/>
  <c r="J155" i="3"/>
  <c r="F155" i="3"/>
  <c r="C155" i="3"/>
  <c r="J154" i="3"/>
  <c r="F154" i="3"/>
  <c r="C154" i="3"/>
  <c r="J153" i="3"/>
  <c r="F153" i="3"/>
  <c r="C153" i="3"/>
  <c r="J152" i="3"/>
  <c r="F152" i="3"/>
  <c r="C152" i="3"/>
  <c r="J151" i="3"/>
  <c r="F151" i="3"/>
  <c r="C151" i="3"/>
  <c r="J150" i="3"/>
  <c r="F150" i="3"/>
  <c r="C150" i="3"/>
  <c r="J149" i="3"/>
  <c r="F149" i="3"/>
  <c r="C149" i="3"/>
  <c r="J148" i="3"/>
  <c r="F148" i="3"/>
  <c r="C148" i="3"/>
  <c r="J147" i="3"/>
  <c r="F147" i="3"/>
  <c r="C147" i="3"/>
  <c r="J146" i="3"/>
  <c r="F146" i="3"/>
  <c r="C146" i="3"/>
  <c r="J145" i="3"/>
  <c r="F145" i="3"/>
  <c r="C145" i="3"/>
  <c r="J144" i="3"/>
  <c r="F144" i="3"/>
  <c r="C144" i="3"/>
  <c r="J143" i="3"/>
  <c r="F143" i="3"/>
  <c r="C143" i="3"/>
  <c r="J142" i="3"/>
  <c r="F142" i="3"/>
  <c r="C142" i="3"/>
  <c r="J141" i="3"/>
  <c r="F141" i="3"/>
  <c r="C141" i="3"/>
  <c r="J140" i="3"/>
  <c r="F140" i="3"/>
  <c r="C140" i="3"/>
  <c r="J139" i="3"/>
  <c r="F139" i="3"/>
  <c r="C139" i="3"/>
  <c r="B135" i="3"/>
  <c r="B134" i="3"/>
  <c r="B132" i="3"/>
  <c r="B130" i="3"/>
  <c r="D93" i="3"/>
  <c r="D92" i="3"/>
  <c r="E59" i="3"/>
  <c r="B38" i="3"/>
  <c r="B37" i="3"/>
  <c r="B36" i="3"/>
  <c r="B35" i="3"/>
  <c r="B34" i="3"/>
  <c r="B33" i="3"/>
  <c r="B32" i="3"/>
  <c r="B31" i="3"/>
  <c r="B30" i="3"/>
  <c r="B29" i="3"/>
  <c r="B28" i="3"/>
  <c r="B27" i="3"/>
  <c r="B26" i="3"/>
  <c r="B25" i="3"/>
  <c r="B24" i="3"/>
  <c r="B23" i="3"/>
  <c r="B22" i="3"/>
  <c r="B21" i="3"/>
  <c r="B20" i="3"/>
  <c r="B19" i="3"/>
  <c r="H18" i="3"/>
  <c r="B18" i="3"/>
  <c r="B17" i="3"/>
  <c r="B16" i="3"/>
  <c r="B15" i="3"/>
  <c r="B14" i="3"/>
  <c r="B13" i="3"/>
  <c r="Z31" i="8" l="1"/>
  <c r="AB31" i="8" s="1"/>
  <c r="K30" i="7"/>
  <c r="K29" i="7"/>
  <c r="Z30" i="8"/>
  <c r="AB30" i="8" s="1"/>
  <c r="Z29" i="8"/>
  <c r="AB29" i="8" s="1"/>
  <c r="K28" i="7"/>
  <c r="Z22" i="8"/>
  <c r="AB22" i="8" s="1"/>
  <c r="K21" i="7"/>
  <c r="K20" i="7"/>
  <c r="Z21" i="8"/>
  <c r="AB21" i="8" s="1"/>
  <c r="Z20" i="8"/>
  <c r="AB20" i="8" s="1"/>
  <c r="K19" i="7"/>
  <c r="K18" i="7"/>
  <c r="Z19" i="8"/>
  <c r="AB19" i="8" s="1"/>
  <c r="K17" i="7"/>
  <c r="Z18" i="8"/>
  <c r="AB18" i="8" s="1"/>
  <c r="K16" i="7"/>
  <c r="Z17" i="8"/>
  <c r="AB17" i="8" s="1"/>
  <c r="K15" i="7"/>
  <c r="Z16" i="8"/>
  <c r="AB16" i="8" s="1"/>
  <c r="K14" i="7"/>
  <c r="Z15" i="8"/>
  <c r="AB15" i="8" s="1"/>
  <c r="Z14" i="8"/>
  <c r="AB14" i="8" s="1"/>
  <c r="K13" i="7"/>
  <c r="Z13" i="8"/>
  <c r="AB13" i="8" s="1"/>
  <c r="K12" i="7"/>
  <c r="K11" i="7"/>
  <c r="Z12" i="8"/>
  <c r="AB12" i="8" s="1"/>
  <c r="K10" i="7"/>
  <c r="Z11" i="8"/>
  <c r="AB11" i="8" s="1"/>
  <c r="K9" i="7"/>
  <c r="Z10" i="8"/>
  <c r="AB10" i="8" s="1"/>
  <c r="Z9" i="8"/>
  <c r="AB9" i="8" s="1"/>
  <c r="K8" i="7"/>
  <c r="K7" i="7"/>
  <c r="Z8" i="8"/>
  <c r="AB8" i="8" s="1"/>
  <c r="K6" i="7"/>
  <c r="Z7" i="8"/>
  <c r="AB7" i="8" s="1"/>
  <c r="L30" i="5"/>
  <c r="M30" i="5"/>
  <c r="K30" i="5"/>
  <c r="J30" i="5"/>
  <c r="J29" i="5"/>
  <c r="K29" i="5"/>
  <c r="M29" i="5"/>
  <c r="L29" i="5"/>
  <c r="J28" i="5"/>
  <c r="L28" i="5"/>
  <c r="M28" i="5"/>
  <c r="K28" i="5"/>
  <c r="L27" i="5"/>
  <c r="M27" i="5"/>
  <c r="J27" i="5"/>
  <c r="K27" i="5"/>
  <c r="K26" i="5"/>
  <c r="L26" i="5"/>
  <c r="M26" i="5"/>
  <c r="J26" i="5"/>
  <c r="J25" i="5"/>
  <c r="M25" i="5"/>
  <c r="L25" i="5"/>
  <c r="K25" i="5"/>
  <c r="L24" i="5"/>
  <c r="K24" i="5"/>
  <c r="J24" i="5"/>
  <c r="M24" i="5"/>
  <c r="J23" i="5"/>
  <c r="L23" i="5"/>
  <c r="K23" i="5"/>
  <c r="J22" i="5"/>
  <c r="K22" i="5"/>
  <c r="L22" i="5"/>
  <c r="M22" i="5"/>
  <c r="M21" i="5"/>
  <c r="J21" i="5"/>
  <c r="K21" i="5"/>
  <c r="L21" i="5"/>
  <c r="D21" i="5"/>
  <c r="J20" i="5"/>
  <c r="K20" i="5"/>
  <c r="L20" i="5"/>
  <c r="M20" i="5"/>
  <c r="D20" i="5"/>
  <c r="M19" i="5"/>
  <c r="K19" i="5"/>
  <c r="L19" i="5"/>
  <c r="J19" i="5"/>
  <c r="D19" i="5"/>
  <c r="J18" i="5"/>
  <c r="M18" i="5"/>
  <c r="L18" i="5"/>
  <c r="K18" i="5"/>
  <c r="D18" i="5"/>
  <c r="K17" i="5"/>
  <c r="L17" i="5"/>
  <c r="M17" i="5"/>
  <c r="J17" i="5"/>
  <c r="D17" i="5"/>
  <c r="J16" i="5"/>
  <c r="M16" i="5"/>
  <c r="L16" i="5"/>
  <c r="K16" i="5"/>
  <c r="D16" i="5"/>
  <c r="K15" i="5"/>
  <c r="J15" i="5"/>
  <c r="N15" i="5"/>
  <c r="Q15" i="5"/>
  <c r="P15" i="5"/>
  <c r="J14" i="5"/>
  <c r="K14" i="5"/>
  <c r="L14" i="5"/>
  <c r="M14" i="5"/>
  <c r="D14" i="5"/>
  <c r="L13" i="5"/>
  <c r="K13" i="5"/>
  <c r="M13" i="5"/>
  <c r="J13" i="5"/>
  <c r="D13" i="5"/>
  <c r="J12" i="5"/>
  <c r="K12" i="5"/>
  <c r="L12" i="5"/>
  <c r="M12" i="5"/>
  <c r="D12" i="5"/>
  <c r="K11" i="5"/>
  <c r="J11" i="5"/>
  <c r="L11" i="5"/>
  <c r="M11" i="5"/>
  <c r="D11" i="5"/>
  <c r="L10" i="5"/>
  <c r="K10" i="5"/>
  <c r="M10" i="5"/>
  <c r="J10" i="5"/>
  <c r="D10" i="5"/>
  <c r="M9" i="5"/>
  <c r="L9" i="5"/>
  <c r="J9" i="5"/>
  <c r="K9" i="5"/>
  <c r="D9" i="5"/>
  <c r="M8" i="5"/>
  <c r="L8" i="5"/>
  <c r="K8" i="5"/>
  <c r="J8" i="5"/>
  <c r="D8" i="5"/>
  <c r="N7" i="5"/>
  <c r="P7" i="5"/>
  <c r="Q7" i="5"/>
  <c r="M6" i="5"/>
  <c r="L6" i="5"/>
  <c r="K6" i="5"/>
  <c r="J6" i="5"/>
  <c r="D6" i="5"/>
  <c r="D30" i="5"/>
  <c r="D29" i="5"/>
  <c r="D28" i="5"/>
  <c r="K27" i="7"/>
  <c r="Z28" i="8"/>
  <c r="AB28" i="8" s="1"/>
  <c r="D27" i="5"/>
  <c r="K26" i="7"/>
  <c r="Z27" i="8"/>
  <c r="AB27" i="8" s="1"/>
  <c r="D26" i="5"/>
  <c r="K25" i="7"/>
  <c r="Z26" i="8"/>
  <c r="AB26" i="8" s="1"/>
  <c r="D25" i="5"/>
  <c r="K24" i="7"/>
  <c r="Z25" i="8"/>
  <c r="AB25" i="8" s="1"/>
  <c r="D24" i="5"/>
  <c r="Z24" i="8"/>
  <c r="AB24" i="8" s="1"/>
  <c r="K23" i="7"/>
  <c r="D23" i="5"/>
  <c r="D22" i="5"/>
  <c r="Z23" i="8"/>
  <c r="AB23" i="8" s="1"/>
  <c r="K22" i="7"/>
  <c r="E155" i="3"/>
  <c r="G155" i="3" s="1"/>
  <c r="E145" i="3"/>
  <c r="G145" i="3" s="1"/>
  <c r="E160" i="3"/>
  <c r="G160" i="3" s="1"/>
  <c r="E144" i="3"/>
  <c r="G144" i="3" s="1"/>
  <c r="E143" i="3"/>
  <c r="G143" i="3" s="1"/>
  <c r="E154" i="3"/>
  <c r="G154" i="3" s="1"/>
  <c r="E159" i="3"/>
  <c r="G159" i="3" s="1"/>
  <c r="E142" i="3"/>
  <c r="G142" i="3" s="1"/>
  <c r="E141" i="3"/>
  <c r="G141" i="3" s="1"/>
  <c r="E140" i="3"/>
  <c r="G140" i="3" s="1"/>
  <c r="E158" i="3"/>
  <c r="G158" i="3" s="1"/>
  <c r="E153" i="3"/>
  <c r="G153" i="3" s="1"/>
  <c r="E139" i="3"/>
  <c r="G139" i="3" s="1"/>
  <c r="E148" i="3"/>
  <c r="G148" i="3" s="1"/>
  <c r="E157" i="3"/>
  <c r="G157" i="3" s="1"/>
  <c r="E152" i="3"/>
  <c r="G152" i="3" s="1"/>
  <c r="E146" i="3"/>
  <c r="G146" i="3" s="1"/>
  <c r="E151" i="3"/>
  <c r="G151" i="3" s="1"/>
  <c r="E156" i="3"/>
  <c r="G156" i="3" s="1"/>
  <c r="E150" i="3"/>
  <c r="G150" i="3" s="1"/>
  <c r="E149" i="3"/>
  <c r="G149" i="3" s="1"/>
  <c r="E147" i="3"/>
  <c r="G147" i="3" s="1"/>
  <c r="I160" i="3"/>
  <c r="K160" i="3" s="1"/>
  <c r="I156" i="3"/>
  <c r="K156" i="3" s="1"/>
  <c r="I154" i="3"/>
  <c r="K154" i="3" s="1"/>
  <c r="I159" i="3"/>
  <c r="K159" i="3" s="1"/>
  <c r="I148" i="3"/>
  <c r="K148" i="3" s="1"/>
  <c r="I149" i="3"/>
  <c r="K149" i="3" s="1"/>
  <c r="I158" i="3"/>
  <c r="K158" i="3" s="1"/>
  <c r="I155" i="3"/>
  <c r="K155" i="3" s="1"/>
  <c r="I144" i="3"/>
  <c r="K144" i="3" s="1"/>
  <c r="I157" i="3"/>
  <c r="K157" i="3" s="1"/>
  <c r="I153" i="3"/>
  <c r="K153" i="3" s="1"/>
  <c r="I140" i="3"/>
  <c r="K140" i="3" s="1"/>
  <c r="I143" i="3"/>
  <c r="K143" i="3" s="1"/>
  <c r="I152" i="3"/>
  <c r="K152" i="3" s="1"/>
  <c r="I139" i="3"/>
  <c r="K139" i="3" s="1"/>
  <c r="K165" i="3" s="1"/>
  <c r="I141" i="3"/>
  <c r="K141" i="3" s="1"/>
  <c r="I147" i="3"/>
  <c r="K147" i="3" s="1"/>
  <c r="I151" i="3"/>
  <c r="K151" i="3" s="1"/>
  <c r="I150" i="3"/>
  <c r="K150" i="3" s="1"/>
  <c r="I142" i="3"/>
  <c r="K142" i="3" s="1"/>
  <c r="I146" i="3"/>
  <c r="K146" i="3" s="1"/>
  <c r="I145" i="3"/>
  <c r="K145" i="3" s="1"/>
  <c r="H151" i="3"/>
  <c r="H160" i="3"/>
  <c r="H150" i="3"/>
  <c r="H159" i="3"/>
  <c r="H140" i="3"/>
  <c r="H153" i="3"/>
  <c r="H143" i="3"/>
  <c r="H148" i="3"/>
  <c r="H158" i="3"/>
  <c r="H141" i="3"/>
  <c r="H157" i="3"/>
  <c r="H144" i="3"/>
  <c r="H156" i="3"/>
  <c r="H155" i="3"/>
  <c r="H154" i="3"/>
  <c r="H146" i="3"/>
  <c r="H147" i="3"/>
  <c r="H142" i="3"/>
  <c r="H149" i="3"/>
  <c r="H145" i="3"/>
  <c r="H139" i="3"/>
  <c r="H152" i="3"/>
  <c r="B158" i="3"/>
  <c r="D158" i="3" s="1"/>
  <c r="B157" i="3"/>
  <c r="D157" i="3" s="1"/>
  <c r="B155" i="3"/>
  <c r="D155" i="3" s="1"/>
  <c r="B154" i="3"/>
  <c r="D154" i="3" s="1"/>
  <c r="B153" i="3"/>
  <c r="D153" i="3" s="1"/>
  <c r="B156" i="3"/>
  <c r="D156" i="3" s="1"/>
  <c r="B152" i="3"/>
  <c r="D152" i="3" s="1"/>
  <c r="B148" i="3"/>
  <c r="D148" i="3" s="1"/>
  <c r="B147" i="3"/>
  <c r="D147" i="3" s="1"/>
  <c r="B146" i="3"/>
  <c r="D146" i="3" s="1"/>
  <c r="B145" i="3"/>
  <c r="D145" i="3" s="1"/>
  <c r="B144" i="3"/>
  <c r="D144" i="3" s="1"/>
  <c r="B150" i="3"/>
  <c r="D150" i="3" s="1"/>
  <c r="B143" i="3"/>
  <c r="D143" i="3" s="1"/>
  <c r="B142" i="3"/>
  <c r="D142" i="3" s="1"/>
  <c r="B141" i="3"/>
  <c r="D141" i="3" s="1"/>
  <c r="B151" i="3"/>
  <c r="D151" i="3" s="1"/>
  <c r="B140" i="3"/>
  <c r="D140" i="3" s="1"/>
  <c r="B160" i="3"/>
  <c r="D160" i="3" s="1"/>
  <c r="B149" i="3"/>
  <c r="D149" i="3" s="1"/>
  <c r="B139" i="3"/>
  <c r="D139" i="3" s="1"/>
  <c r="B159" i="3"/>
  <c r="D159" i="3" s="1"/>
  <c r="H17" i="3"/>
  <c r="E60" i="3"/>
  <c r="F59" i="3"/>
  <c r="C38" i="3"/>
  <c r="D38" i="3" s="1"/>
  <c r="C37" i="3"/>
  <c r="D37" i="3"/>
  <c r="C36" i="3"/>
  <c r="D36" i="3" s="1"/>
  <c r="C35" i="3"/>
  <c r="D35" i="3" s="1"/>
  <c r="C34" i="3"/>
  <c r="D34" i="3" s="1"/>
  <c r="C33" i="3"/>
  <c r="D33" i="3" s="1"/>
  <c r="C32" i="3"/>
  <c r="D32" i="3" s="1"/>
  <c r="C31" i="3"/>
  <c r="D31" i="3" s="1"/>
  <c r="C30" i="3"/>
  <c r="D30" i="3"/>
  <c r="C29" i="3"/>
  <c r="D29" i="3" s="1"/>
  <c r="C28" i="3"/>
  <c r="D28" i="3"/>
  <c r="C27" i="3"/>
  <c r="D27" i="3"/>
  <c r="C26" i="3"/>
  <c r="D26" i="3" s="1"/>
  <c r="C25" i="3"/>
  <c r="D25" i="3" s="1"/>
  <c r="C24" i="3"/>
  <c r="D24" i="3" s="1"/>
  <c r="C23" i="3"/>
  <c r="D23" i="3" s="1"/>
  <c r="C22" i="3"/>
  <c r="D22" i="3"/>
  <c r="C21" i="3"/>
  <c r="D21" i="3"/>
  <c r="C20" i="3"/>
  <c r="D20" i="3" s="1"/>
  <c r="C19" i="3"/>
  <c r="D19" i="3" s="1"/>
  <c r="C18" i="3"/>
  <c r="D18" i="3"/>
  <c r="C17" i="3"/>
  <c r="D17" i="3" s="1"/>
  <c r="C16" i="3"/>
  <c r="D16" i="3" s="1"/>
  <c r="C15" i="3"/>
  <c r="D15" i="3" s="1"/>
  <c r="C14" i="3"/>
  <c r="D14" i="3"/>
  <c r="N21" i="5" l="1"/>
  <c r="P21" i="5"/>
  <c r="Q21" i="5"/>
  <c r="N20" i="5"/>
  <c r="P20" i="5"/>
  <c r="Q20" i="5"/>
  <c r="N19" i="5"/>
  <c r="P19" i="5"/>
  <c r="Q19" i="5"/>
  <c r="N18" i="5"/>
  <c r="P18" i="5"/>
  <c r="Q18" i="5"/>
  <c r="N17" i="5"/>
  <c r="P17" i="5"/>
  <c r="Q17" i="5"/>
  <c r="N16" i="5"/>
  <c r="P16" i="5"/>
  <c r="Q16" i="5"/>
  <c r="R15" i="5"/>
  <c r="T15" i="5" s="1"/>
  <c r="S15" i="5"/>
  <c r="N16" i="8"/>
  <c r="P16" i="8" s="1"/>
  <c r="T15" i="6"/>
  <c r="U15" i="6" s="1"/>
  <c r="K16" i="8"/>
  <c r="M16" i="8" s="1"/>
  <c r="P15" i="6"/>
  <c r="Q15" i="6" s="1"/>
  <c r="N14" i="5"/>
  <c r="P14" i="5"/>
  <c r="Q14" i="5"/>
  <c r="N13" i="5"/>
  <c r="P13" i="5"/>
  <c r="Q13" i="5"/>
  <c r="N12" i="5"/>
  <c r="P12" i="5"/>
  <c r="Q12" i="5"/>
  <c r="N11" i="5"/>
  <c r="P11" i="5"/>
  <c r="Q11" i="5"/>
  <c r="N10" i="5"/>
  <c r="P10" i="5"/>
  <c r="Q10" i="5"/>
  <c r="N9" i="5"/>
  <c r="P9" i="5"/>
  <c r="Q9" i="5"/>
  <c r="P8" i="5"/>
  <c r="N8" i="5"/>
  <c r="Q8" i="5"/>
  <c r="R7" i="5"/>
  <c r="T7" i="5" s="1"/>
  <c r="S7" i="5"/>
  <c r="P7" i="6"/>
  <c r="Q7" i="6" s="1"/>
  <c r="K8" i="8"/>
  <c r="M8" i="8" s="1"/>
  <c r="T7" i="6"/>
  <c r="U7" i="6" s="1"/>
  <c r="N8" i="8"/>
  <c r="P8" i="8" s="1"/>
  <c r="N6" i="5"/>
  <c r="P6" i="5"/>
  <c r="Q6" i="5"/>
  <c r="N30" i="5"/>
  <c r="P30" i="5"/>
  <c r="Q30" i="5"/>
  <c r="N29" i="5"/>
  <c r="P29" i="5"/>
  <c r="Q29" i="5"/>
  <c r="N28" i="5"/>
  <c r="P28" i="5"/>
  <c r="Q28" i="5"/>
  <c r="N27" i="5"/>
  <c r="P27" i="5"/>
  <c r="Q27" i="5"/>
  <c r="N26" i="5"/>
  <c r="P26" i="5"/>
  <c r="Q26" i="5"/>
  <c r="N25" i="5"/>
  <c r="P25" i="5"/>
  <c r="Q25" i="5"/>
  <c r="N24" i="5"/>
  <c r="P24" i="5"/>
  <c r="Q24" i="5"/>
  <c r="N23" i="5"/>
  <c r="P23" i="5"/>
  <c r="Q23" i="5"/>
  <c r="N22" i="5"/>
  <c r="P22" i="5"/>
  <c r="Q22" i="5"/>
  <c r="F60" i="3"/>
  <c r="E61" i="3"/>
  <c r="H16" i="3"/>
  <c r="H15" i="3"/>
  <c r="H14" i="3"/>
  <c r="AB32" i="8"/>
  <c r="D165" i="3"/>
  <c r="G165" i="3"/>
  <c r="R21" i="5" l="1"/>
  <c r="S21" i="5"/>
  <c r="T21" i="5"/>
  <c r="P21" i="6"/>
  <c r="Q21" i="6" s="1"/>
  <c r="K22" i="8"/>
  <c r="M22" i="8" s="1"/>
  <c r="T21" i="6"/>
  <c r="U21" i="6" s="1"/>
  <c r="N22" i="8"/>
  <c r="P22" i="8" s="1"/>
  <c r="R20" i="5"/>
  <c r="S20" i="5"/>
  <c r="T20" i="5"/>
  <c r="P20" i="6"/>
  <c r="Q20" i="6" s="1"/>
  <c r="K21" i="8"/>
  <c r="M21" i="8" s="1"/>
  <c r="T20" i="6"/>
  <c r="U20" i="6" s="1"/>
  <c r="N21" i="8"/>
  <c r="P21" i="8" s="1"/>
  <c r="R19" i="5"/>
  <c r="S19" i="5"/>
  <c r="T19" i="5"/>
  <c r="P19" i="6"/>
  <c r="Q19" i="6" s="1"/>
  <c r="K20" i="8"/>
  <c r="M20" i="8" s="1"/>
  <c r="T19" i="6"/>
  <c r="U19" i="6" s="1"/>
  <c r="N20" i="8"/>
  <c r="P20" i="8" s="1"/>
  <c r="R18" i="5"/>
  <c r="S18" i="5"/>
  <c r="T18" i="5"/>
  <c r="P18" i="6"/>
  <c r="Q18" i="6" s="1"/>
  <c r="K19" i="8"/>
  <c r="M19" i="8" s="1"/>
  <c r="T18" i="6"/>
  <c r="U18" i="6" s="1"/>
  <c r="N19" i="8"/>
  <c r="P19" i="8" s="1"/>
  <c r="R17" i="5"/>
  <c r="S17" i="5"/>
  <c r="T17" i="5"/>
  <c r="K18" i="8"/>
  <c r="M18" i="8" s="1"/>
  <c r="P17" i="6"/>
  <c r="Q17" i="6" s="1"/>
  <c r="T17" i="6"/>
  <c r="U17" i="6" s="1"/>
  <c r="N18" i="8"/>
  <c r="P18" i="8" s="1"/>
  <c r="R16" i="5"/>
  <c r="T16" i="5" s="1"/>
  <c r="S16" i="5"/>
  <c r="P16" i="6"/>
  <c r="Q16" i="6" s="1"/>
  <c r="K17" i="8"/>
  <c r="M17" i="8" s="1"/>
  <c r="N17" i="8"/>
  <c r="P17" i="8" s="1"/>
  <c r="T16" i="6"/>
  <c r="U16" i="6" s="1"/>
  <c r="U15" i="5"/>
  <c r="G15" i="6"/>
  <c r="H15" i="6" s="1"/>
  <c r="H16" i="8"/>
  <c r="J16" i="8" s="1"/>
  <c r="L15" i="6"/>
  <c r="M15" i="6" s="1"/>
  <c r="J15" i="7"/>
  <c r="W16" i="8"/>
  <c r="Y16" i="8" s="1"/>
  <c r="T16" i="8"/>
  <c r="V16" i="8" s="1"/>
  <c r="I15" i="7"/>
  <c r="R14" i="5"/>
  <c r="S14" i="5"/>
  <c r="T14" i="5" s="1"/>
  <c r="P14" i="6"/>
  <c r="Q14" i="6" s="1"/>
  <c r="K15" i="8"/>
  <c r="M15" i="8" s="1"/>
  <c r="N15" i="8"/>
  <c r="P15" i="8" s="1"/>
  <c r="T14" i="6"/>
  <c r="U14" i="6" s="1"/>
  <c r="R13" i="5"/>
  <c r="S13" i="5"/>
  <c r="T13" i="5"/>
  <c r="P13" i="6"/>
  <c r="Q13" i="6" s="1"/>
  <c r="K14" i="8"/>
  <c r="M14" i="8" s="1"/>
  <c r="N14" i="8"/>
  <c r="P14" i="8" s="1"/>
  <c r="T13" i="6"/>
  <c r="U13" i="6" s="1"/>
  <c r="R12" i="5"/>
  <c r="S12" i="5"/>
  <c r="T12" i="5"/>
  <c r="P12" i="6"/>
  <c r="Q12" i="6" s="1"/>
  <c r="K13" i="8"/>
  <c r="M13" i="8" s="1"/>
  <c r="T12" i="6"/>
  <c r="U12" i="6" s="1"/>
  <c r="N13" i="8"/>
  <c r="P13" i="8" s="1"/>
  <c r="R11" i="5"/>
  <c r="S11" i="5"/>
  <c r="T11" i="5" s="1"/>
  <c r="P11" i="6"/>
  <c r="Q11" i="6" s="1"/>
  <c r="K12" i="8"/>
  <c r="M12" i="8" s="1"/>
  <c r="T11" i="6"/>
  <c r="U11" i="6" s="1"/>
  <c r="N12" i="8"/>
  <c r="P12" i="8" s="1"/>
  <c r="R10" i="5"/>
  <c r="T10" i="5" s="1"/>
  <c r="S10" i="5"/>
  <c r="P10" i="6"/>
  <c r="Q10" i="6" s="1"/>
  <c r="K11" i="8"/>
  <c r="M11" i="8" s="1"/>
  <c r="T10" i="6"/>
  <c r="U10" i="6" s="1"/>
  <c r="N11" i="8"/>
  <c r="P11" i="8" s="1"/>
  <c r="R9" i="5"/>
  <c r="S9" i="5"/>
  <c r="T9" i="5"/>
  <c r="P9" i="6"/>
  <c r="Q9" i="6" s="1"/>
  <c r="K10" i="8"/>
  <c r="M10" i="8" s="1"/>
  <c r="T9" i="6"/>
  <c r="U9" i="6" s="1"/>
  <c r="N10" i="8"/>
  <c r="P10" i="8" s="1"/>
  <c r="P8" i="6"/>
  <c r="Q8" i="6" s="1"/>
  <c r="K9" i="8"/>
  <c r="M9" i="8" s="1"/>
  <c r="R8" i="5"/>
  <c r="T8" i="5" s="1"/>
  <c r="S8" i="5"/>
  <c r="T8" i="6"/>
  <c r="U8" i="6" s="1"/>
  <c r="N9" i="8"/>
  <c r="P9" i="8" s="1"/>
  <c r="U7" i="5"/>
  <c r="G7" i="6"/>
  <c r="H7" i="6" s="1"/>
  <c r="H8" i="8"/>
  <c r="J8" i="8" s="1"/>
  <c r="L7" i="6"/>
  <c r="M7" i="6" s="1"/>
  <c r="I7" i="7"/>
  <c r="T8" i="8"/>
  <c r="V8" i="8" s="1"/>
  <c r="J7" i="7"/>
  <c r="W8" i="8"/>
  <c r="Y8" i="8" s="1"/>
  <c r="R6" i="5"/>
  <c r="S6" i="5"/>
  <c r="T6" i="5"/>
  <c r="P6" i="6"/>
  <c r="Q6" i="6" s="1"/>
  <c r="K7" i="8"/>
  <c r="M7" i="8" s="1"/>
  <c r="N7" i="8"/>
  <c r="P7" i="8" s="1"/>
  <c r="T6" i="6"/>
  <c r="U6" i="6" s="1"/>
  <c r="R30" i="5"/>
  <c r="T30" i="5" s="1"/>
  <c r="S30" i="5"/>
  <c r="P30" i="6"/>
  <c r="Q30" i="6" s="1"/>
  <c r="K31" i="8"/>
  <c r="M31" i="8" s="1"/>
  <c r="T30" i="6"/>
  <c r="U30" i="6" s="1"/>
  <c r="N31" i="8"/>
  <c r="P31" i="8" s="1"/>
  <c r="R29" i="5"/>
  <c r="S29" i="5"/>
  <c r="T29" i="5" s="1"/>
  <c r="P29" i="6"/>
  <c r="Q29" i="6" s="1"/>
  <c r="K30" i="8"/>
  <c r="M30" i="8" s="1"/>
  <c r="T29" i="6"/>
  <c r="U29" i="6" s="1"/>
  <c r="N30" i="8"/>
  <c r="P30" i="8" s="1"/>
  <c r="R28" i="5"/>
  <c r="S28" i="5"/>
  <c r="T28" i="5" s="1"/>
  <c r="P28" i="6"/>
  <c r="Q28" i="6" s="1"/>
  <c r="K29" i="8"/>
  <c r="M29" i="8" s="1"/>
  <c r="T28" i="6"/>
  <c r="U28" i="6" s="1"/>
  <c r="N29" i="8"/>
  <c r="P29" i="8" s="1"/>
  <c r="R27" i="5"/>
  <c r="S27" i="5"/>
  <c r="T27" i="5" s="1"/>
  <c r="P27" i="6"/>
  <c r="Q27" i="6" s="1"/>
  <c r="K28" i="8"/>
  <c r="M28" i="8" s="1"/>
  <c r="T27" i="6"/>
  <c r="U27" i="6" s="1"/>
  <c r="N28" i="8"/>
  <c r="P28" i="8" s="1"/>
  <c r="R26" i="5"/>
  <c r="S26" i="5"/>
  <c r="T26" i="5"/>
  <c r="P26" i="6"/>
  <c r="Q26" i="6" s="1"/>
  <c r="K27" i="8"/>
  <c r="M27" i="8" s="1"/>
  <c r="T26" i="6"/>
  <c r="U26" i="6" s="1"/>
  <c r="N27" i="8"/>
  <c r="P27" i="8" s="1"/>
  <c r="R25" i="5"/>
  <c r="T25" i="5" s="1"/>
  <c r="S25" i="5"/>
  <c r="P25" i="6"/>
  <c r="Q25" i="6" s="1"/>
  <c r="K26" i="8"/>
  <c r="M26" i="8" s="1"/>
  <c r="T25" i="6"/>
  <c r="U25" i="6" s="1"/>
  <c r="N26" i="8"/>
  <c r="P26" i="8" s="1"/>
  <c r="R24" i="5"/>
  <c r="T24" i="5" s="1"/>
  <c r="S24" i="5"/>
  <c r="P24" i="6"/>
  <c r="Q24" i="6" s="1"/>
  <c r="K25" i="8"/>
  <c r="M25" i="8" s="1"/>
  <c r="T24" i="6"/>
  <c r="U24" i="6" s="1"/>
  <c r="N25" i="8"/>
  <c r="P25" i="8" s="1"/>
  <c r="R23" i="5"/>
  <c r="S23" i="5"/>
  <c r="T23" i="5" s="1"/>
  <c r="P23" i="6"/>
  <c r="Q23" i="6" s="1"/>
  <c r="K24" i="8"/>
  <c r="M24" i="8" s="1"/>
  <c r="T23" i="6"/>
  <c r="U23" i="6" s="1"/>
  <c r="N24" i="8"/>
  <c r="P24" i="8" s="1"/>
  <c r="R22" i="5"/>
  <c r="S22" i="5"/>
  <c r="T22" i="5"/>
  <c r="P22" i="6"/>
  <c r="Q22" i="6" s="1"/>
  <c r="K23" i="8"/>
  <c r="M23" i="8" s="1"/>
  <c r="T22" i="6"/>
  <c r="U22" i="6" s="1"/>
  <c r="N23" i="8"/>
  <c r="P23" i="8" s="1"/>
  <c r="F61" i="3"/>
  <c r="E62" i="3"/>
  <c r="G21" i="6" l="1"/>
  <c r="H21" i="6" s="1"/>
  <c r="U21" i="5"/>
  <c r="H22" i="8"/>
  <c r="J22" i="8" s="1"/>
  <c r="L21" i="6"/>
  <c r="M21" i="6" s="1"/>
  <c r="T22" i="8"/>
  <c r="V22" i="8" s="1"/>
  <c r="I21" i="7"/>
  <c r="W22" i="8"/>
  <c r="Y22" i="8" s="1"/>
  <c r="J21" i="7"/>
  <c r="G20" i="6"/>
  <c r="H20" i="6" s="1"/>
  <c r="U20" i="5"/>
  <c r="H21" i="8"/>
  <c r="J21" i="8" s="1"/>
  <c r="L20" i="6"/>
  <c r="M20" i="6" s="1"/>
  <c r="I20" i="7"/>
  <c r="T21" i="8"/>
  <c r="V21" i="8" s="1"/>
  <c r="W21" i="8"/>
  <c r="Y21" i="8" s="1"/>
  <c r="J20" i="7"/>
  <c r="G19" i="6"/>
  <c r="H19" i="6" s="1"/>
  <c r="U19" i="5"/>
  <c r="H20" i="8"/>
  <c r="J20" i="8" s="1"/>
  <c r="L19" i="6"/>
  <c r="M19" i="6" s="1"/>
  <c r="I19" i="7"/>
  <c r="T20" i="8"/>
  <c r="V20" i="8" s="1"/>
  <c r="J19" i="7"/>
  <c r="W20" i="8"/>
  <c r="Y20" i="8" s="1"/>
  <c r="G18" i="6"/>
  <c r="H18" i="6" s="1"/>
  <c r="U18" i="5"/>
  <c r="H19" i="8"/>
  <c r="J19" i="8" s="1"/>
  <c r="L18" i="6"/>
  <c r="M18" i="6" s="1"/>
  <c r="I18" i="7"/>
  <c r="T19" i="8"/>
  <c r="V19" i="8" s="1"/>
  <c r="W19" i="8"/>
  <c r="Y19" i="8" s="1"/>
  <c r="J18" i="7"/>
  <c r="G17" i="6"/>
  <c r="H17" i="6" s="1"/>
  <c r="U17" i="5"/>
  <c r="L17" i="6"/>
  <c r="M17" i="6" s="1"/>
  <c r="H18" i="8"/>
  <c r="J18" i="8" s="1"/>
  <c r="I17" i="7"/>
  <c r="T18" i="8"/>
  <c r="V18" i="8" s="1"/>
  <c r="J17" i="7"/>
  <c r="W18" i="8"/>
  <c r="Y18" i="8" s="1"/>
  <c r="G16" i="6"/>
  <c r="H16" i="6" s="1"/>
  <c r="U16" i="5"/>
  <c r="L16" i="6"/>
  <c r="M16" i="6" s="1"/>
  <c r="H17" i="8"/>
  <c r="J17" i="8" s="1"/>
  <c r="I16" i="7"/>
  <c r="T17" i="8"/>
  <c r="V17" i="8" s="1"/>
  <c r="J16" i="7"/>
  <c r="W17" i="8"/>
  <c r="Y17" i="8" s="1"/>
  <c r="I15" i="6"/>
  <c r="B16" i="8"/>
  <c r="D16" i="8" s="1"/>
  <c r="H15" i="7"/>
  <c r="N15" i="7" s="1"/>
  <c r="P15" i="7" s="1"/>
  <c r="AF16" i="8" s="1"/>
  <c r="AH16" i="8" s="1"/>
  <c r="Q16" i="8"/>
  <c r="S16" i="8" s="1"/>
  <c r="G14" i="6"/>
  <c r="H14" i="6" s="1"/>
  <c r="U14" i="5"/>
  <c r="L14" i="6"/>
  <c r="M14" i="6" s="1"/>
  <c r="H15" i="8"/>
  <c r="J15" i="8" s="1"/>
  <c r="T15" i="8"/>
  <c r="V15" i="8" s="1"/>
  <c r="I14" i="7"/>
  <c r="J14" i="7"/>
  <c r="W15" i="8"/>
  <c r="Y15" i="8" s="1"/>
  <c r="G13" i="6"/>
  <c r="H13" i="6" s="1"/>
  <c r="U13" i="5"/>
  <c r="H14" i="8"/>
  <c r="J14" i="8" s="1"/>
  <c r="L13" i="6"/>
  <c r="M13" i="6" s="1"/>
  <c r="I13" i="7"/>
  <c r="T14" i="8"/>
  <c r="V14" i="8" s="1"/>
  <c r="J13" i="7"/>
  <c r="W14" i="8"/>
  <c r="Y14" i="8" s="1"/>
  <c r="G12" i="6"/>
  <c r="H12" i="6" s="1"/>
  <c r="U12" i="5"/>
  <c r="H13" i="8"/>
  <c r="J13" i="8" s="1"/>
  <c r="L12" i="6"/>
  <c r="M12" i="6" s="1"/>
  <c r="I12" i="7"/>
  <c r="T13" i="8"/>
  <c r="V13" i="8" s="1"/>
  <c r="J12" i="7"/>
  <c r="W13" i="8"/>
  <c r="Y13" i="8" s="1"/>
  <c r="G11" i="6"/>
  <c r="H11" i="6" s="1"/>
  <c r="U11" i="5"/>
  <c r="H12" i="8"/>
  <c r="J12" i="8" s="1"/>
  <c r="L11" i="6"/>
  <c r="M11" i="6" s="1"/>
  <c r="I11" i="7"/>
  <c r="T12" i="8"/>
  <c r="V12" i="8" s="1"/>
  <c r="J11" i="7"/>
  <c r="W12" i="8"/>
  <c r="Y12" i="8" s="1"/>
  <c r="G10" i="6"/>
  <c r="H10" i="6" s="1"/>
  <c r="U10" i="5"/>
  <c r="H11" i="8"/>
  <c r="J11" i="8" s="1"/>
  <c r="L10" i="6"/>
  <c r="M10" i="6" s="1"/>
  <c r="I10" i="7"/>
  <c r="T11" i="8"/>
  <c r="V11" i="8" s="1"/>
  <c r="J10" i="7"/>
  <c r="W11" i="8"/>
  <c r="Y11" i="8" s="1"/>
  <c r="G9" i="6"/>
  <c r="H9" i="6" s="1"/>
  <c r="U9" i="5"/>
  <c r="L9" i="6"/>
  <c r="M9" i="6" s="1"/>
  <c r="H10" i="8"/>
  <c r="J10" i="8" s="1"/>
  <c r="T10" i="8"/>
  <c r="V10" i="8" s="1"/>
  <c r="I9" i="7"/>
  <c r="J9" i="7"/>
  <c r="W10" i="8"/>
  <c r="Y10" i="8" s="1"/>
  <c r="I8" i="7"/>
  <c r="T9" i="8"/>
  <c r="V9" i="8" s="1"/>
  <c r="G8" i="6"/>
  <c r="H8" i="6" s="1"/>
  <c r="U8" i="5"/>
  <c r="L8" i="6"/>
  <c r="M8" i="6" s="1"/>
  <c r="H9" i="8"/>
  <c r="J9" i="8" s="1"/>
  <c r="J8" i="7"/>
  <c r="W9" i="8"/>
  <c r="Y9" i="8" s="1"/>
  <c r="I7" i="6"/>
  <c r="B8" i="8"/>
  <c r="D8" i="8" s="1"/>
  <c r="H7" i="7"/>
  <c r="N7" i="7" s="1"/>
  <c r="P7" i="7" s="1"/>
  <c r="AF8" i="8" s="1"/>
  <c r="AH8" i="8" s="1"/>
  <c r="Q8" i="8"/>
  <c r="S8" i="8" s="1"/>
  <c r="G6" i="6"/>
  <c r="H6" i="6" s="1"/>
  <c r="U6" i="5"/>
  <c r="H7" i="8"/>
  <c r="J7" i="8" s="1"/>
  <c r="L6" i="6"/>
  <c r="M6" i="6" s="1"/>
  <c r="T7" i="8"/>
  <c r="V7" i="8" s="1"/>
  <c r="I6" i="7"/>
  <c r="J6" i="7"/>
  <c r="W7" i="8"/>
  <c r="Y7" i="8" s="1"/>
  <c r="G30" i="6"/>
  <c r="H30" i="6" s="1"/>
  <c r="U30" i="5"/>
  <c r="H31" i="8"/>
  <c r="J31" i="8" s="1"/>
  <c r="L30" i="6"/>
  <c r="M30" i="6" s="1"/>
  <c r="T31" i="8"/>
  <c r="V31" i="8" s="1"/>
  <c r="I30" i="7"/>
  <c r="J30" i="7"/>
  <c r="W31" i="8"/>
  <c r="Y31" i="8" s="1"/>
  <c r="G29" i="6"/>
  <c r="H29" i="6" s="1"/>
  <c r="U29" i="5"/>
  <c r="H30" i="8"/>
  <c r="J30" i="8" s="1"/>
  <c r="L29" i="6"/>
  <c r="M29" i="6" s="1"/>
  <c r="I29" i="7"/>
  <c r="T30" i="8"/>
  <c r="V30" i="8" s="1"/>
  <c r="J29" i="7"/>
  <c r="W30" i="8"/>
  <c r="Y30" i="8" s="1"/>
  <c r="G28" i="6"/>
  <c r="H28" i="6" s="1"/>
  <c r="U28" i="5"/>
  <c r="H29" i="8"/>
  <c r="J29" i="8" s="1"/>
  <c r="L28" i="6"/>
  <c r="M28" i="6" s="1"/>
  <c r="I28" i="7"/>
  <c r="T29" i="8"/>
  <c r="V29" i="8" s="1"/>
  <c r="J28" i="7"/>
  <c r="W29" i="8"/>
  <c r="Y29" i="8" s="1"/>
  <c r="G27" i="6"/>
  <c r="H27" i="6" s="1"/>
  <c r="U27" i="5"/>
  <c r="H28" i="8"/>
  <c r="J28" i="8" s="1"/>
  <c r="L27" i="6"/>
  <c r="M27" i="6" s="1"/>
  <c r="I27" i="7"/>
  <c r="T28" i="8"/>
  <c r="V28" i="8" s="1"/>
  <c r="J27" i="7"/>
  <c r="W28" i="8"/>
  <c r="Y28" i="8" s="1"/>
  <c r="G26" i="6"/>
  <c r="H26" i="6" s="1"/>
  <c r="U26" i="5"/>
  <c r="H27" i="8"/>
  <c r="J27" i="8" s="1"/>
  <c r="L26" i="6"/>
  <c r="M26" i="6" s="1"/>
  <c r="I26" i="7"/>
  <c r="T27" i="8"/>
  <c r="V27" i="8" s="1"/>
  <c r="J26" i="7"/>
  <c r="W27" i="8"/>
  <c r="Y27" i="8" s="1"/>
  <c r="G25" i="6"/>
  <c r="H25" i="6" s="1"/>
  <c r="U25" i="5"/>
  <c r="H26" i="8"/>
  <c r="J26" i="8" s="1"/>
  <c r="L25" i="6"/>
  <c r="M25" i="6" s="1"/>
  <c r="I25" i="7"/>
  <c r="T26" i="8"/>
  <c r="V26" i="8" s="1"/>
  <c r="J25" i="7"/>
  <c r="W26" i="8"/>
  <c r="Y26" i="8" s="1"/>
  <c r="G24" i="6"/>
  <c r="H24" i="6" s="1"/>
  <c r="U24" i="5"/>
  <c r="H25" i="8"/>
  <c r="J25" i="8" s="1"/>
  <c r="L24" i="6"/>
  <c r="M24" i="6" s="1"/>
  <c r="I24" i="7"/>
  <c r="T25" i="8"/>
  <c r="V25" i="8" s="1"/>
  <c r="J24" i="7"/>
  <c r="W25" i="8"/>
  <c r="Y25" i="8" s="1"/>
  <c r="G23" i="6"/>
  <c r="H23" i="6" s="1"/>
  <c r="U23" i="5"/>
  <c r="H24" i="8"/>
  <c r="J24" i="8" s="1"/>
  <c r="L23" i="6"/>
  <c r="M23" i="6" s="1"/>
  <c r="I23" i="7"/>
  <c r="T24" i="8"/>
  <c r="V24" i="8" s="1"/>
  <c r="J23" i="7"/>
  <c r="W24" i="8"/>
  <c r="Y24" i="8" s="1"/>
  <c r="G22" i="6"/>
  <c r="H22" i="6" s="1"/>
  <c r="U22" i="5"/>
  <c r="H23" i="8"/>
  <c r="J23" i="8" s="1"/>
  <c r="L22" i="6"/>
  <c r="M22" i="6" s="1"/>
  <c r="I22" i="7"/>
  <c r="T23" i="8"/>
  <c r="V23" i="8" s="1"/>
  <c r="J22" i="7"/>
  <c r="W23" i="8"/>
  <c r="Y23" i="8" s="1"/>
  <c r="F62" i="3"/>
  <c r="E63" i="3"/>
  <c r="M32" i="8"/>
  <c r="P32" i="8"/>
  <c r="I21" i="6" l="1"/>
  <c r="B22" i="8"/>
  <c r="D22" i="8" s="1"/>
  <c r="Q22" i="8"/>
  <c r="S22" i="8" s="1"/>
  <c r="H21" i="7"/>
  <c r="N21" i="7" s="1"/>
  <c r="P21" i="7" s="1"/>
  <c r="AF22" i="8" s="1"/>
  <c r="AH22" i="8" s="1"/>
  <c r="I20" i="6"/>
  <c r="B21" i="8"/>
  <c r="D21" i="8" s="1"/>
  <c r="H20" i="7"/>
  <c r="N20" i="7" s="1"/>
  <c r="P20" i="7" s="1"/>
  <c r="AF21" i="8" s="1"/>
  <c r="AH21" i="8" s="1"/>
  <c r="Q21" i="8"/>
  <c r="S21" i="8" s="1"/>
  <c r="I19" i="6"/>
  <c r="B20" i="8"/>
  <c r="D20" i="8" s="1"/>
  <c r="H19" i="7"/>
  <c r="N19" i="7" s="1"/>
  <c r="P19" i="7" s="1"/>
  <c r="AF20" i="8" s="1"/>
  <c r="AH20" i="8" s="1"/>
  <c r="Q20" i="8"/>
  <c r="S20" i="8" s="1"/>
  <c r="I18" i="6"/>
  <c r="B19" i="8"/>
  <c r="D19" i="8" s="1"/>
  <c r="Q19" i="8"/>
  <c r="S19" i="8" s="1"/>
  <c r="H18" i="7"/>
  <c r="N18" i="7" s="1"/>
  <c r="P18" i="7" s="1"/>
  <c r="AF19" i="8" s="1"/>
  <c r="AH19" i="8" s="1"/>
  <c r="I17" i="6"/>
  <c r="B18" i="8"/>
  <c r="D18" i="8" s="1"/>
  <c r="H17" i="7"/>
  <c r="N17" i="7" s="1"/>
  <c r="P17" i="7" s="1"/>
  <c r="AF18" i="8" s="1"/>
  <c r="AH18" i="8" s="1"/>
  <c r="Q18" i="8"/>
  <c r="S18" i="8" s="1"/>
  <c r="I16" i="6"/>
  <c r="B17" i="8"/>
  <c r="D17" i="8" s="1"/>
  <c r="Q17" i="8"/>
  <c r="S17" i="8" s="1"/>
  <c r="H16" i="7"/>
  <c r="N16" i="7" s="1"/>
  <c r="P16" i="7" s="1"/>
  <c r="AF17" i="8" s="1"/>
  <c r="AH17" i="8" s="1"/>
  <c r="B15" i="7"/>
  <c r="E15" i="7" s="1"/>
  <c r="E16" i="8"/>
  <c r="G16" i="8" s="1"/>
  <c r="I14" i="6"/>
  <c r="B15" i="8"/>
  <c r="D15" i="8" s="1"/>
  <c r="H14" i="7"/>
  <c r="N14" i="7" s="1"/>
  <c r="P14" i="7" s="1"/>
  <c r="AF15" i="8" s="1"/>
  <c r="AH15" i="8" s="1"/>
  <c r="Q15" i="8"/>
  <c r="S15" i="8" s="1"/>
  <c r="I13" i="6"/>
  <c r="B14" i="8"/>
  <c r="D14" i="8" s="1"/>
  <c r="Q14" i="8"/>
  <c r="S14" i="8" s="1"/>
  <c r="H13" i="7"/>
  <c r="N13" i="7" s="1"/>
  <c r="P13" i="7" s="1"/>
  <c r="AF14" i="8" s="1"/>
  <c r="AH14" i="8" s="1"/>
  <c r="I12" i="6"/>
  <c r="B13" i="8"/>
  <c r="D13" i="8" s="1"/>
  <c r="H12" i="7"/>
  <c r="N12" i="7" s="1"/>
  <c r="P12" i="7" s="1"/>
  <c r="AF13" i="8" s="1"/>
  <c r="AH13" i="8" s="1"/>
  <c r="Q13" i="8"/>
  <c r="S13" i="8" s="1"/>
  <c r="I11" i="6"/>
  <c r="B12" i="8"/>
  <c r="D12" i="8" s="1"/>
  <c r="H11" i="7"/>
  <c r="N11" i="7" s="1"/>
  <c r="P11" i="7" s="1"/>
  <c r="AF12" i="8" s="1"/>
  <c r="AH12" i="8" s="1"/>
  <c r="Q12" i="8"/>
  <c r="S12" i="8" s="1"/>
  <c r="I10" i="6"/>
  <c r="B11" i="8"/>
  <c r="D11" i="8" s="1"/>
  <c r="Q11" i="8"/>
  <c r="S11" i="8" s="1"/>
  <c r="H10" i="7"/>
  <c r="N10" i="7" s="1"/>
  <c r="P10" i="7" s="1"/>
  <c r="AF11" i="8" s="1"/>
  <c r="AH11" i="8" s="1"/>
  <c r="I9" i="6"/>
  <c r="B10" i="8"/>
  <c r="D10" i="8" s="1"/>
  <c r="Q10" i="8"/>
  <c r="S10" i="8" s="1"/>
  <c r="H9" i="7"/>
  <c r="N9" i="7" s="1"/>
  <c r="P9" i="7" s="1"/>
  <c r="AF10" i="8" s="1"/>
  <c r="AH10" i="8" s="1"/>
  <c r="I8" i="6"/>
  <c r="B9" i="8"/>
  <c r="D9" i="8" s="1"/>
  <c r="Q9" i="8"/>
  <c r="S9" i="8" s="1"/>
  <c r="H8" i="7"/>
  <c r="N8" i="7" s="1"/>
  <c r="P8" i="7" s="1"/>
  <c r="AF9" i="8" s="1"/>
  <c r="AH9" i="8" s="1"/>
  <c r="B7" i="7"/>
  <c r="E7" i="7" s="1"/>
  <c r="E8" i="8"/>
  <c r="G8" i="8" s="1"/>
  <c r="I6" i="6"/>
  <c r="B7" i="8"/>
  <c r="D7" i="8" s="1"/>
  <c r="H6" i="7"/>
  <c r="N6" i="7" s="1"/>
  <c r="P6" i="7" s="1"/>
  <c r="AF7" i="8" s="1"/>
  <c r="AH7" i="8" s="1"/>
  <c r="Q7" i="8"/>
  <c r="S7" i="8" s="1"/>
  <c r="B31" i="8"/>
  <c r="D31" i="8" s="1"/>
  <c r="I30" i="6"/>
  <c r="H30" i="7"/>
  <c r="N30" i="7" s="1"/>
  <c r="P30" i="7" s="1"/>
  <c r="AF31" i="8" s="1"/>
  <c r="AH31" i="8" s="1"/>
  <c r="Q31" i="8"/>
  <c r="S31" i="8" s="1"/>
  <c r="I29" i="6"/>
  <c r="B30" i="8"/>
  <c r="D30" i="8" s="1"/>
  <c r="Q30" i="8"/>
  <c r="S30" i="8" s="1"/>
  <c r="H29" i="7"/>
  <c r="N29" i="7" s="1"/>
  <c r="P29" i="7" s="1"/>
  <c r="AF30" i="8" s="1"/>
  <c r="AH30" i="8" s="1"/>
  <c r="B29" i="8"/>
  <c r="D29" i="8" s="1"/>
  <c r="I28" i="6"/>
  <c r="H28" i="7"/>
  <c r="N28" i="7" s="1"/>
  <c r="P28" i="7" s="1"/>
  <c r="AF29" i="8" s="1"/>
  <c r="AH29" i="8" s="1"/>
  <c r="Q29" i="8"/>
  <c r="S29" i="8" s="1"/>
  <c r="I27" i="6"/>
  <c r="B28" i="8"/>
  <c r="D28" i="8" s="1"/>
  <c r="H27" i="7"/>
  <c r="N27" i="7" s="1"/>
  <c r="P27" i="7" s="1"/>
  <c r="AF28" i="8" s="1"/>
  <c r="AH28" i="8" s="1"/>
  <c r="Q28" i="8"/>
  <c r="S28" i="8" s="1"/>
  <c r="I26" i="6"/>
  <c r="B27" i="8"/>
  <c r="D27" i="8" s="1"/>
  <c r="H26" i="7"/>
  <c r="N26" i="7" s="1"/>
  <c r="P26" i="7" s="1"/>
  <c r="AF27" i="8" s="1"/>
  <c r="AH27" i="8" s="1"/>
  <c r="Q27" i="8"/>
  <c r="S27" i="8" s="1"/>
  <c r="I25" i="6"/>
  <c r="B26" i="8"/>
  <c r="D26" i="8" s="1"/>
  <c r="H25" i="7"/>
  <c r="N25" i="7" s="1"/>
  <c r="P25" i="7" s="1"/>
  <c r="AF26" i="8" s="1"/>
  <c r="AH26" i="8" s="1"/>
  <c r="Q26" i="8"/>
  <c r="S26" i="8" s="1"/>
  <c r="I24" i="6"/>
  <c r="B25" i="8"/>
  <c r="D25" i="8" s="1"/>
  <c r="H24" i="7"/>
  <c r="N24" i="7" s="1"/>
  <c r="P24" i="7" s="1"/>
  <c r="AF25" i="8" s="1"/>
  <c r="AH25" i="8" s="1"/>
  <c r="Q25" i="8"/>
  <c r="S25" i="8" s="1"/>
  <c r="I23" i="6"/>
  <c r="B24" i="8"/>
  <c r="D24" i="8" s="1"/>
  <c r="Q24" i="8"/>
  <c r="S24" i="8" s="1"/>
  <c r="H23" i="7"/>
  <c r="N23" i="7" s="1"/>
  <c r="P23" i="7" s="1"/>
  <c r="AF24" i="8" s="1"/>
  <c r="AH24" i="8" s="1"/>
  <c r="I22" i="6"/>
  <c r="B23" i="8"/>
  <c r="D23" i="8" s="1"/>
  <c r="H22" i="7"/>
  <c r="N22" i="7" s="1"/>
  <c r="P22" i="7" s="1"/>
  <c r="AF23" i="8" s="1"/>
  <c r="AH23" i="8" s="1"/>
  <c r="Q23" i="8"/>
  <c r="S23" i="8" s="1"/>
  <c r="F63" i="3"/>
  <c r="E64" i="3"/>
  <c r="J32" i="8"/>
  <c r="V32" i="8"/>
  <c r="Y32" i="8"/>
  <c r="E22" i="8" l="1"/>
  <c r="G22" i="8" s="1"/>
  <c r="B21" i="7"/>
  <c r="E21" i="7" s="1"/>
  <c r="B20" i="7"/>
  <c r="E20" i="7" s="1"/>
  <c r="E21" i="8"/>
  <c r="G21" i="8" s="1"/>
  <c r="E20" i="8"/>
  <c r="G20" i="8" s="1"/>
  <c r="B19" i="7"/>
  <c r="E19" i="7" s="1"/>
  <c r="E19" i="8"/>
  <c r="G19" i="8" s="1"/>
  <c r="B18" i="7"/>
  <c r="E18" i="7" s="1"/>
  <c r="B17" i="7"/>
  <c r="E17" i="7" s="1"/>
  <c r="E18" i="8"/>
  <c r="G18" i="8" s="1"/>
  <c r="B16" i="7"/>
  <c r="E16" i="7" s="1"/>
  <c r="E17" i="8"/>
  <c r="G17" i="8" s="1"/>
  <c r="G15" i="7"/>
  <c r="E15" i="8"/>
  <c r="G15" i="8" s="1"/>
  <c r="B14" i="7"/>
  <c r="E14" i="7" s="1"/>
  <c r="B13" i="7"/>
  <c r="E13" i="7" s="1"/>
  <c r="E14" i="8"/>
  <c r="G14" i="8" s="1"/>
  <c r="B12" i="7"/>
  <c r="E12" i="7" s="1"/>
  <c r="E13" i="8"/>
  <c r="G13" i="8" s="1"/>
  <c r="B11" i="7"/>
  <c r="E11" i="7" s="1"/>
  <c r="E12" i="8"/>
  <c r="G12" i="8" s="1"/>
  <c r="E11" i="8"/>
  <c r="G11" i="8" s="1"/>
  <c r="B10" i="7"/>
  <c r="E10" i="7" s="1"/>
  <c r="E10" i="8"/>
  <c r="G10" i="8" s="1"/>
  <c r="B9" i="7"/>
  <c r="E9" i="7" s="1"/>
  <c r="B8" i="7"/>
  <c r="E8" i="7" s="1"/>
  <c r="E9" i="8"/>
  <c r="G9" i="8" s="1"/>
  <c r="G7" i="7"/>
  <c r="E7" i="8"/>
  <c r="G7" i="8" s="1"/>
  <c r="B6" i="7"/>
  <c r="E6" i="7" s="1"/>
  <c r="B30" i="7"/>
  <c r="E30" i="7" s="1"/>
  <c r="E31" i="8"/>
  <c r="G31" i="8" s="1"/>
  <c r="E30" i="8"/>
  <c r="G30" i="8" s="1"/>
  <c r="B29" i="7"/>
  <c r="E29" i="7" s="1"/>
  <c r="B28" i="7"/>
  <c r="E28" i="7" s="1"/>
  <c r="E29" i="8"/>
  <c r="G29" i="8" s="1"/>
  <c r="B27" i="7"/>
  <c r="E27" i="7" s="1"/>
  <c r="E28" i="8"/>
  <c r="G28" i="8" s="1"/>
  <c r="B26" i="7"/>
  <c r="E26" i="7" s="1"/>
  <c r="E27" i="8"/>
  <c r="G27" i="8" s="1"/>
  <c r="B25" i="7"/>
  <c r="E25" i="7" s="1"/>
  <c r="E26" i="8"/>
  <c r="G26" i="8" s="1"/>
  <c r="B24" i="7"/>
  <c r="E24" i="7" s="1"/>
  <c r="E25" i="8"/>
  <c r="G25" i="8" s="1"/>
  <c r="E24" i="8"/>
  <c r="G24" i="8" s="1"/>
  <c r="B23" i="7"/>
  <c r="E23" i="7" s="1"/>
  <c r="E23" i="8"/>
  <c r="G23" i="8" s="1"/>
  <c r="B22" i="7"/>
  <c r="E22" i="7" s="1"/>
  <c r="F64" i="3"/>
  <c r="E65" i="3"/>
  <c r="S32" i="8"/>
  <c r="D32" i="8"/>
  <c r="AH32" i="8"/>
  <c r="G21" i="7" l="1"/>
  <c r="G20" i="7"/>
  <c r="G19" i="7"/>
  <c r="G18" i="7"/>
  <c r="G17" i="7"/>
  <c r="G16" i="7"/>
  <c r="AC16" i="8"/>
  <c r="AE16" i="8" s="1"/>
  <c r="W15" i="7"/>
  <c r="G14" i="7"/>
  <c r="G13" i="7"/>
  <c r="G12" i="7"/>
  <c r="G11" i="7"/>
  <c r="G10" i="7"/>
  <c r="G9" i="7"/>
  <c r="G8" i="7"/>
  <c r="W7" i="7"/>
  <c r="AC8" i="8"/>
  <c r="AE8" i="8" s="1"/>
  <c r="G6" i="7"/>
  <c r="G30" i="7"/>
  <c r="G29" i="7"/>
  <c r="G28" i="7"/>
  <c r="G27" i="7"/>
  <c r="G26" i="7"/>
  <c r="G25" i="7"/>
  <c r="G24" i="7"/>
  <c r="G23" i="7"/>
  <c r="G22" i="7"/>
  <c r="F65" i="3"/>
  <c r="E66" i="3"/>
  <c r="G32" i="8"/>
  <c r="W21" i="7" l="1"/>
  <c r="AC22" i="8"/>
  <c r="AE22" i="8" s="1"/>
  <c r="W20" i="7"/>
  <c r="AC21" i="8"/>
  <c r="AE21" i="8" s="1"/>
  <c r="W19" i="7"/>
  <c r="AC20" i="8"/>
  <c r="AE20" i="8" s="1"/>
  <c r="AC19" i="8"/>
  <c r="AE19" i="8" s="1"/>
  <c r="W18" i="7"/>
  <c r="AC18" i="8"/>
  <c r="AE18" i="8" s="1"/>
  <c r="W17" i="7"/>
  <c r="AC17" i="8"/>
  <c r="AE17" i="8" s="1"/>
  <c r="W16" i="7"/>
  <c r="X15" i="7"/>
  <c r="AI16" i="8"/>
  <c r="AK16" i="8" s="1"/>
  <c r="AC15" i="8"/>
  <c r="AE15" i="8" s="1"/>
  <c r="W14" i="7"/>
  <c r="W13" i="7"/>
  <c r="AC14" i="8"/>
  <c r="AE14" i="8" s="1"/>
  <c r="W12" i="7"/>
  <c r="AC13" i="8"/>
  <c r="AE13" i="8" s="1"/>
  <c r="W11" i="7"/>
  <c r="AC12" i="8"/>
  <c r="AE12" i="8" s="1"/>
  <c r="W10" i="7"/>
  <c r="AC11" i="8"/>
  <c r="AE11" i="8" s="1"/>
  <c r="W9" i="7"/>
  <c r="AC10" i="8"/>
  <c r="AE10" i="8" s="1"/>
  <c r="W8" i="7"/>
  <c r="AC9" i="8"/>
  <c r="AE9" i="8" s="1"/>
  <c r="X7" i="7"/>
  <c r="AI8" i="8"/>
  <c r="AK8" i="8" s="1"/>
  <c r="AC7" i="8"/>
  <c r="AE7" i="8" s="1"/>
  <c r="W6" i="7"/>
  <c r="AC31" i="8"/>
  <c r="AE31" i="8" s="1"/>
  <c r="W30" i="7"/>
  <c r="AC30" i="8"/>
  <c r="AE30" i="8" s="1"/>
  <c r="W29" i="7"/>
  <c r="W28" i="7"/>
  <c r="AC29" i="8"/>
  <c r="AE29" i="8" s="1"/>
  <c r="AC28" i="8"/>
  <c r="AE28" i="8" s="1"/>
  <c r="W27" i="7"/>
  <c r="W26" i="7"/>
  <c r="AC27" i="8"/>
  <c r="AE27" i="8" s="1"/>
  <c r="AC26" i="8"/>
  <c r="AE26" i="8" s="1"/>
  <c r="W25" i="7"/>
  <c r="W24" i="7"/>
  <c r="AC25" i="8"/>
  <c r="AE25" i="8" s="1"/>
  <c r="W23" i="7"/>
  <c r="AC24" i="8"/>
  <c r="AE24" i="8" s="1"/>
  <c r="W22" i="7"/>
  <c r="AC23" i="8"/>
  <c r="AE23" i="8" s="1"/>
  <c r="F66" i="3"/>
  <c r="E67" i="3"/>
  <c r="X21" i="7" l="1"/>
  <c r="AI22" i="8"/>
  <c r="AK22" i="8" s="1"/>
  <c r="X20" i="7"/>
  <c r="AI21" i="8"/>
  <c r="AK21" i="8" s="1"/>
  <c r="X19" i="7"/>
  <c r="AI20" i="8"/>
  <c r="AK20" i="8" s="1"/>
  <c r="X18" i="7"/>
  <c r="AI19" i="8"/>
  <c r="AK19" i="8" s="1"/>
  <c r="X17" i="7"/>
  <c r="AI18" i="8"/>
  <c r="AK18" i="8" s="1"/>
  <c r="X16" i="7"/>
  <c r="AI17" i="8"/>
  <c r="AK17" i="8" s="1"/>
  <c r="X14" i="7"/>
  <c r="AI15" i="8"/>
  <c r="AK15" i="8" s="1"/>
  <c r="X13" i="7"/>
  <c r="AI14" i="8"/>
  <c r="AK14" i="8" s="1"/>
  <c r="X12" i="7"/>
  <c r="AI13" i="8"/>
  <c r="AK13" i="8" s="1"/>
  <c r="X11" i="7"/>
  <c r="AI12" i="8"/>
  <c r="AK12" i="8" s="1"/>
  <c r="X10" i="7"/>
  <c r="AI11" i="8"/>
  <c r="AK11" i="8" s="1"/>
  <c r="X9" i="7"/>
  <c r="AI10" i="8"/>
  <c r="AK10" i="8" s="1"/>
  <c r="X8" i="7"/>
  <c r="AI9" i="8"/>
  <c r="AK9" i="8" s="1"/>
  <c r="X6" i="7"/>
  <c r="AI7" i="8"/>
  <c r="AK7" i="8" s="1"/>
  <c r="X30" i="7"/>
  <c r="AI31" i="8"/>
  <c r="AK31" i="8" s="1"/>
  <c r="X29" i="7"/>
  <c r="AI30" i="8"/>
  <c r="AK30" i="8" s="1"/>
  <c r="X28" i="7"/>
  <c r="AI29" i="8"/>
  <c r="AK29" i="8" s="1"/>
  <c r="X27" i="7"/>
  <c r="AI28" i="8"/>
  <c r="AK28" i="8" s="1"/>
  <c r="X26" i="7"/>
  <c r="AI27" i="8"/>
  <c r="AK27" i="8" s="1"/>
  <c r="X25" i="7"/>
  <c r="AI26" i="8"/>
  <c r="AK26" i="8" s="1"/>
  <c r="X24" i="7"/>
  <c r="AI25" i="8"/>
  <c r="AK25" i="8" s="1"/>
  <c r="X23" i="7"/>
  <c r="AI24" i="8"/>
  <c r="AK24" i="8" s="1"/>
  <c r="X22" i="7"/>
  <c r="AI23" i="8"/>
  <c r="AK23" i="8" s="1"/>
  <c r="F67" i="3"/>
  <c r="E68" i="3"/>
  <c r="AE32" i="8"/>
  <c r="F68" i="3" l="1"/>
  <c r="E69" i="3"/>
  <c r="AK32" i="8"/>
  <c r="A34" i="8" s="1"/>
  <c r="F69" i="3" l="1"/>
  <c r="E70" i="3"/>
  <c r="F70" i="3" l="1"/>
  <c r="E71" i="3"/>
  <c r="F71" i="3" l="1"/>
  <c r="E72" i="3"/>
  <c r="F72" i="3" l="1"/>
  <c r="E73" i="3"/>
  <c r="F73" i="3" l="1"/>
  <c r="E74" i="3"/>
  <c r="F74" i="3" l="1"/>
  <c r="E75" i="3"/>
  <c r="F75" i="3" l="1"/>
  <c r="E76" i="3"/>
  <c r="F76" i="3" l="1"/>
  <c r="E77" i="3"/>
  <c r="F77" i="3" l="1"/>
  <c r="E78" i="3"/>
  <c r="F78" i="3" l="1"/>
  <c r="E79" i="3"/>
  <c r="E80" i="3" l="1"/>
  <c r="F79" i="3"/>
  <c r="F80" i="3" l="1"/>
  <c r="E81" i="3"/>
  <c r="E82" i="3" l="1"/>
  <c r="F81" i="3"/>
  <c r="F82" i="3" l="1"/>
  <c r="E83" i="3"/>
  <c r="E84" i="3" l="1"/>
  <c r="F83" i="3"/>
  <c r="E85" i="3" l="1"/>
  <c r="F84" i="3"/>
  <c r="F85" i="3" l="1"/>
  <c r="E86" i="3"/>
  <c r="F86" i="3" s="1"/>
</calcChain>
</file>

<file path=xl/sharedStrings.xml><?xml version="1.0" encoding="utf-8"?>
<sst xmlns="http://schemas.openxmlformats.org/spreadsheetml/2006/main" count="706" uniqueCount="451">
  <si>
    <t>NLTF revenue model - glass-box walkthrough</t>
  </si>
  <si>
    <t>How the revenue forecasts on the dashboard are built, end to end, in plain language.</t>
  </si>
  <si>
    <t>What this workbook shows</t>
  </si>
  <si>
    <t>Our statistical models forecast three activity streams each quarter: petrol-vehicle travel per person (the AR(1) time-series model), light road-user-charge kilometres, and heavy road-user-charge kilometres.</t>
  </si>
  <si>
    <t>Those forecasts are turned into revenue with assumptions taken directly from the Ministry of Transport: the MBU26 class mix (how light travel divides into petrol, conventional RUC, battery-electric and plug-in hybrid), fuel intensity (litres per 100 km), and the effective duty and RUC rates.</t>
  </si>
  <si>
    <t>The electric-vehicle transition itself comes from MoT's Vehicle Fleet Model (VFM 202405): sheet 2 shows the official share curves, and sheet 3 shows the evidence that the S-shape is a property of the data - a no-fitting growth-rate signature, a nine-way form tournament judged on an unseen decade, a fleet-turnover reconstruction with no curve at all, and the observed NZ outturns - before presenting the dashboard's dials as measurements of that shape.</t>
  </si>
  <si>
    <t>Sheets 4-7 then walk line by line from the model forecasts to total NLTF revenue. Sheet 8 proves the result: every line reconciles to the committed dashboard data to well under $0.01m.</t>
  </si>
  <si>
    <t>No opaque weights are used anywhere: every step is an ordinary spreadsheet formula you can audit.</t>
  </si>
  <si>
    <t>How to read the colours</t>
  </si>
  <si>
    <t>Blue - an input taken from a named source (the source cell/row is written beside it)</t>
  </si>
  <si>
    <t>Black - a formula computed on the same sheet</t>
  </si>
  <si>
    <t>Green - a value linked from another sheet in this workbook</t>
  </si>
  <si>
    <t>The pipeline at a glance</t>
  </si>
  <si>
    <t>Model forecasts (sheet 4)  -&gt;  light-fleet split using MoT class mix (sheet 5)  -&gt;  litres, rates and revenue per stream (sheet 6)  -&gt;  NLTF rollup (sheet 7)  -&gt;  reconciliation to the dashboard (sheet 8)</t>
  </si>
  <si>
    <t>Provenance (hash-verified sources)</t>
  </si>
  <si>
    <t>MoT Vehicle Fleet Model outputs</t>
  </si>
  <si>
    <t>data/source_workbooks/VFM202405_outputs_summary_V3.xlsx   |   2c49dc3e2fd6b4f083c0d8e8f52b36f34216bc37eac78ed4329347692ac4b4ab</t>
  </si>
  <si>
    <t>VFM documentation</t>
  </si>
  <si>
    <t>data/source_workbooks/Vehicle-Fleet-Model-Documentation_202405_v7.pdf   |   4cf223d522545131b9cba0d8a765ff0d3a56f751bb7192e97306d61e942fdd4c</t>
  </si>
  <si>
    <t>MBU26 official spine</t>
  </si>
  <si>
    <t>data/revenue_model_source_pack/mbu26_annual_spine/mbu26_official_annual.csv   |   row/cell references quoted per line in sheets 5-7</t>
  </si>
  <si>
    <t>Committed dashboard pack (AR(1) engine)</t>
  </si>
  <si>
    <t>data/engine_ar1/current_revenue_outlook/   |   reconciled line by line on sheet 8</t>
  </si>
  <si>
    <t>Scope notes</t>
  </si>
  <si>
    <t>Scenario: Base case, June years FY2026-FY2050 (the dashboard's default view). FY2025 is anchored to published MBU26 actuals and is not recomputed.</t>
  </si>
  <si>
    <t>All revenue is $m nominal, excluding GST - the same basis as MBU26. June year FY(t) runs July(t-1) to June(t).</t>
  </si>
  <si>
    <t>Admin fees, refunds, LPG/CNG, motor-vehicle registration components and the track-user charge are taken directly from MBU26 (they are not modelled); each is labelled with its MBU26 source cell.</t>
  </si>
  <si>
    <t>The e-RUC transition and the advanced dashboard levers are display-time what-ifs and sit outside this committed baseline.</t>
  </si>
  <si>
    <t>MoT Vehicle Fleet Model 202405 - official share curves</t>
  </si>
  <si>
    <t>Read straight from the MoT workbook, sheet 'Raw data (wem202405)' (WEM = with existing measures). Light pool = diesel + diesel-hybrid (conventional) + battery-electric + petrol plug-in VKT for light passenger + light commercial vehicles. June year = average of the two calendar years.</t>
  </si>
  <si>
    <t>Share of the light RUC pool by power type, plus heavy electric share and petrol share of all light travel</t>
  </si>
  <si>
    <t>Base EV scenario</t>
  </si>
  <si>
    <t>Fast EV scenario</t>
  </si>
  <si>
    <t>Slow EV scenario</t>
  </si>
  <si>
    <t>June year</t>
  </si>
  <si>
    <t>Conventional light (share)</t>
  </si>
  <si>
    <t>Battery-electric light (share)</t>
  </si>
  <si>
    <t>Plug-in hybrid (share)</t>
  </si>
  <si>
    <t>Heavy electric (share)</t>
  </si>
  <si>
    <t>Petrol share of light VKT</t>
  </si>
  <si>
    <t>Source rows: VKT by scenario x vehicle type (LPV, LCV, M Truck, H Truck) x power type (Petrol, Hybrid petrol, Diesel, Hybrid diesel, Electric, Petrol plug-in) x calendar year, from the raw-output sheet of VFM202405_outputs_summary_V3.xlsx.</t>
  </si>
  <si>
    <t>Why an S-curve? Because the data says so - four tests our formula could fail</t>
  </si>
  <si>
    <t>A fitted curve proves nothing by itself: with enough parameters a formula can mimic anything. So this sheet starts from falsifiable tests of the shape, not from our formula.</t>
  </si>
  <si>
    <t>The four tests</t>
  </si>
  <si>
    <t>1. Growth-rate signature - saturating adoption has a straight-line fingerprint that needs NO curve fitting; the line's endpoints ARE the ceiling and speed, measured from MoT's own series.</t>
  </si>
  <si>
    <t>2. Form tournament - fit nine candidate shapes on 2001-2040, judge them on the unseen 2041-2050 decade. Flexible forms mimic in-sample and fail out-of-sample; only a form whose shape matches the data survives.</t>
  </si>
  <si>
    <t>3. Mechanism - rebuild the fleet share from MoT's own registration flows and fleet turnover with no functional form at all: the S-curve emerges from the arithmetic.</t>
  </si>
  <si>
    <t>4. Observed outturns - New Zealand's actual fleet shares (outside the VFM) sit on the projected toe.</t>
  </si>
  <si>
    <t>Test 1 - the growth-rate signature (no curve fitting anywhere)</t>
  </si>
  <si>
    <t>If adoption saturates, the relative growth rate s'/s falls in a straight line as the share s rises: s'/s = speed x (1 - s / ceiling). Straight-line behaviour is falsifiable - and the intercept and x-intercept of that line ARE the speed and ceiling, read from MoT's series rather than chosen by us.</t>
  </si>
  <si>
    <t>BEV share (sheet 2, base)</t>
  </si>
  <si>
    <t>Mid-point share</t>
  </si>
  <si>
    <t>Relative growth = change / mid share</t>
  </si>
  <si>
    <t>Straight-line fit R-squared</t>
  </si>
  <si>
    <t>Speed constant (line intercept)</t>
  </si>
  <si>
    <t>Ceiling (line's x-intercept)</t>
  </si>
  <si>
    <t>Dashboard dial: speed</t>
  </si>
  <si>
    <t>Dashboard dial: ceiling</t>
  </si>
  <si>
    <t>The measured speed and ceiling match the dashboard's dials - the dials are measurements of MoT's series, not free coefficients.</t>
  </si>
  <si>
    <t>Test 2 - the form tournament (fit 2001-2040, judged on the unseen 2041-2050)</t>
  </si>
  <si>
    <t>Functional form</t>
  </si>
  <si>
    <t>Parameters</t>
  </si>
  <si>
    <t>Fit error 2001-2040 (pp)</t>
  </si>
  <si>
    <t>Error on unseen 2041-2050 (pp)</t>
  </si>
  <si>
    <t>Predicted 2050 share (%)</t>
  </si>
  <si>
    <t>logistic (S-curve)</t>
  </si>
  <si>
    <t>power</t>
  </si>
  <si>
    <t>quadratic</t>
  </si>
  <si>
    <t>Richards (S-curve)</t>
  </si>
  <si>
    <t>Gompertz (S-curve)</t>
  </si>
  <si>
    <t>Bass diffusion (S-curve)</t>
  </si>
  <si>
    <t>cubic</t>
  </si>
  <si>
    <t>linear</t>
  </si>
  <si>
    <t>exponential</t>
  </si>
  <si>
    <t>VFM's actual 2050 base-scenario share: 82.1%. The forms that fit BEST in-sample (cubic, Gompertz, Richards, 0.3-0.4pp) miss the unseen decade by 12-27 points - that is exactly what 'a formula can mimic anything' looks like. The logistic is the only form that both fits and extrapolates: the shape, not parameter flexibility, is doing the work.</t>
  </si>
  <si>
    <t>Computed by scripts/uptake_shape_lab.py from the VFM workbook's raw outputs; full results (all three scenarios) in artifacts/uptake_shape_lab/.</t>
  </si>
  <si>
    <t>Test 3 - the mechanism: fleet-turnover arithmetic (no curve at all)</t>
  </si>
  <si>
    <t>VFM is a fleet-turnover model. Take the 2023 fleet share as the only starting value, then apply next year = this year + turnover x (new-entry share - this year), using MoT's own registration mix and turnover. No functional form appears anywhere - and the S-curve emerges from the arithmetic.</t>
  </si>
  <si>
    <t>Calendar year</t>
  </si>
  <si>
    <t>BEV share of new light entries</t>
  </si>
  <si>
    <t>Fleet turnover (entries/stock)</t>
  </si>
  <si>
    <t>VFM fleet BEV share</t>
  </si>
  <si>
    <t>Reconstructed share (formula)</t>
  </si>
  <si>
    <t>Gap (pp)</t>
  </si>
  <si>
    <t>The reconstruction tracks VFM's fleet share within ~7 points over three decades and sits consistently BELOW it - exactly as it should, because real scrappage retires older conventional vehicles first while this simple version retires the average mix. A rising sales mix filtered through roughly 8% a year of fleet turnover IS the S-curve. Source: 'Registrations' and raw-output sheets of the VFM workbook.</t>
  </si>
  <si>
    <t>Test 4 - observed New Zealand outturns (outside the VFM)</t>
  </si>
  <si>
    <t>Observed light BEV share (MBU26 actuals)</t>
  </si>
  <si>
    <t>VFM base scenario</t>
  </si>
  <si>
    <t>MBU26 splits the light BEV class out only from FY2024, so two observed points exist so far; both sit on the toe of the projected curve with the gap closing. This test grows teeth every year as outturns land. The straight-line growth signature above is also the classic technology-substitution result (Fisher &amp; Pry, 1971), observed across dozens of adoptions from colour TV to smartphones - and famously completed by Norway's electric fleet.</t>
  </si>
  <si>
    <t>The dashboard's dials - a readable parameterisation of the measured shape</t>
  </si>
  <si>
    <t>Lever (plain language)</t>
  </si>
  <si>
    <t>MoT VFM base</t>
  </si>
  <si>
    <t>MoT VFM fast</t>
  </si>
  <si>
    <t>MoT VFM slow</t>
  </si>
  <si>
    <t>Battery-electric: fastest uptake speed (share points per year)</t>
  </si>
  <si>
    <t>Battery-electric: year of fastest uptake</t>
  </si>
  <si>
    <t>Battery-electric: share of light RUC pool reached by 2050</t>
  </si>
  <si>
    <t>Plug-in hybrid: share at FY2025</t>
  </si>
  <si>
    <t>Plug-in hybrid: rise per year while growing (share points)</t>
  </si>
  <si>
    <t>Plug-in hybrid: peak share</t>
  </si>
  <si>
    <t>Plug-in hybrid: decline rate after the peak (per year)</t>
  </si>
  <si>
    <t>Petrol displacement: fastest speed (share points per year)</t>
  </si>
  <si>
    <t>Petrol displacement: year of fastest displacement</t>
  </si>
  <si>
    <t>Petrol displacement: share of FY2025 petrol travel displaced by 2050</t>
  </si>
  <si>
    <t>Heavy electric: fastest uptake speed (share points per year)</t>
  </si>
  <si>
    <t>Heavy electric: midpoint year</t>
  </si>
  <si>
    <t>Heavy electric: share of heavy pool by 2050</t>
  </si>
  <si>
    <t>Derived curve constants (base preset) - solved so each S-curve passes through its 2050 share at the stated speed</t>
  </si>
  <si>
    <t>BEV curve ceiling (saturation share)</t>
  </si>
  <si>
    <t>Solved numerically (bisection) so the S-curve hits the 2050 share at the stated peak speed</t>
  </si>
  <si>
    <t>BEV curve steepness</t>
  </si>
  <si>
    <t>Equals 4 x peak speed / ceiling</t>
  </si>
  <si>
    <t>Petrol displacement ceiling</t>
  </si>
  <si>
    <t>Solved the same way for the petrol displacement curve</t>
  </si>
  <si>
    <t>Petrol displacement steepness</t>
  </si>
  <si>
    <t>Heavy electric ceiling</t>
  </si>
  <si>
    <t>Solved the same way for the heavy curve</t>
  </si>
  <si>
    <t>Heavy electric steepness</t>
  </si>
  <si>
    <t>Plug-in hybrid peak year</t>
  </si>
  <si>
    <t>Start share rises linearly until it reaches the peak share</t>
  </si>
  <si>
    <t>Base-preset curves vs MoT official base scenario (green = linked from sheet 2)</t>
  </si>
  <si>
    <t>BEV share (our formula)</t>
  </si>
  <si>
    <t>BEV share (MoT VFM)</t>
  </si>
  <si>
    <t>BEV gap (pp)</t>
  </si>
  <si>
    <t>PHEV share (our formula)</t>
  </si>
  <si>
    <t>PHEV share (MoT VFM)</t>
  </si>
  <si>
    <t>PHEV gap (pp)</t>
  </si>
  <si>
    <t>Petrol retained vs FY2025 (our formula)</t>
  </si>
  <si>
    <t>Heavy electric share (our formula)</t>
  </si>
  <si>
    <t>Heavy electric share (MoT VFM)</t>
  </si>
  <si>
    <t>Heavy gap (pp)</t>
  </si>
  <si>
    <t>Largest gap (share points)</t>
  </si>
  <si>
    <t>The base preset reproduces MoT's official base scenario within about 1.5 share points across 2025-2050 (the fast/slow presets do the same for the fast/slow scenarios). MBU26's official class mix matches the VFM base scenario within the same tolerance, so one set of dials speaks both languages.</t>
  </si>
  <si>
    <t>What the models forecast (quarterly)</t>
  </si>
  <si>
    <t>The engine's three activity forecasts, quarter by quarter. Petrol travel per person comes from the AR(1) time-series model; light and heavy RUC kilometres from their governed models. Population is the scenario input used to gross per-person travel up to national kilometres.</t>
  </si>
  <si>
    <t>Quarterly model outputs and population, FY2026-FY2050 (blue = committed model/pack values)</t>
  </si>
  <si>
    <t>Quarter</t>
  </si>
  <si>
    <t>Value source</t>
  </si>
  <si>
    <t>Petrol travel per person (km/quarter)</t>
  </si>
  <si>
    <t>Population (people)</t>
  </si>
  <si>
    <t>Population source</t>
  </si>
  <si>
    <t>Petrol pool (million km) = travel x people / 1m</t>
  </si>
  <si>
    <t>Light RUC km (model, km)</t>
  </si>
  <si>
    <t>Light RUC (million km)</t>
  </si>
  <si>
    <t>Heavy RUC km (model, km)</t>
  </si>
  <si>
    <t>Heavy RUC (million km)</t>
  </si>
  <si>
    <t>2025Q3</t>
  </si>
  <si>
    <t>Actual (published outturn)</t>
  </si>
  <si>
    <t>MBU26 proxy: petrol VKT / VKT per capita (FY2026)</t>
  </si>
  <si>
    <t>2025Q4</t>
  </si>
  <si>
    <t>2026Q1</t>
  </si>
  <si>
    <t>Model forecast (AR(1) engine)</t>
  </si>
  <si>
    <t>Scenario input workbook</t>
  </si>
  <si>
    <t>2026Q2</t>
  </si>
  <si>
    <t>2026Q3</t>
  </si>
  <si>
    <t>2026Q4</t>
  </si>
  <si>
    <t>2027Q1</t>
  </si>
  <si>
    <t>2027Q2</t>
  </si>
  <si>
    <t>2027Q3</t>
  </si>
  <si>
    <t>2027Q4</t>
  </si>
  <si>
    <t>2028Q1</t>
  </si>
  <si>
    <t>2028Q2</t>
  </si>
  <si>
    <t>2028Q3</t>
  </si>
  <si>
    <t>2028Q4</t>
  </si>
  <si>
    <t>2029Q1</t>
  </si>
  <si>
    <t>2029Q2</t>
  </si>
  <si>
    <t>2029Q3</t>
  </si>
  <si>
    <t>2029Q4</t>
  </si>
  <si>
    <t>2030Q1</t>
  </si>
  <si>
    <t>2030Q2</t>
  </si>
  <si>
    <t>2030Q3</t>
  </si>
  <si>
    <t>2030Q4</t>
  </si>
  <si>
    <t>2031Q1</t>
  </si>
  <si>
    <t>2031Q2</t>
  </si>
  <si>
    <t>2031Q3</t>
  </si>
  <si>
    <t>2031Q4</t>
  </si>
  <si>
    <t>2032Q1</t>
  </si>
  <si>
    <t>2032Q2</t>
  </si>
  <si>
    <t>2032Q3</t>
  </si>
  <si>
    <t>2032Q4</t>
  </si>
  <si>
    <t>2033Q1</t>
  </si>
  <si>
    <t>2033Q2</t>
  </si>
  <si>
    <t>2033Q3</t>
  </si>
  <si>
    <t>2033Q4</t>
  </si>
  <si>
    <t>2034Q1</t>
  </si>
  <si>
    <t>2034Q2</t>
  </si>
  <si>
    <t>2034Q3</t>
  </si>
  <si>
    <t>2034Q4</t>
  </si>
  <si>
    <t>2035Q1</t>
  </si>
  <si>
    <t>2035Q2</t>
  </si>
  <si>
    <t>2035Q3</t>
  </si>
  <si>
    <t>2035Q4</t>
  </si>
  <si>
    <t>2036Q1</t>
  </si>
  <si>
    <t>2036Q2</t>
  </si>
  <si>
    <t>2036Q3</t>
  </si>
  <si>
    <t>2036Q4</t>
  </si>
  <si>
    <t>2037Q1</t>
  </si>
  <si>
    <t>2037Q2</t>
  </si>
  <si>
    <t>2037Q3</t>
  </si>
  <si>
    <t>2037Q4</t>
  </si>
  <si>
    <t>2038Q1</t>
  </si>
  <si>
    <t>2038Q2</t>
  </si>
  <si>
    <t>2038Q3</t>
  </si>
  <si>
    <t>2038Q4</t>
  </si>
  <si>
    <t>2039Q1</t>
  </si>
  <si>
    <t>2039Q2</t>
  </si>
  <si>
    <t>2039Q3</t>
  </si>
  <si>
    <t>2039Q4</t>
  </si>
  <si>
    <t>2040Q1</t>
  </si>
  <si>
    <t>2040Q2</t>
  </si>
  <si>
    <t>2040Q3</t>
  </si>
  <si>
    <t>2040Q4</t>
  </si>
  <si>
    <t>2041Q1</t>
  </si>
  <si>
    <t>2041Q2</t>
  </si>
  <si>
    <t>2041Q3</t>
  </si>
  <si>
    <t>2041Q4</t>
  </si>
  <si>
    <t>2042Q1</t>
  </si>
  <si>
    <t>2042Q2</t>
  </si>
  <si>
    <t>2042Q3</t>
  </si>
  <si>
    <t>2042Q4</t>
  </si>
  <si>
    <t>2043Q1</t>
  </si>
  <si>
    <t>2043Q2</t>
  </si>
  <si>
    <t>2043Q3</t>
  </si>
  <si>
    <t>2043Q4</t>
  </si>
  <si>
    <t>2044Q1</t>
  </si>
  <si>
    <t>2044Q2</t>
  </si>
  <si>
    <t>2044Q3</t>
  </si>
  <si>
    <t>2044Q4</t>
  </si>
  <si>
    <t>2045Q1</t>
  </si>
  <si>
    <t>2045Q2</t>
  </si>
  <si>
    <t>2045Q3</t>
  </si>
  <si>
    <t>2045Q4</t>
  </si>
  <si>
    <t>2046Q1</t>
  </si>
  <si>
    <t>2046Q2</t>
  </si>
  <si>
    <t>2046Q3</t>
  </si>
  <si>
    <t>2046Q4</t>
  </si>
  <si>
    <t>2047Q1</t>
  </si>
  <si>
    <t>2047Q2</t>
  </si>
  <si>
    <t>2047Q3</t>
  </si>
  <si>
    <t>2047Q4</t>
  </si>
  <si>
    <t>2048Q1</t>
  </si>
  <si>
    <t>2048Q2</t>
  </si>
  <si>
    <t>2048Q3</t>
  </si>
  <si>
    <t>2048Q4</t>
  </si>
  <si>
    <t>2049Q1</t>
  </si>
  <si>
    <t>2049Q2</t>
  </si>
  <si>
    <t>2049Q3</t>
  </si>
  <si>
    <t>2049Q4</t>
  </si>
  <si>
    <t>2050Q1</t>
  </si>
  <si>
    <t>2050Q2</t>
  </si>
  <si>
    <t>Splitting the light fleet: petrol, conventional RUC, battery-electric, plug-in hybrid</t>
  </si>
  <si>
    <t>We pool the model's petrol travel and light RUC kilometres into one light-mobility universe, then split it using MoT's official MBU26 class mix. One allocation assumption decides how much of the electric switch comes out of each pool - no other weights are involved.</t>
  </si>
  <si>
    <t>Per June year. Green = linked from sheet 4; blue = MBU26 official inputs (source cell quoted at right)</t>
  </si>
  <si>
    <t>Petrol pool P (million km)</t>
  </si>
  <si>
    <t>Light RUC pool L (million km)</t>
  </si>
  <si>
    <t>Light universe U = P + L</t>
  </si>
  <si>
    <t>MoT petrol VKT (million km)</t>
  </si>
  <si>
    <t>MoT conventional RUC km</t>
  </si>
  <si>
    <t>MoT battery-electric km</t>
  </si>
  <si>
    <t>MoT plug-in hybrid km</t>
  </si>
  <si>
    <t>MoT light total (sum)</t>
  </si>
  <si>
    <t>MoT petrol share</t>
  </si>
  <si>
    <t>MoT conventional share</t>
  </si>
  <si>
    <t>MoT BEV share</t>
  </si>
  <si>
    <t>MoT PHEV share</t>
  </si>
  <si>
    <t>Electric switch (million km) = U x (BEV+PHEV shares)</t>
  </si>
  <si>
    <t>EV switch drawn from RUC pool (share)</t>
  </si>
  <si>
    <t>Battery-electric km = U x BEV share</t>
  </si>
  <si>
    <t>Plug-in hybrid km = U x PHEV share</t>
  </si>
  <si>
    <t>Petrol km kept = P - (1 - split) x switch</t>
  </si>
  <si>
    <t>Conventional RUC km = L - split x switch</t>
  </si>
  <si>
    <t>Check: four classes sum back to U</t>
  </si>
  <si>
    <t>Largest gap to MoT mix (pp)</t>
  </si>
  <si>
    <t>MBU26 source cells (this June year)</t>
  </si>
  <si>
    <t>MBU26 sheet: AB16 petrol VKT | AB10 conventional | AB12 BEV | AB14 PHEV</t>
  </si>
  <si>
    <t>MBU26 sheet: AC16 petrol VKT | AC10 conventional | AC12 BEV | AC14 PHEV</t>
  </si>
  <si>
    <t>MBU26 sheet: AD16 petrol VKT | AD10 conventional | AD12 BEV | AD14 PHEV</t>
  </si>
  <si>
    <t>MBU26 sheet: AE16 petrol VKT | AE10 conventional | AE12 BEV | AE14 PHEV</t>
  </si>
  <si>
    <t>MBU26 sheet: AF16 petrol VKT | AF10 conventional | AF12 BEV | AF14 PHEV</t>
  </si>
  <si>
    <t>MBU26 sheet: AG16 petrol VKT | AG10 conventional | AG12 BEV | AG14 PHEV</t>
  </si>
  <si>
    <t>MBU26 sheet: AH16 petrol VKT | AH10 conventional | AH12 BEV | AH14 PHEV</t>
  </si>
  <si>
    <t>MBU26 sheet: AI16 petrol VKT | AI10 conventional | AI12 BEV | AI14 PHEV</t>
  </si>
  <si>
    <t>MBU26 sheet: AJ16 petrol VKT | AJ10 conventional | AJ12 BEV | AJ14 PHEV</t>
  </si>
  <si>
    <t>MBU26 sheet: AK16 petrol VKT | AK10 conventional | AK12 BEV | AK14 PHEV</t>
  </si>
  <si>
    <t>MBU26 sheet: AL16 petrol VKT | AL10 conventional | AL12 BEV | AL14 PHEV</t>
  </si>
  <si>
    <t>MBU26 sheet: AM16 petrol VKT | AM10 conventional | AM12 BEV | AM14 PHEV</t>
  </si>
  <si>
    <t>MBU26 sheet: AN16 petrol VKT | AN10 conventional | AN12 BEV | AN14 PHEV</t>
  </si>
  <si>
    <t>MBU26 sheet: AO16 petrol VKT | AO10 conventional | AO12 BEV | AO14 PHEV</t>
  </si>
  <si>
    <t>MBU26 sheet: AP16 petrol VKT | AP10 conventional | AP12 BEV | AP14 PHEV</t>
  </si>
  <si>
    <t>MBU26 sheet: AQ16 petrol VKT | AQ10 conventional | AQ12 BEV | AQ14 PHEV</t>
  </si>
  <si>
    <t>MBU26 sheet: AR16 petrol VKT | AR10 conventional | AR12 BEV | AR14 PHEV</t>
  </si>
  <si>
    <t>MBU26 sheet: AS16 petrol VKT | AS10 conventional | AS12 BEV | AS14 PHEV</t>
  </si>
  <si>
    <t>MBU26 sheet: AT16 petrol VKT | AT10 conventional | AT12 BEV | AT14 PHEV</t>
  </si>
  <si>
    <t>MBU26 sheet: AU16 petrol VKT | AU10 conventional | AU12 BEV | AU14 PHEV</t>
  </si>
  <si>
    <t>MBU26 sheet: AV16 petrol VKT | AV10 conventional | AV12 BEV | AV14 PHEV</t>
  </si>
  <si>
    <t>MBU26 sheet: AW16 petrol VKT | AW10 conventional | AW12 BEV | AW14 PHEV</t>
  </si>
  <si>
    <t>MBU26 sheet: AX16 petrol VKT | AX10 conventional | AX12 BEV | AX14 PHEV</t>
  </si>
  <si>
    <t>MBU26 sheet: AY16 petrol VKT | AY10 conventional | AY12 BEV | AY14 PHEV</t>
  </si>
  <si>
    <t>MBU26 sheet: AZ16 petrol VKT | AZ10 conventional | AZ12 BEV | AZ14 PHEV</t>
  </si>
  <si>
    <t>The 'EV switch drawn from RUC pool' column is this workbook's single allocation assumption: of each year's electric-vehicle kilometres, that fraction is deducted from the light RUC pool and the remainder from the petrol pool. It was chosen once so the combined mix tracks MoT's class proportions smoothly - the 'largest gap to MoT mix' column shows the result stays within a fraction of a share point of MoT's official mix. Change the assumption and every downstream number re-computes.</t>
  </si>
  <si>
    <t>From kilometres to dollars</t>
  </si>
  <si>
    <t>Rates are not invented: every effective rate is MoT's own revenue divided by MoT's own volume for the same June year, so legislated changes (including the FY2027/28 petrol duty increases) are embedded automatically. Our kilometres x MoT's effective rates = our revenue.</t>
  </si>
  <si>
    <t>Per June year. Green = linked; blue = MBU26 official inputs (source cells at right)</t>
  </si>
  <si>
    <t>MoT petrol litres (million L)</t>
  </si>
  <si>
    <t>Fuel intensity (L/100km) = litres/VKT x 100</t>
  </si>
  <si>
    <t>MoT petrol duty revenue ($m)</t>
  </si>
  <si>
    <t>Effective duty rate ($/litre) = revenue/litres</t>
  </si>
  <si>
    <t>Our petrol km (million)</t>
  </si>
  <si>
    <t>Our petrol litres = km x intensity / 100</t>
  </si>
  <si>
    <t>Petrol duty revenue ($m) = litres x rate</t>
  </si>
  <si>
    <t>MoT conventional RUC revenue ($m)</t>
  </si>
  <si>
    <t>Conventional rate ($/km)</t>
  </si>
  <si>
    <t>Our conventional km</t>
  </si>
  <si>
    <t>Conventional RUC revenue ($m)</t>
  </si>
  <si>
    <t>MoT BEV RUC revenue ($m)</t>
  </si>
  <si>
    <t>BEV rate ($/km)</t>
  </si>
  <si>
    <t>Our BEV km</t>
  </si>
  <si>
    <t>BEV RUC revenue ($m)</t>
  </si>
  <si>
    <t>MoT PHEV RUC revenue ($m)</t>
  </si>
  <si>
    <t>PHEV rate ($/km)</t>
  </si>
  <si>
    <t>Our PHEV km</t>
  </si>
  <si>
    <t>PHEV RUC revenue ($m)</t>
  </si>
  <si>
    <t>MoT heavy RUC revenue ($m)</t>
  </si>
  <si>
    <t>MoT heavy km / heavy rate ($/km)</t>
  </si>
  <si>
    <t>Our heavy km</t>
  </si>
  <si>
    <t>Heavy RUC revenue ($m)</t>
  </si>
  <si>
    <t>MBU26 source cells per year, e.g. FY2030: petrol litres AF15, petrol duty revenue AF45, conventional RUC revenue AF33 / km AF10, BEV AF35/AF12, PHEV AF37/AF14, heavy AF34/AF11 (column letter advances one per June year on the MBU26 sheet). The effective duty rate steps up in FY2027 (+6c legislated) and FY2028 (+12c) because MoT's own revenue line prices the legislated path.</t>
  </si>
  <si>
    <t>Rolling up to the National Land Transport Fund</t>
  </si>
  <si>
    <t>Modelled lines (green) plus the MBU26 lines we do not model (blue: LPG/CNG, refunds, admin fees, registration, track-user charge) combine through the standard fund identities.</t>
  </si>
  <si>
    <t>Per June year, $m nominal ex GST. Blue inputs quote MBU26 rows 36-63</t>
  </si>
  <si>
    <t>Petrol duty (ours)</t>
  </si>
  <si>
    <t>LPG (MBU26)</t>
  </si>
  <si>
    <t>CNG (MBU26)</t>
  </si>
  <si>
    <t>Gross fuel excise = sum</t>
  </si>
  <si>
    <t>Fuel refunds (MBU26)</t>
  </si>
  <si>
    <t>Net fuel excise</t>
  </si>
  <si>
    <t>Conventional RUC (ours)</t>
  </si>
  <si>
    <t>BEV RUC (ours)</t>
  </si>
  <si>
    <t>PHEV RUC (ours)</t>
  </si>
  <si>
    <t>Heavy RUC (ours)</t>
  </si>
  <si>
    <t>Heavy BEV RUC (MBU26)</t>
  </si>
  <si>
    <t>RUC refunds (MBU26)</t>
  </si>
  <si>
    <t>Gross RUC = sum + refunds back</t>
  </si>
  <si>
    <t>RUC admin fees (MBU26)</t>
  </si>
  <si>
    <t>Net RUC</t>
  </si>
  <si>
    <t>Registration MR1+MR2 (MBU26)</t>
  </si>
  <si>
    <t>Registration admin (MBU26)</t>
  </si>
  <si>
    <t>Registration refunds (MBU26)</t>
  </si>
  <si>
    <t>Net registration</t>
  </si>
  <si>
    <t>Certificate of ownership (MBU26)</t>
  </si>
  <si>
    <t>Track user charge (MBU26)</t>
  </si>
  <si>
    <t>Total NLTF = net fuel + net RUC + net rego + TUC</t>
  </si>
  <si>
    <t>Cross-check: gross-to-net identity</t>
  </si>
  <si>
    <t>Gross RUC adds refunds back before netting them off again (MoT's published convention). The cross-check column recomputes total NLTF the official way - total gross revenue minus total admin fees minus total refunds - and must equal zero against the stream-wise rollup.</t>
  </si>
  <si>
    <t>Does this workbook match the dashboard? Yes - to the dollar.</t>
  </si>
  <si>
    <t>Blue columns are the committed values behind the dashboard charts (AR(1) engine pack, base case). Green columns are this workbook's formulas. Every difference column should read zero.</t>
  </si>
  <si>
    <t>Workbook vs committed dashboard pack (base case, June years)</t>
  </si>
  <si>
    <t>Petrol litres (million L)</t>
  </si>
  <si>
    <t>Petrol duty revenue ($m)</t>
  </si>
  <si>
    <t>Conventional light RUC km (m km)</t>
  </si>
  <si>
    <t>Battery-electric RUC km (m km)</t>
  </si>
  <si>
    <t>Plug-in hybrid RUC km (m km)</t>
  </si>
  <si>
    <t>Conventional light RUC revenue ($m)</t>
  </si>
  <si>
    <t>Battery-electric RUC revenue ($m)</t>
  </si>
  <si>
    <t>Plug-in hybrid RUC revenue ($m)</t>
  </si>
  <si>
    <t>Net fuel excise ($m)</t>
  </si>
  <si>
    <t>Net RUC ($m)</t>
  </si>
  <si>
    <t>Total NLTF revenue ($m)</t>
  </si>
  <si>
    <t>This workbook</t>
  </si>
  <si>
    <t>Dashboard</t>
  </si>
  <si>
    <t>Difference</t>
  </si>
  <si>
    <t>Largest difference</t>
  </si>
  <si>
    <t>Where every line comes from - and what the jargon means</t>
  </si>
  <si>
    <t>Series mapping: this workbook &lt;-&gt; the dashboard &lt;-&gt; MoT</t>
  </si>
  <si>
    <t>Plain-language line (this workbook)</t>
  </si>
  <si>
    <t>Dashboard series</t>
  </si>
  <si>
    <t>MoT / MBU26 source</t>
  </si>
  <si>
    <t>MoT VFM role</t>
  </si>
  <si>
    <t>Notes</t>
  </si>
  <si>
    <t>Petrol travel per person</t>
  </si>
  <si>
    <t>PED VKT per capita</t>
  </si>
  <si>
    <t>MBU26 sheet row 17 (history/official)</t>
  </si>
  <si>
    <t>Petrol share of light VKT (sheet 2, col F)</t>
  </si>
  <si>
    <t>Forecast by the AR(1) time-series model each quarter; the only line that differs between the two engines.</t>
  </si>
  <si>
    <t>Petrol pool (million km)</t>
  </si>
  <si>
    <t>light_petrol_vkt</t>
  </si>
  <si>
    <t>MBU26 sheet row 16</t>
  </si>
  <si>
    <t>Petrol VKT by scenario</t>
  </si>
  <si>
    <t>Travel per person x population, summed over the four quarters of the June year.</t>
  </si>
  <si>
    <t>Light RUC pool (million km)</t>
  </si>
  <si>
    <t>light_ruc_net_km (model total)</t>
  </si>
  <si>
    <t>MBU26 sheet row 10</t>
  </si>
  <si>
    <t>Light pool = diesel + diesel-hybrid + BEV + PHEV</t>
  </si>
  <si>
    <t>The light RUC model forecasts the whole light RUC universe; the class split happens on sheet 5.</t>
  </si>
  <si>
    <t>Conventional light RUC km</t>
  </si>
  <si>
    <t>light_ruc_net_km (committed)</t>
  </si>
  <si>
    <t>MBU26 row 10 (share), row 33 (revenue)</t>
  </si>
  <si>
    <t>Diesel + diesel-hybrid VKT</t>
  </si>
  <si>
    <t>Light pool minus the electric switch drawn from it.</t>
  </si>
  <si>
    <t>Battery-electric light km</t>
  </si>
  <si>
    <t>light_bev_ruc_net_km</t>
  </si>
  <si>
    <t>MBU26 row 12 (share), row 35 (revenue)</t>
  </si>
  <si>
    <t>'Electric' VKT for LPV+LCV</t>
  </si>
  <si>
    <t>Light universe x MoT BEV share.</t>
  </si>
  <si>
    <t>Plug-in hybrid km</t>
  </si>
  <si>
    <t>phev_ruc_net_km</t>
  </si>
  <si>
    <t>MBU26 row 14 (share), row 37 (revenue)</t>
  </si>
  <si>
    <t>'Petrol plug-in' VKT</t>
  </si>
  <si>
    <t>Light universe x MoT PHEV share.</t>
  </si>
  <si>
    <t>Heavy RUC km</t>
  </si>
  <si>
    <t>heavy_ruc_net_km</t>
  </si>
  <si>
    <t>MBU26 row 11 (km), row 34 (revenue)</t>
  </si>
  <si>
    <t>M Truck + H Truck VKT; electric share tracked separately</t>
  </si>
  <si>
    <t>Forecast directly by the heavy model; heavy BEVs pay the same per-km rate, so electrification is revenue-neutral inside the heavy block.</t>
  </si>
  <si>
    <t>Petrol litres and duty</t>
  </si>
  <si>
    <t>ped_volume / gross_ped_revenue</t>
  </si>
  <si>
    <t>MBU26 rows 15 (litres) and 45 (revenue)</t>
  </si>
  <si>
    <t>-</t>
  </si>
  <si>
    <t>Litres = petrol km x MoT fuel intensity; revenue = litres x MoT effective duty rate (legislated FY2027 +6c and FY2028 +12c steps included).</t>
  </si>
  <si>
    <t>Registration, LPG/CNG, refunds, admin, TUC</t>
  </si>
  <si>
    <t>net_mvr_revenue etc.</t>
  </si>
  <si>
    <t>MBU26 rows 36-63</t>
  </si>
  <si>
    <t>Taken from MBU26 as-is - not modelled.</t>
  </si>
  <si>
    <t>Total NLTF revenue</t>
  </si>
  <si>
    <t>total_nltf_net_revenue</t>
  </si>
  <si>
    <t>MBU26 rows 66-70 (official rollup)</t>
  </si>
  <si>
    <t>Net fuel excise + net RUC + net registration + track user charge.</t>
  </si>
  <si>
    <t>Glossary</t>
  </si>
  <si>
    <t>NLTF</t>
  </si>
  <si>
    <t>National Land Transport Fund - where fuel excise, road user charges, registration and track user charges land.</t>
  </si>
  <si>
    <t>PED</t>
  </si>
  <si>
    <t>Petrol excise duty. 'PED volume' is petrol litres sold; 'PED VKT per capita' is petrol-vehicle kilometres travelled per person.</t>
  </si>
  <si>
    <t>RUC</t>
  </si>
  <si>
    <t>Road user charges - distance-based charges for vehicles that do not pay fuel excise (diesel, electric, heavy).</t>
  </si>
  <si>
    <t>VKT</t>
  </si>
  <si>
    <t>Vehicle kilometres travelled.</t>
  </si>
  <si>
    <t>BEV / PHEV</t>
  </si>
  <si>
    <t>Battery-electric vehicle / plug-in hybrid electric vehicle.</t>
  </si>
  <si>
    <t>MBU26</t>
  </si>
  <si>
    <t>MoT's official 2026 baseline update - the published revenue model this dashboard benchmarks against.</t>
  </si>
  <si>
    <t>VFM 202405</t>
  </si>
  <si>
    <t>MoT's Vehicle Fleet Model (May 2024 run) - projects the fleet's power-type mix; source of the EV transition curves.</t>
  </si>
  <si>
    <t>MVR / MR1 / MR2 / COO</t>
  </si>
  <si>
    <t>Motor vehicle registration revenue components and the certificate-of-ownership fee.</t>
  </si>
  <si>
    <t>TUC</t>
  </si>
  <si>
    <t>Track user charges (rail).</t>
  </si>
  <si>
    <t>The transport funding year: FY2030 runs July 2029 to June 2030.</t>
  </si>
  <si>
    <t>ex GST</t>
  </si>
  <si>
    <t>All dollars exclude GST, matching MoT's published basis.</t>
  </si>
  <si>
    <t>AR(1) model</t>
  </si>
  <si>
    <t>Our production PED model: a regression with statistically well-behaved (autocorrelation-corrected) errors; passes all six core diagnostic tests.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</si>
</sst>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quot;-&quot;"/>
    <numFmt numFmtId="165" formatCode="0.0%;\(0.0%\);&quot;-&quot;"/>
    <numFmt numFmtId="166" formatCode="0.000"/>
    <numFmt numFmtId="167" formatCode="0.0"/>
    <numFmt numFmtId="168" formatCode="0.00000"/>
    <numFmt numFmtId="169" formatCode="#,##0.0"/>
    <numFmt numFmtId="170" formatCode="#,##0.0;\(#,##0.0\);&quot;-&quot;"/>
    <numFmt numFmtId="171" formatCode="0.000000"/>
    <numFmt numFmtId="172" formatCode="\$0.0000"/>
    <numFmt numFmtId="173" formatCode="\$0.00000"/>
  </numFmts>
  <fonts count="9" x14ac:knownFonts="1">
    <font>
      <sz val="11"/>
      <color theme="1"/>
      <name val="Calibri"/>
      <family val="2"/>
      <scheme val="minor"/>
    </font>
    <font>
      <b/>
      <sz val="14"/>
      <color rgb="FF002B5C"/>
      <name val="Arial"/>
      <family val="2"/>
    </font>
    <font>
      <sz val="9"/>
      <color rgb="FF334155"/>
      <name val="Arial"/>
      <family val="2"/>
    </font>
    <font>
      <b/>
      <sz val="11"/>
      <color rgb="FFFFFFFF"/>
      <name val="Arial"/>
      <family val="2"/>
    </font>
    <font>
      <sz val="10"/>
      <name val="Arial"/>
      <family val="2"/>
    </font>
    <font>
      <sz val="10"/>
      <color rgb="FF0000FF"/>
      <name val="Arial"/>
      <family val="2"/>
    </font>
    <font>
      <sz val="10"/>
      <color rgb="FF000000"/>
      <name val="Arial"/>
      <family val="2"/>
    </font>
    <font>
      <sz val="10"/>
      <color rgb="FF008000"/>
      <name val="Arial"/>
      <family val="2"/>
    </font>
    <font>
      <b/>
      <sz val="9"/>
      <color rgb="FF002B5C"/>
      <name val="Arial"/>
      <family val="2"/>
    </font>
  </fonts>
  <fills count="5">
    <fill>
      <patternFill patternType="none"/>
    </fill>
    <fill>
      <patternFill patternType="gray125"/>
    </fill>
    <fill>
      <patternFill patternType="solid">
        <fgColor rgb="FF002B5C"/>
      </patternFill>
    </fill>
    <fill>
      <patternFill patternType="solid">
        <fgColor rgb="FFE6EDF5"/>
      </patternFill>
    </fill>
    <fill>
      <patternFill patternType="solid">
        <fgColor rgb="FFECFDF5"/>
      </patternFill>
    </fill>
  </fills>
  <borders count="4">
    <border>
      <left/>
      <right/>
      <top/>
      <bottom/>
      <diagonal/>
    </border>
    <border>
      <left style="thin">
        <color rgb="FFCBD5E1"/>
      </left>
      <right style="thin">
        <color rgb="FFCBD5E1"/>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CBD5E1"/>
      </top>
      <bottom style="thin">
        <color rgb="FFCBD5E1"/>
      </bottom>
      <diagonal/>
    </border>
  </borders>
  <cellStyleXfs count="1">
    <xf numFmtId="0" fontId="0" fillId="0" borderId="0"/>
  </cellStyleXfs>
  <cellXfs count="49">
    <xf numFmtId="0" fontId="0" fillId="0" borderId="0" xfId="0"/>
    <xf numFmtId="0" fontId="1" fillId="0" borderId="0" xfId="0" applyFont="1"/>
    <xf numFmtId="0" fontId="2" fillId="0" borderId="0" xfId="0" applyFont="1"/>
    <xf numFmtId="0" fontId="3" fillId="2" borderId="0" xfId="0" applyFont="1" applyFill="1"/>
    <xf numFmtId="0" fontId="0" fillId="2" borderId="0" xfId="0" applyFill="1"/>
    <xf numFmtId="0" fontId="5" fillId="0" borderId="0" xfId="0" applyFont="1"/>
    <xf numFmtId="0" fontId="6" fillId="0" borderId="0" xfId="0" applyFont="1"/>
    <xf numFmtId="0" fontId="7" fillId="0" borderId="0" xfId="0" applyFont="1"/>
    <xf numFmtId="0" fontId="4" fillId="0" borderId="0" xfId="0" applyFont="1"/>
    <xf numFmtId="0" fontId="8" fillId="0" borderId="0" xfId="0" applyFont="1"/>
    <xf numFmtId="0" fontId="8" fillId="3" borderId="1" xfId="0" applyFont="1" applyFill="1" applyBorder="1" applyAlignment="1">
      <alignment vertical="top" wrapText="1"/>
    </xf>
    <xf numFmtId="164" fontId="4" fillId="0" borderId="1" xfId="0" applyNumberFormat="1" applyFont="1" applyBorder="1"/>
    <xf numFmtId="165" fontId="5" fillId="0" borderId="1" xfId="0" applyNumberFormat="1" applyFont="1" applyBorder="1"/>
    <xf numFmtId="165" fontId="7" fillId="0" borderId="1" xfId="0" applyNumberFormat="1" applyFont="1" applyBorder="1"/>
    <xf numFmtId="165" fontId="6" fillId="0" borderId="1" xfId="0" applyNumberFormat="1" applyFont="1" applyBorder="1"/>
    <xf numFmtId="166" fontId="6" fillId="0" borderId="1" xfId="0" applyNumberFormat="1" applyFont="1" applyBorder="1"/>
    <xf numFmtId="0" fontId="8" fillId="0" borderId="1" xfId="0" applyFont="1" applyBorder="1"/>
    <xf numFmtId="166" fontId="6" fillId="4" borderId="1" xfId="0" applyNumberFormat="1" applyFont="1" applyFill="1" applyBorder="1"/>
    <xf numFmtId="166" fontId="7" fillId="4" borderId="1" xfId="0" applyNumberFormat="1" applyFont="1" applyFill="1" applyBorder="1"/>
    <xf numFmtId="0" fontId="4" fillId="0" borderId="1" xfId="0" applyFont="1" applyBorder="1"/>
    <xf numFmtId="164" fontId="5" fillId="0" borderId="1" xfId="0" applyNumberFormat="1" applyFont="1" applyBorder="1"/>
    <xf numFmtId="2" fontId="5" fillId="0" borderId="1" xfId="0" applyNumberFormat="1" applyFont="1" applyBorder="1"/>
    <xf numFmtId="167" fontId="5" fillId="0" borderId="1" xfId="0" applyNumberFormat="1" applyFont="1" applyBorder="1"/>
    <xf numFmtId="2" fontId="6" fillId="0" borderId="1" xfId="0" applyNumberFormat="1" applyFont="1" applyBorder="1"/>
    <xf numFmtId="166" fontId="5" fillId="0" borderId="1" xfId="0" applyNumberFormat="1" applyFont="1" applyBorder="1"/>
    <xf numFmtId="168" fontId="5" fillId="0" borderId="1" xfId="0" applyNumberFormat="1" applyFont="1" applyBorder="1"/>
    <xf numFmtId="168" fontId="6" fillId="0" borderId="1" xfId="0" applyNumberFormat="1" applyFont="1" applyBorder="1"/>
    <xf numFmtId="2" fontId="6" fillId="4" borderId="1" xfId="0" applyNumberFormat="1" applyFont="1" applyFill="1" applyBorder="1"/>
    <xf numFmtId="0" fontId="2" fillId="0" borderId="1" xfId="0" applyFont="1" applyBorder="1"/>
    <xf numFmtId="169" fontId="5" fillId="0" borderId="1" xfId="0" applyNumberFormat="1" applyFont="1" applyBorder="1"/>
    <xf numFmtId="3" fontId="5" fillId="0" borderId="1" xfId="0" applyNumberFormat="1" applyFont="1" applyBorder="1"/>
    <xf numFmtId="170" fontId="6" fillId="0" borderId="1" xfId="0" applyNumberFormat="1" applyFont="1" applyBorder="1"/>
    <xf numFmtId="170" fontId="7" fillId="0" borderId="1" xfId="0" applyNumberFormat="1" applyFont="1" applyBorder="1"/>
    <xf numFmtId="170" fontId="5" fillId="0" borderId="1" xfId="0" applyNumberFormat="1" applyFont="1" applyBorder="1"/>
    <xf numFmtId="171" fontId="6" fillId="4" borderId="1" xfId="0" applyNumberFormat="1" applyFont="1" applyFill="1" applyBorder="1"/>
    <xf numFmtId="172" fontId="6" fillId="0" borderId="1" xfId="0" applyNumberFormat="1" applyFont="1" applyBorder="1"/>
    <xf numFmtId="173" fontId="6" fillId="0" borderId="1" xfId="0" applyNumberFormat="1" applyFont="1" applyBorder="1"/>
    <xf numFmtId="0" fontId="8" fillId="4" borderId="0" xfId="0" applyFont="1" applyFill="1"/>
    <xf numFmtId="0" fontId="4" fillId="0" borderId="1" xfId="0" applyFont="1" applyBorder="1" applyAlignment="1">
      <alignment vertical="top" wrapText="1"/>
    </xf>
    <xf numFmtId="0" fontId="2" fillId="0" borderId="1" xfId="0" applyFont="1" applyBorder="1" applyAlignment="1">
      <alignment vertical="top" wrapText="1"/>
    </xf>
    <xf numFmtId="0" fontId="4" fillId="0" borderId="0" xfId="0" applyFont="1" applyAlignment="1">
      <alignment vertical="top" wrapText="1"/>
    </xf>
    <xf numFmtId="0" fontId="0" fillId="0" borderId="0" xfId="0"/>
    <xf numFmtId="0" fontId="2" fillId="0" borderId="0" xfId="0" applyFont="1" applyAlignment="1">
      <alignment vertical="top" wrapText="1"/>
    </xf>
    <xf numFmtId="0" fontId="8" fillId="3" borderId="0" xfId="0" applyFont="1" applyFill="1"/>
    <xf numFmtId="0" fontId="2" fillId="0" borderId="0" xfId="0" applyFont="1"/>
    <xf numFmtId="0" fontId="8" fillId="0" borderId="1" xfId="0" applyFont="1" applyBorder="1"/>
    <xf numFmtId="0" fontId="0" fillId="0" borderId="2" xfId="0" applyBorder="1"/>
    <xf numFmtId="0" fontId="2" fillId="0" borderId="1" xfId="0" applyFont="1" applyBorder="1" applyAlignment="1">
      <alignment vertical="top" wrapText="1"/>
    </xf>
    <xf numFmtId="0" fontId="0" fillId="0" borderId="3"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9"/>
  <sheetViews>
    <sheetView showGridLines="0" workbookViewId="0"/>
  </sheetViews>
  <sheetFormatPr defaultRowHeight="14.4" x14ac:dyDescent="0.3"/>
  <cols>
    <col min="1" max="1" width="3" customWidth="1"/>
    <col min="2" max="2" width="30" customWidth="1"/>
    <col min="3" max="3" width="100" customWidth="1"/>
    <col min="4" max="7" width="14" customWidth="1"/>
  </cols>
  <sheetData>
    <row r="1" spans="1:3" ht="17.399999999999999" x14ac:dyDescent="0.3">
      <c r="A1" s="1" t="s">
        <v>0</v>
      </c>
    </row>
    <row r="2" spans="1:3" x14ac:dyDescent="0.3">
      <c r="A2" s="2" t="s">
        <v>1</v>
      </c>
    </row>
    <row r="4" spans="1:3" x14ac:dyDescent="0.3">
      <c r="A4" s="3" t="s">
        <v>2</v>
      </c>
      <c r="B4" s="4"/>
      <c r="C4" s="4"/>
    </row>
    <row r="5" spans="1:3" ht="28.05" customHeight="1" x14ac:dyDescent="0.3">
      <c r="B5" s="40" t="s">
        <v>3</v>
      </c>
      <c r="C5" s="41"/>
    </row>
    <row r="6" spans="1:3" ht="28.05" customHeight="1" x14ac:dyDescent="0.3">
      <c r="B6" s="40" t="s">
        <v>4</v>
      </c>
      <c r="C6" s="41"/>
    </row>
    <row r="7" spans="1:3" ht="28.05" customHeight="1" x14ac:dyDescent="0.3">
      <c r="B7" s="40" t="s">
        <v>5</v>
      </c>
      <c r="C7" s="41"/>
    </row>
    <row r="8" spans="1:3" ht="28.05" customHeight="1" x14ac:dyDescent="0.3">
      <c r="B8" s="40" t="s">
        <v>6</v>
      </c>
      <c r="C8" s="41"/>
    </row>
    <row r="9" spans="1:3" ht="28.05" customHeight="1" x14ac:dyDescent="0.3">
      <c r="B9" s="40" t="s">
        <v>7</v>
      </c>
      <c r="C9" s="41"/>
    </row>
    <row r="11" spans="1:3" x14ac:dyDescent="0.3">
      <c r="A11" s="3" t="s">
        <v>8</v>
      </c>
      <c r="B11" s="4"/>
      <c r="C11" s="4"/>
    </row>
    <row r="12" spans="1:3" x14ac:dyDescent="0.3">
      <c r="B12" s="5" t="s">
        <v>9</v>
      </c>
    </row>
    <row r="13" spans="1:3" x14ac:dyDescent="0.3">
      <c r="B13" s="6" t="s">
        <v>10</v>
      </c>
    </row>
    <row r="14" spans="1:3" x14ac:dyDescent="0.3">
      <c r="B14" s="7" t="s">
        <v>11</v>
      </c>
    </row>
    <row r="16" spans="1:3" x14ac:dyDescent="0.3">
      <c r="A16" s="3" t="s">
        <v>12</v>
      </c>
      <c r="B16" s="4"/>
      <c r="C16" s="4"/>
    </row>
    <row r="17" spans="1:3" x14ac:dyDescent="0.3">
      <c r="B17" s="8" t="s">
        <v>13</v>
      </c>
    </row>
    <row r="19" spans="1:3" x14ac:dyDescent="0.3">
      <c r="A19" s="3" t="s">
        <v>14</v>
      </c>
      <c r="B19" s="4"/>
      <c r="C19" s="4"/>
    </row>
    <row r="20" spans="1:3" x14ac:dyDescent="0.3">
      <c r="B20" s="9" t="s">
        <v>15</v>
      </c>
      <c r="C20" s="2" t="s">
        <v>16</v>
      </c>
    </row>
    <row r="21" spans="1:3" x14ac:dyDescent="0.3">
      <c r="B21" s="9" t="s">
        <v>17</v>
      </c>
      <c r="C21" s="2" t="s">
        <v>18</v>
      </c>
    </row>
    <row r="22" spans="1:3" x14ac:dyDescent="0.3">
      <c r="B22" s="9" t="s">
        <v>19</v>
      </c>
      <c r="C22" s="2" t="s">
        <v>20</v>
      </c>
    </row>
    <row r="23" spans="1:3" x14ac:dyDescent="0.3">
      <c r="B23" s="9" t="s">
        <v>21</v>
      </c>
      <c r="C23" s="2" t="s">
        <v>22</v>
      </c>
    </row>
    <row r="25" spans="1:3" x14ac:dyDescent="0.3">
      <c r="A25" s="3" t="s">
        <v>23</v>
      </c>
      <c r="B25" s="4"/>
      <c r="C25" s="4"/>
    </row>
    <row r="26" spans="1:3" ht="24" customHeight="1" x14ac:dyDescent="0.3">
      <c r="B26" s="42" t="s">
        <v>24</v>
      </c>
      <c r="C26" s="41"/>
    </row>
    <row r="27" spans="1:3" ht="24" customHeight="1" x14ac:dyDescent="0.3">
      <c r="B27" s="42" t="s">
        <v>25</v>
      </c>
      <c r="C27" s="41"/>
    </row>
    <row r="28" spans="1:3" ht="24" customHeight="1" x14ac:dyDescent="0.3">
      <c r="B28" s="42" t="s">
        <v>26</v>
      </c>
      <c r="C28" s="41"/>
    </row>
    <row r="29" spans="1:3" ht="24" customHeight="1" x14ac:dyDescent="0.3">
      <c r="B29" s="42" t="s">
        <v>27</v>
      </c>
      <c r="C29" s="41"/>
    </row>
  </sheetData>
  <mergeCells count="9">
    <mergeCell ref="B6:C6"/>
    <mergeCell ref="B29:C29"/>
    <mergeCell ref="B7:C7"/>
    <mergeCell ref="B5:C5"/>
    <mergeCell ref="B27:C27"/>
    <mergeCell ref="B28:C28"/>
    <mergeCell ref="B26:C26"/>
    <mergeCell ref="B9:C9"/>
    <mergeCell ref="B8:C8"/>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4"/>
  <sheetViews>
    <sheetView showGridLines="0" workbookViewId="0">
      <pane xSplit="1" ySplit="6" topLeftCell="B7" activePane="bottomRight" state="frozen"/>
      <selection pane="topRight"/>
      <selection pane="bottomLeft"/>
      <selection pane="bottomRight" activeCell="C14" sqref="C14"/>
    </sheetView>
  </sheetViews>
  <sheetFormatPr defaultRowHeight="14.4" x14ac:dyDescent="0.3"/>
  <cols>
    <col min="1" max="1" width="10" customWidth="1"/>
    <col min="2" max="17" width="13" customWidth="1"/>
  </cols>
  <sheetData>
    <row r="1" spans="1:17" ht="17.399999999999999" x14ac:dyDescent="0.3">
      <c r="A1" s="1" t="s">
        <v>28</v>
      </c>
    </row>
    <row r="2" spans="1:17" x14ac:dyDescent="0.3">
      <c r="A2" s="2" t="s">
        <v>29</v>
      </c>
    </row>
    <row r="4" spans="1:17" x14ac:dyDescent="0.3">
      <c r="A4" s="3" t="s">
        <v>30</v>
      </c>
      <c r="B4" s="4"/>
      <c r="C4" s="4"/>
      <c r="D4" s="4"/>
      <c r="E4" s="4"/>
      <c r="F4" s="4"/>
      <c r="G4" s="4"/>
      <c r="H4" s="4"/>
      <c r="I4" s="4"/>
      <c r="J4" s="4"/>
      <c r="K4" s="4"/>
      <c r="L4" s="4"/>
      <c r="M4" s="4"/>
      <c r="N4" s="4"/>
      <c r="O4" s="4"/>
      <c r="P4" s="4"/>
      <c r="Q4" s="4"/>
    </row>
    <row r="5" spans="1:17" x14ac:dyDescent="0.3">
      <c r="B5" s="43" t="s">
        <v>31</v>
      </c>
      <c r="C5" s="41"/>
      <c r="D5" s="41"/>
      <c r="E5" s="41"/>
      <c r="F5" s="41"/>
      <c r="G5" s="43" t="s">
        <v>32</v>
      </c>
      <c r="H5" s="41"/>
      <c r="I5" s="41"/>
      <c r="J5" s="41"/>
      <c r="K5" s="41"/>
      <c r="L5" s="43" t="s">
        <v>33</v>
      </c>
      <c r="M5" s="41"/>
      <c r="N5" s="41"/>
      <c r="O5" s="41"/>
      <c r="P5" s="41"/>
    </row>
    <row r="6" spans="1:17" ht="24" x14ac:dyDescent="0.3">
      <c r="A6" s="10" t="s">
        <v>34</v>
      </c>
      <c r="B6" s="10" t="s">
        <v>35</v>
      </c>
      <c r="C6" s="10" t="s">
        <v>36</v>
      </c>
      <c r="D6" s="10" t="s">
        <v>37</v>
      </c>
      <c r="E6" s="10" t="s">
        <v>38</v>
      </c>
      <c r="F6" s="10" t="s">
        <v>39</v>
      </c>
      <c r="G6" s="10" t="s">
        <v>35</v>
      </c>
      <c r="H6" s="10" t="s">
        <v>36</v>
      </c>
      <c r="I6" s="10" t="s">
        <v>37</v>
      </c>
      <c r="J6" s="10" t="s">
        <v>38</v>
      </c>
      <c r="K6" s="10" t="s">
        <v>39</v>
      </c>
      <c r="L6" s="10" t="s">
        <v>35</v>
      </c>
      <c r="M6" s="10" t="s">
        <v>36</v>
      </c>
      <c r="N6" s="10" t="s">
        <v>37</v>
      </c>
      <c r="O6" s="10" t="s">
        <v>38</v>
      </c>
      <c r="P6" s="10" t="s">
        <v>39</v>
      </c>
    </row>
    <row r="7" spans="1:17" x14ac:dyDescent="0.3">
      <c r="A7" s="11">
        <v>2025</v>
      </c>
      <c r="B7" s="12">
        <v>0.89235799999999998</v>
      </c>
      <c r="C7" s="12">
        <v>7.2132000000000002E-2</v>
      </c>
      <c r="D7" s="12">
        <v>3.551E-2</v>
      </c>
      <c r="E7" s="12">
        <v>1.9319999999999999E-3</v>
      </c>
      <c r="F7" s="12">
        <v>0.68285200000000001</v>
      </c>
      <c r="G7" s="12">
        <v>0.88656500000000005</v>
      </c>
      <c r="H7" s="12">
        <v>7.4746000000000007E-2</v>
      </c>
      <c r="I7" s="12">
        <v>3.8689000000000001E-2</v>
      </c>
      <c r="J7" s="12">
        <v>1.9919999999999998E-3</v>
      </c>
      <c r="K7" s="12">
        <v>0.68107899999999999</v>
      </c>
      <c r="L7" s="12">
        <v>0.90156599999999998</v>
      </c>
      <c r="M7" s="12">
        <v>6.4852000000000007E-2</v>
      </c>
      <c r="N7" s="12">
        <v>3.3583000000000002E-2</v>
      </c>
      <c r="O7" s="12">
        <v>1.8029999999999999E-3</v>
      </c>
      <c r="P7" s="12">
        <v>0.685554</v>
      </c>
    </row>
    <row r="8" spans="1:17" x14ac:dyDescent="0.3">
      <c r="A8" s="11">
        <v>2026</v>
      </c>
      <c r="B8" s="12">
        <v>0.87155300000000002</v>
      </c>
      <c r="C8" s="12">
        <v>8.43E-2</v>
      </c>
      <c r="D8" s="12">
        <v>4.4145999999999998E-2</v>
      </c>
      <c r="E8" s="12">
        <v>2.1789999999999999E-3</v>
      </c>
      <c r="F8" s="12">
        <v>0.67720000000000002</v>
      </c>
      <c r="G8" s="12">
        <v>0.86069899999999999</v>
      </c>
      <c r="H8" s="12">
        <v>8.8718000000000005E-2</v>
      </c>
      <c r="I8" s="12">
        <v>5.0583000000000003E-2</v>
      </c>
      <c r="J8" s="12">
        <v>2.317E-3</v>
      </c>
      <c r="K8" s="12">
        <v>0.67418900000000004</v>
      </c>
      <c r="L8" s="12">
        <v>0.88770499999999997</v>
      </c>
      <c r="M8" s="12">
        <v>7.2452000000000003E-2</v>
      </c>
      <c r="N8" s="12">
        <v>3.9843000000000003E-2</v>
      </c>
      <c r="O8" s="12">
        <v>1.905E-3</v>
      </c>
      <c r="P8" s="12">
        <v>0.68193999999999999</v>
      </c>
    </row>
    <row r="9" spans="1:17" x14ac:dyDescent="0.3">
      <c r="A9" s="11">
        <v>2027</v>
      </c>
      <c r="B9" s="12">
        <v>0.84388700000000005</v>
      </c>
      <c r="C9" s="12">
        <v>0.100828</v>
      </c>
      <c r="D9" s="12">
        <v>5.5284E-2</v>
      </c>
      <c r="E9" s="12">
        <v>2.5249999999999999E-3</v>
      </c>
      <c r="F9" s="12">
        <v>0.66952900000000004</v>
      </c>
      <c r="G9" s="12">
        <v>0.825712</v>
      </c>
      <c r="H9" s="12">
        <v>0.108262</v>
      </c>
      <c r="I9" s="12">
        <v>6.6026000000000001E-2</v>
      </c>
      <c r="J9" s="12">
        <v>2.807E-3</v>
      </c>
      <c r="K9" s="12">
        <v>0.66465200000000002</v>
      </c>
      <c r="L9" s="12">
        <v>0.86922299999999997</v>
      </c>
      <c r="M9" s="12">
        <v>8.2746E-2</v>
      </c>
      <c r="N9" s="12">
        <v>4.8030999999999997E-2</v>
      </c>
      <c r="O9" s="12">
        <v>2.0509999999999999E-3</v>
      </c>
      <c r="P9" s="12">
        <v>0.67700499999999997</v>
      </c>
    </row>
    <row r="10" spans="1:17" x14ac:dyDescent="0.3">
      <c r="A10" s="11">
        <v>2028</v>
      </c>
      <c r="B10" s="12">
        <v>0.80946200000000001</v>
      </c>
      <c r="C10" s="12">
        <v>0.122362</v>
      </c>
      <c r="D10" s="12">
        <v>6.8176E-2</v>
      </c>
      <c r="E10" s="12">
        <v>3.192E-3</v>
      </c>
      <c r="F10" s="12">
        <v>0.65977799999999998</v>
      </c>
      <c r="G10" s="12">
        <v>0.783022</v>
      </c>
      <c r="H10" s="12">
        <v>0.13420899999999999</v>
      </c>
      <c r="I10" s="12">
        <v>8.2768999999999995E-2</v>
      </c>
      <c r="J10" s="12">
        <v>3.7980000000000002E-3</v>
      </c>
      <c r="K10" s="12">
        <v>0.652474</v>
      </c>
      <c r="L10" s="12">
        <v>0.84442899999999999</v>
      </c>
      <c r="M10" s="12">
        <v>9.7848000000000004E-2</v>
      </c>
      <c r="N10" s="12">
        <v>5.7722999999999997E-2</v>
      </c>
      <c r="O10" s="12">
        <v>2.4139999999999999E-3</v>
      </c>
      <c r="P10" s="12">
        <v>0.67036700000000005</v>
      </c>
    </row>
    <row r="11" spans="1:17" x14ac:dyDescent="0.3">
      <c r="A11" s="11">
        <v>2029</v>
      </c>
      <c r="B11" s="12">
        <v>0.77124800000000004</v>
      </c>
      <c r="C11" s="12">
        <v>0.14713000000000001</v>
      </c>
      <c r="D11" s="12">
        <v>8.1620999999999999E-2</v>
      </c>
      <c r="E11" s="12">
        <v>4.3299999999999996E-3</v>
      </c>
      <c r="F11" s="12">
        <v>0.64873899999999995</v>
      </c>
      <c r="G11" s="12">
        <v>0.73668199999999995</v>
      </c>
      <c r="H11" s="12">
        <v>0.16441700000000001</v>
      </c>
      <c r="I11" s="12">
        <v>9.8901000000000003E-2</v>
      </c>
      <c r="J11" s="12">
        <v>5.5599999999999998E-3</v>
      </c>
      <c r="K11" s="12">
        <v>0.63869299999999996</v>
      </c>
      <c r="L11" s="12">
        <v>0.81474899999999995</v>
      </c>
      <c r="M11" s="12">
        <v>0.11691500000000001</v>
      </c>
      <c r="N11" s="12">
        <v>6.8335999999999994E-2</v>
      </c>
      <c r="O11" s="12">
        <v>3.0950000000000001E-3</v>
      </c>
      <c r="P11" s="12">
        <v>0.66248099999999999</v>
      </c>
    </row>
    <row r="12" spans="1:17" x14ac:dyDescent="0.3">
      <c r="A12" s="11">
        <v>2030</v>
      </c>
      <c r="B12" s="12">
        <v>0.73244699999999996</v>
      </c>
      <c r="C12" s="12">
        <v>0.172989</v>
      </c>
      <c r="D12" s="12">
        <v>9.4563999999999995E-2</v>
      </c>
      <c r="E12" s="12">
        <v>5.9649999999999998E-3</v>
      </c>
      <c r="F12" s="12">
        <v>0.63715599999999994</v>
      </c>
      <c r="G12" s="12">
        <v>0.69010300000000002</v>
      </c>
      <c r="H12" s="12">
        <v>0.19616600000000001</v>
      </c>
      <c r="I12" s="12">
        <v>0.113731</v>
      </c>
      <c r="J12" s="12">
        <v>8.2159999999999993E-3</v>
      </c>
      <c r="K12" s="12">
        <v>0.62409899999999996</v>
      </c>
      <c r="L12" s="12">
        <v>0.78378199999999998</v>
      </c>
      <c r="M12" s="12">
        <v>0.13728000000000001</v>
      </c>
      <c r="N12" s="12">
        <v>7.8937999999999994E-2</v>
      </c>
      <c r="O12" s="12">
        <v>4.0540000000000003E-3</v>
      </c>
      <c r="P12" s="12">
        <v>0.65416200000000002</v>
      </c>
    </row>
    <row r="13" spans="1:17" x14ac:dyDescent="0.3">
      <c r="A13" s="11">
        <v>2031</v>
      </c>
      <c r="B13" s="12">
        <v>0.69405600000000001</v>
      </c>
      <c r="C13" s="12">
        <v>0.199459</v>
      </c>
      <c r="D13" s="12">
        <v>0.106485</v>
      </c>
      <c r="E13" s="12">
        <v>8.2480000000000001E-3</v>
      </c>
      <c r="F13" s="12">
        <v>0.62526999999999999</v>
      </c>
      <c r="G13" s="12">
        <v>0.64452600000000004</v>
      </c>
      <c r="H13" s="12">
        <v>0.22837299999999999</v>
      </c>
      <c r="I13" s="12">
        <v>0.12710099999999999</v>
      </c>
      <c r="J13" s="12">
        <v>1.2109999999999999E-2</v>
      </c>
      <c r="K13" s="12">
        <v>0.60882800000000004</v>
      </c>
      <c r="L13" s="12">
        <v>0.75314199999999998</v>
      </c>
      <c r="M13" s="12">
        <v>0.157968</v>
      </c>
      <c r="N13" s="12">
        <v>8.8889999999999997E-2</v>
      </c>
      <c r="O13" s="12">
        <v>5.3049999999999998E-3</v>
      </c>
      <c r="P13" s="12">
        <v>0.64578400000000002</v>
      </c>
    </row>
    <row r="14" spans="1:17" x14ac:dyDescent="0.3">
      <c r="A14" s="11">
        <v>2032</v>
      </c>
      <c r="B14" s="12">
        <v>0.65504600000000002</v>
      </c>
      <c r="C14" s="12">
        <v>0.227075</v>
      </c>
      <c r="D14" s="12">
        <v>0.117879</v>
      </c>
      <c r="E14" s="12">
        <v>1.1464999999999999E-2</v>
      </c>
      <c r="F14" s="12">
        <v>0.61242200000000002</v>
      </c>
      <c r="G14" s="12">
        <v>0.59905900000000001</v>
      </c>
      <c r="H14" s="12">
        <v>0.26164199999999999</v>
      </c>
      <c r="I14" s="12">
        <v>0.13930000000000001</v>
      </c>
      <c r="J14" s="12">
        <v>1.7854999999999999E-2</v>
      </c>
      <c r="K14" s="12">
        <v>0.59226100000000004</v>
      </c>
      <c r="L14" s="12">
        <v>0.722167</v>
      </c>
      <c r="M14" s="12">
        <v>0.179424</v>
      </c>
      <c r="N14" s="12">
        <v>9.8408999999999996E-2</v>
      </c>
      <c r="O14" s="12">
        <v>6.9319999999999998E-3</v>
      </c>
      <c r="P14" s="12">
        <v>0.636907</v>
      </c>
    </row>
    <row r="15" spans="1:17" x14ac:dyDescent="0.3">
      <c r="A15" s="11">
        <v>2033</v>
      </c>
      <c r="B15" s="12">
        <v>0.61495200000000005</v>
      </c>
      <c r="C15" s="12">
        <v>0.25683699999999998</v>
      </c>
      <c r="D15" s="12">
        <v>0.12820999999999999</v>
      </c>
      <c r="E15" s="12">
        <v>1.5685999999999999E-2</v>
      </c>
      <c r="F15" s="12">
        <v>0.59796899999999997</v>
      </c>
      <c r="G15" s="12">
        <v>0.55324300000000004</v>
      </c>
      <c r="H15" s="12">
        <v>0.297176</v>
      </c>
      <c r="I15" s="12">
        <v>0.14958099999999999</v>
      </c>
      <c r="J15" s="12">
        <v>2.5776E-2</v>
      </c>
      <c r="K15" s="12">
        <v>0.57385600000000003</v>
      </c>
      <c r="L15" s="12">
        <v>0.69029300000000005</v>
      </c>
      <c r="M15" s="12">
        <v>0.20257800000000001</v>
      </c>
      <c r="N15" s="12">
        <v>0.107129</v>
      </c>
      <c r="O15" s="12">
        <v>8.9090000000000003E-3</v>
      </c>
      <c r="P15" s="12">
        <v>0.626973</v>
      </c>
    </row>
    <row r="16" spans="1:17" x14ac:dyDescent="0.3">
      <c r="A16" s="11">
        <v>2034</v>
      </c>
      <c r="B16" s="12">
        <v>0.57319200000000003</v>
      </c>
      <c r="C16" s="12">
        <v>0.29013600000000001</v>
      </c>
      <c r="D16" s="12">
        <v>0.13667199999999999</v>
      </c>
      <c r="E16" s="12">
        <v>2.0694000000000001E-2</v>
      </c>
      <c r="F16" s="12">
        <v>0.58154700000000004</v>
      </c>
      <c r="G16" s="12">
        <v>0.506409</v>
      </c>
      <c r="H16" s="12">
        <v>0.336032</v>
      </c>
      <c r="I16" s="12">
        <v>0.157559</v>
      </c>
      <c r="J16" s="12">
        <v>3.5671000000000001E-2</v>
      </c>
      <c r="K16" s="12">
        <v>0.55304500000000001</v>
      </c>
      <c r="L16" s="12">
        <v>0.65657799999999999</v>
      </c>
      <c r="M16" s="12">
        <v>0.228937</v>
      </c>
      <c r="N16" s="12">
        <v>0.114485</v>
      </c>
      <c r="O16" s="12">
        <v>1.1106E-2</v>
      </c>
      <c r="P16" s="12">
        <v>0.61568900000000004</v>
      </c>
    </row>
    <row r="17" spans="1:16" x14ac:dyDescent="0.3">
      <c r="A17" s="11">
        <v>2035</v>
      </c>
      <c r="B17" s="12">
        <v>0.53027199999999997</v>
      </c>
      <c r="C17" s="12">
        <v>0.32715100000000003</v>
      </c>
      <c r="D17" s="12">
        <v>0.14257700000000001</v>
      </c>
      <c r="E17" s="12">
        <v>2.6349000000000001E-2</v>
      </c>
      <c r="F17" s="12">
        <v>0.56277600000000005</v>
      </c>
      <c r="G17" s="12">
        <v>0.45900400000000002</v>
      </c>
      <c r="H17" s="12">
        <v>0.37804399999999999</v>
      </c>
      <c r="I17" s="12">
        <v>0.16295200000000001</v>
      </c>
      <c r="J17" s="12">
        <v>4.7285000000000001E-2</v>
      </c>
      <c r="K17" s="12">
        <v>0.52947900000000003</v>
      </c>
      <c r="L17" s="12">
        <v>0.62105100000000002</v>
      </c>
      <c r="M17" s="12">
        <v>0.25889499999999999</v>
      </c>
      <c r="N17" s="12">
        <v>0.12005399999999999</v>
      </c>
      <c r="O17" s="12">
        <v>1.3453E-2</v>
      </c>
      <c r="P17" s="12">
        <v>0.60265400000000002</v>
      </c>
    </row>
    <row r="18" spans="1:16" x14ac:dyDescent="0.3">
      <c r="A18" s="11">
        <v>2036</v>
      </c>
      <c r="B18" s="12">
        <v>0.48760999999999999</v>
      </c>
      <c r="C18" s="12">
        <v>0.36751</v>
      </c>
      <c r="D18" s="12">
        <v>0.14488000000000001</v>
      </c>
      <c r="E18" s="12">
        <v>3.2766999999999998E-2</v>
      </c>
      <c r="F18" s="12">
        <v>0.54169</v>
      </c>
      <c r="G18" s="12">
        <v>0.41289999999999999</v>
      </c>
      <c r="H18" s="12">
        <v>0.42255799999999999</v>
      </c>
      <c r="I18" s="12">
        <v>0.16454199999999999</v>
      </c>
      <c r="J18" s="12">
        <v>6.0637000000000003E-2</v>
      </c>
      <c r="K18" s="12">
        <v>0.50351699999999999</v>
      </c>
      <c r="L18" s="12">
        <v>0.58436100000000002</v>
      </c>
      <c r="M18" s="12">
        <v>0.29209200000000002</v>
      </c>
      <c r="N18" s="12">
        <v>0.123547</v>
      </c>
      <c r="O18" s="12">
        <v>1.6039999999999999E-2</v>
      </c>
      <c r="P18" s="12">
        <v>0.587642</v>
      </c>
    </row>
    <row r="19" spans="1:16" x14ac:dyDescent="0.3">
      <c r="A19" s="11">
        <v>2037</v>
      </c>
      <c r="B19" s="12">
        <v>0.44525399999999998</v>
      </c>
      <c r="C19" s="12">
        <v>0.41101199999999999</v>
      </c>
      <c r="D19" s="12">
        <v>0.143734</v>
      </c>
      <c r="E19" s="12">
        <v>4.0042000000000001E-2</v>
      </c>
      <c r="F19" s="12">
        <v>0.51817100000000005</v>
      </c>
      <c r="G19" s="12">
        <v>0.36923899999999998</v>
      </c>
      <c r="H19" s="12">
        <v>0.469003</v>
      </c>
      <c r="I19" s="12">
        <v>0.16175899999999999</v>
      </c>
      <c r="J19" s="12">
        <v>7.5615000000000002E-2</v>
      </c>
      <c r="K19" s="12">
        <v>0.47552100000000003</v>
      </c>
      <c r="L19" s="12">
        <v>0.54623200000000005</v>
      </c>
      <c r="M19" s="12">
        <v>0.32874999999999999</v>
      </c>
      <c r="N19" s="12">
        <v>0.12501799999999999</v>
      </c>
      <c r="O19" s="12">
        <v>1.8977999999999998E-2</v>
      </c>
      <c r="P19" s="12">
        <v>0.570434</v>
      </c>
    </row>
    <row r="20" spans="1:16" x14ac:dyDescent="0.3">
      <c r="A20" s="11">
        <v>2038</v>
      </c>
      <c r="B20" s="12">
        <v>0.40326800000000002</v>
      </c>
      <c r="C20" s="12">
        <v>0.45656999999999998</v>
      </c>
      <c r="D20" s="12">
        <v>0.14016200000000001</v>
      </c>
      <c r="E20" s="12">
        <v>4.8134000000000003E-2</v>
      </c>
      <c r="F20" s="12">
        <v>0.49202899999999999</v>
      </c>
      <c r="G20" s="12">
        <v>0.32822600000000002</v>
      </c>
      <c r="H20" s="12">
        <v>0.51571500000000003</v>
      </c>
      <c r="I20" s="12">
        <v>0.156059</v>
      </c>
      <c r="J20" s="12">
        <v>9.1956999999999997E-2</v>
      </c>
      <c r="K20" s="12">
        <v>0.44564799999999999</v>
      </c>
      <c r="L20" s="12">
        <v>0.50634500000000005</v>
      </c>
      <c r="M20" s="12">
        <v>0.36913099999999999</v>
      </c>
      <c r="N20" s="12">
        <v>0.124524</v>
      </c>
      <c r="O20" s="12">
        <v>2.2289E-2</v>
      </c>
      <c r="P20" s="12">
        <v>0.550597</v>
      </c>
    </row>
    <row r="21" spans="1:16" x14ac:dyDescent="0.3">
      <c r="A21" s="11">
        <v>2039</v>
      </c>
      <c r="B21" s="12">
        <v>0.36179600000000001</v>
      </c>
      <c r="C21" s="12">
        <v>0.50317100000000003</v>
      </c>
      <c r="D21" s="12">
        <v>0.13503299999999999</v>
      </c>
      <c r="E21" s="12">
        <v>5.697E-2</v>
      </c>
      <c r="F21" s="12">
        <v>0.46293400000000001</v>
      </c>
      <c r="G21" s="12">
        <v>0.29006900000000002</v>
      </c>
      <c r="H21" s="12">
        <v>0.562581</v>
      </c>
      <c r="I21" s="12">
        <v>0.14735000000000001</v>
      </c>
      <c r="J21" s="12">
        <v>0.109417</v>
      </c>
      <c r="K21" s="12">
        <v>0.414547</v>
      </c>
      <c r="L21" s="12">
        <v>0.46419500000000002</v>
      </c>
      <c r="M21" s="12">
        <v>0.41365299999999999</v>
      </c>
      <c r="N21" s="12">
        <v>0.122151</v>
      </c>
      <c r="O21" s="12">
        <v>2.5961000000000001E-2</v>
      </c>
      <c r="P21" s="12">
        <v>0.52743899999999999</v>
      </c>
    </row>
    <row r="22" spans="1:16" x14ac:dyDescent="0.3">
      <c r="A22" s="11">
        <v>2040</v>
      </c>
      <c r="B22" s="12">
        <v>0.32230599999999998</v>
      </c>
      <c r="C22" s="12">
        <v>0.55000899999999997</v>
      </c>
      <c r="D22" s="12">
        <v>0.12768499999999999</v>
      </c>
      <c r="E22" s="12">
        <v>6.6513000000000003E-2</v>
      </c>
      <c r="F22" s="12">
        <v>0.43158200000000002</v>
      </c>
      <c r="G22" s="12">
        <v>0.25515500000000002</v>
      </c>
      <c r="H22" s="12">
        <v>0.60851699999999997</v>
      </c>
      <c r="I22" s="12">
        <v>0.136328</v>
      </c>
      <c r="J22" s="12">
        <v>0.1278</v>
      </c>
      <c r="K22" s="12">
        <v>0.38236399999999998</v>
      </c>
      <c r="L22" s="12">
        <v>0.42087400000000003</v>
      </c>
      <c r="M22" s="12">
        <v>0.460984</v>
      </c>
      <c r="N22" s="12">
        <v>0.118142</v>
      </c>
      <c r="O22" s="12">
        <v>3.0010999999999999E-2</v>
      </c>
      <c r="P22" s="12">
        <v>0.50043899999999997</v>
      </c>
    </row>
    <row r="23" spans="1:16" x14ac:dyDescent="0.3">
      <c r="A23" s="11">
        <v>2041</v>
      </c>
      <c r="B23" s="12">
        <v>0.28688900000000001</v>
      </c>
      <c r="C23" s="12">
        <v>0.59478299999999995</v>
      </c>
      <c r="D23" s="12">
        <v>0.118328</v>
      </c>
      <c r="E23" s="12">
        <v>7.6772999999999994E-2</v>
      </c>
      <c r="F23" s="12">
        <v>0.399038</v>
      </c>
      <c r="G23" s="12">
        <v>0.22412699999999999</v>
      </c>
      <c r="H23" s="12">
        <v>0.65066100000000004</v>
      </c>
      <c r="I23" s="12">
        <v>0.12521099999999999</v>
      </c>
      <c r="J23" s="12">
        <v>0.14701700000000001</v>
      </c>
      <c r="K23" s="12">
        <v>0.349105</v>
      </c>
      <c r="L23" s="12">
        <v>0.37939400000000001</v>
      </c>
      <c r="M23" s="12">
        <v>0.50781500000000002</v>
      </c>
      <c r="N23" s="12">
        <v>0.112791</v>
      </c>
      <c r="O23" s="12">
        <v>3.4469E-2</v>
      </c>
      <c r="P23" s="12">
        <v>0.47010299999999999</v>
      </c>
    </row>
    <row r="24" spans="1:16" x14ac:dyDescent="0.3">
      <c r="A24" s="11">
        <v>2042</v>
      </c>
      <c r="B24" s="12">
        <v>0.25614100000000001</v>
      </c>
      <c r="C24" s="12">
        <v>0.63509800000000005</v>
      </c>
      <c r="D24" s="12">
        <v>0.108761</v>
      </c>
      <c r="E24" s="12">
        <v>8.7715000000000001E-2</v>
      </c>
      <c r="F24" s="12">
        <v>0.36574299999999998</v>
      </c>
      <c r="G24" s="12">
        <v>0.19750599999999999</v>
      </c>
      <c r="H24" s="12">
        <v>0.68802399999999997</v>
      </c>
      <c r="I24" s="12">
        <v>0.11447</v>
      </c>
      <c r="J24" s="12">
        <v>0.16694500000000001</v>
      </c>
      <c r="K24" s="12">
        <v>0.315693</v>
      </c>
      <c r="L24" s="12">
        <v>0.34231800000000001</v>
      </c>
      <c r="M24" s="12">
        <v>0.55210099999999995</v>
      </c>
      <c r="N24" s="12">
        <v>0.10558099999999999</v>
      </c>
      <c r="O24" s="12">
        <v>3.9337999999999998E-2</v>
      </c>
      <c r="P24" s="12">
        <v>0.43819200000000003</v>
      </c>
    </row>
    <row r="25" spans="1:16" x14ac:dyDescent="0.3">
      <c r="A25" s="11">
        <v>2043</v>
      </c>
      <c r="B25" s="12">
        <v>0.22978299999999999</v>
      </c>
      <c r="C25" s="12">
        <v>0.67027300000000001</v>
      </c>
      <c r="D25" s="12">
        <v>9.9943000000000004E-2</v>
      </c>
      <c r="E25" s="12">
        <v>9.9299999999999999E-2</v>
      </c>
      <c r="F25" s="12">
        <v>0.33306799999999998</v>
      </c>
      <c r="G25" s="12">
        <v>0.174926</v>
      </c>
      <c r="H25" s="12">
        <v>0.72042399999999995</v>
      </c>
      <c r="I25" s="12">
        <v>0.10464900000000001</v>
      </c>
      <c r="J25" s="12">
        <v>0.187473</v>
      </c>
      <c r="K25" s="12">
        <v>0.28354499999999999</v>
      </c>
      <c r="L25" s="12">
        <v>0.31015500000000001</v>
      </c>
      <c r="M25" s="12">
        <v>0.59237300000000004</v>
      </c>
      <c r="N25" s="12">
        <v>9.7472000000000003E-2</v>
      </c>
      <c r="O25" s="12">
        <v>4.4618999999999999E-2</v>
      </c>
      <c r="P25" s="12">
        <v>0.40645399999999998</v>
      </c>
    </row>
    <row r="26" spans="1:16" x14ac:dyDescent="0.3">
      <c r="A26" s="11">
        <v>2044</v>
      </c>
      <c r="B26" s="12">
        <v>0.207647</v>
      </c>
      <c r="C26" s="12">
        <v>0.70013899999999996</v>
      </c>
      <c r="D26" s="12">
        <v>9.2214000000000004E-2</v>
      </c>
      <c r="E26" s="12">
        <v>0.111613</v>
      </c>
      <c r="F26" s="12">
        <v>0.30264000000000002</v>
      </c>
      <c r="G26" s="12">
        <v>0.15609799999999999</v>
      </c>
      <c r="H26" s="12">
        <v>0.74788699999999997</v>
      </c>
      <c r="I26" s="12">
        <v>9.6015000000000003E-2</v>
      </c>
      <c r="J26" s="12">
        <v>0.208671</v>
      </c>
      <c r="K26" s="12">
        <v>0.25412200000000001</v>
      </c>
      <c r="L26" s="12">
        <v>0.28281299999999998</v>
      </c>
      <c r="M26" s="12">
        <v>0.62699199999999999</v>
      </c>
      <c r="N26" s="12">
        <v>9.0194999999999997E-2</v>
      </c>
      <c r="O26" s="12">
        <v>5.0374000000000002E-2</v>
      </c>
      <c r="P26" s="12">
        <v>0.37616100000000002</v>
      </c>
    </row>
    <row r="27" spans="1:16" x14ac:dyDescent="0.3">
      <c r="A27" s="11">
        <v>2045</v>
      </c>
      <c r="B27" s="12">
        <v>0.188746</v>
      </c>
      <c r="C27" s="12">
        <v>0.72597999999999996</v>
      </c>
      <c r="D27" s="12">
        <v>8.5274000000000003E-2</v>
      </c>
      <c r="E27" s="12">
        <v>0.12472</v>
      </c>
      <c r="F27" s="12">
        <v>0.27448499999999998</v>
      </c>
      <c r="G27" s="12">
        <v>0.14013200000000001</v>
      </c>
      <c r="H27" s="12">
        <v>0.77154900000000004</v>
      </c>
      <c r="I27" s="12">
        <v>8.8318999999999995E-2</v>
      </c>
      <c r="J27" s="12">
        <v>0.230577</v>
      </c>
      <c r="K27" s="12">
        <v>0.22726099999999999</v>
      </c>
      <c r="L27" s="12">
        <v>0.259295</v>
      </c>
      <c r="M27" s="12">
        <v>0.657111</v>
      </c>
      <c r="N27" s="12">
        <v>8.3594000000000002E-2</v>
      </c>
      <c r="O27" s="12">
        <v>5.6663999999999999E-2</v>
      </c>
      <c r="P27" s="12">
        <v>0.34762399999999999</v>
      </c>
    </row>
    <row r="28" spans="1:16" x14ac:dyDescent="0.3">
      <c r="A28" s="11">
        <v>2046</v>
      </c>
      <c r="B28" s="12">
        <v>0.17177700000000001</v>
      </c>
      <c r="C28" s="12">
        <v>0.749417</v>
      </c>
      <c r="D28" s="12">
        <v>7.8806000000000001E-2</v>
      </c>
      <c r="E28" s="12">
        <v>0.13850899999999999</v>
      </c>
      <c r="F28" s="12">
        <v>0.24810499999999999</v>
      </c>
      <c r="G28" s="12">
        <v>0.12592100000000001</v>
      </c>
      <c r="H28" s="12">
        <v>0.79285099999999997</v>
      </c>
      <c r="I28" s="12">
        <v>8.1226999999999994E-2</v>
      </c>
      <c r="J28" s="12">
        <v>0.25293399999999999</v>
      </c>
      <c r="K28" s="12">
        <v>0.202375</v>
      </c>
      <c r="L28" s="12">
        <v>0.238064</v>
      </c>
      <c r="M28" s="12">
        <v>0.68454400000000004</v>
      </c>
      <c r="N28" s="12">
        <v>7.7392000000000002E-2</v>
      </c>
      <c r="O28" s="12">
        <v>6.3463000000000006E-2</v>
      </c>
      <c r="P28" s="12">
        <v>0.320573</v>
      </c>
    </row>
    <row r="29" spans="1:16" x14ac:dyDescent="0.3">
      <c r="A29" s="11">
        <v>2047</v>
      </c>
      <c r="B29" s="12">
        <v>0.15651599999999999</v>
      </c>
      <c r="C29" s="12">
        <v>0.770567</v>
      </c>
      <c r="D29" s="12">
        <v>7.2916999999999996E-2</v>
      </c>
      <c r="E29" s="12">
        <v>0.152862</v>
      </c>
      <c r="F29" s="12">
        <v>0.22371199999999999</v>
      </c>
      <c r="G29" s="12">
        <v>0.11321100000000001</v>
      </c>
      <c r="H29" s="12">
        <v>0.812002</v>
      </c>
      <c r="I29" s="12">
        <v>7.4787000000000006E-2</v>
      </c>
      <c r="J29" s="12">
        <v>0.27552199999999999</v>
      </c>
      <c r="K29" s="12">
        <v>0.17954999999999999</v>
      </c>
      <c r="L29" s="12">
        <v>0.21892400000000001</v>
      </c>
      <c r="M29" s="12">
        <v>0.70937799999999995</v>
      </c>
      <c r="N29" s="12">
        <v>7.1696999999999997E-2</v>
      </c>
      <c r="O29" s="12">
        <v>7.0734000000000005E-2</v>
      </c>
      <c r="P29" s="12">
        <v>0.29528900000000002</v>
      </c>
    </row>
    <row r="30" spans="1:16" x14ac:dyDescent="0.3">
      <c r="A30" s="11">
        <v>2048</v>
      </c>
      <c r="B30" s="12">
        <v>0.14263000000000001</v>
      </c>
      <c r="C30" s="12">
        <v>0.78975899999999999</v>
      </c>
      <c r="D30" s="12">
        <v>6.7611000000000004E-2</v>
      </c>
      <c r="E30" s="12">
        <v>0.167713</v>
      </c>
      <c r="F30" s="12">
        <v>0.201353</v>
      </c>
      <c r="G30" s="12">
        <v>0.10169400000000001</v>
      </c>
      <c r="H30" s="12">
        <v>0.82933500000000004</v>
      </c>
      <c r="I30" s="12">
        <v>6.8972000000000006E-2</v>
      </c>
      <c r="J30" s="12">
        <v>0.29822399999999999</v>
      </c>
      <c r="K30" s="12">
        <v>0.15874199999999999</v>
      </c>
      <c r="L30" s="12">
        <v>0.20147999999999999</v>
      </c>
      <c r="M30" s="12">
        <v>0.73198200000000002</v>
      </c>
      <c r="N30" s="12">
        <v>6.6536999999999999E-2</v>
      </c>
      <c r="O30" s="12">
        <v>7.8458E-2</v>
      </c>
      <c r="P30" s="12">
        <v>0.27187099999999997</v>
      </c>
    </row>
    <row r="31" spans="1:16" x14ac:dyDescent="0.3">
      <c r="A31" s="11">
        <v>2049</v>
      </c>
      <c r="B31" s="12">
        <v>0.13039000000000001</v>
      </c>
      <c r="C31" s="12">
        <v>0.80671899999999996</v>
      </c>
      <c r="D31" s="12">
        <v>6.2891000000000002E-2</v>
      </c>
      <c r="E31" s="12">
        <v>0.183004</v>
      </c>
      <c r="F31" s="12">
        <v>0.181396</v>
      </c>
      <c r="G31" s="12">
        <v>9.1507000000000005E-2</v>
      </c>
      <c r="H31" s="12">
        <v>0.84467499999999995</v>
      </c>
      <c r="I31" s="12">
        <v>6.3818E-2</v>
      </c>
      <c r="J31" s="12">
        <v>0.32091500000000001</v>
      </c>
      <c r="K31" s="12">
        <v>0.14025499999999999</v>
      </c>
      <c r="L31" s="12">
        <v>0.18615200000000001</v>
      </c>
      <c r="M31" s="12">
        <v>0.75191799999999998</v>
      </c>
      <c r="N31" s="12">
        <v>6.1928999999999998E-2</v>
      </c>
      <c r="O31" s="12">
        <v>8.6625999999999995E-2</v>
      </c>
      <c r="P31" s="12">
        <v>0.25072800000000001</v>
      </c>
    </row>
    <row r="32" spans="1:16" x14ac:dyDescent="0.3">
      <c r="A32" s="11">
        <v>2050</v>
      </c>
      <c r="B32" s="12">
        <v>0.119794</v>
      </c>
      <c r="C32" s="12">
        <v>0.82149799999999995</v>
      </c>
      <c r="D32" s="12">
        <v>5.8708000000000003E-2</v>
      </c>
      <c r="E32" s="12">
        <v>0.19863500000000001</v>
      </c>
      <c r="F32" s="12">
        <v>0.16389300000000001</v>
      </c>
      <c r="G32" s="12">
        <v>8.2622000000000001E-2</v>
      </c>
      <c r="H32" s="12">
        <v>0.85799199999999998</v>
      </c>
      <c r="I32" s="12">
        <v>5.9386000000000001E-2</v>
      </c>
      <c r="J32" s="12">
        <v>0.34339399999999998</v>
      </c>
      <c r="K32" s="12">
        <v>0.1241</v>
      </c>
      <c r="L32" s="12">
        <v>0.172955</v>
      </c>
      <c r="M32" s="12">
        <v>0.76919000000000004</v>
      </c>
      <c r="N32" s="12">
        <v>5.7855999999999998E-2</v>
      </c>
      <c r="O32" s="12">
        <v>9.5209000000000002E-2</v>
      </c>
      <c r="P32" s="12">
        <v>0.231935</v>
      </c>
    </row>
    <row r="34" spans="1:1" x14ac:dyDescent="0.3">
      <c r="A34" s="2" t="s">
        <v>40</v>
      </c>
    </row>
  </sheetData>
  <mergeCells count="3">
    <mergeCell ref="L5:P5"/>
    <mergeCell ref="G5:K5"/>
    <mergeCell ref="B5:F5"/>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67"/>
  <sheetViews>
    <sheetView showGridLines="0" topLeftCell="A45" workbookViewId="0">
      <selection activeCell="H17" sqref="H17"/>
    </sheetView>
  </sheetViews>
  <sheetFormatPr defaultRowHeight="14.4" x14ac:dyDescent="0.3"/>
  <cols>
    <col min="1" max="1" width="44" customWidth="1"/>
    <col min="2" max="11" width="13" customWidth="1"/>
  </cols>
  <sheetData>
    <row r="1" spans="1:11" ht="17.399999999999999" x14ac:dyDescent="0.3">
      <c r="A1" s="1" t="s">
        <v>41</v>
      </c>
    </row>
    <row r="2" spans="1:11" x14ac:dyDescent="0.3">
      <c r="A2" s="2" t="s">
        <v>42</v>
      </c>
    </row>
    <row r="4" spans="1:11" x14ac:dyDescent="0.3">
      <c r="A4" s="3" t="s">
        <v>43</v>
      </c>
      <c r="B4" s="4"/>
      <c r="C4" s="4"/>
      <c r="D4" s="4"/>
      <c r="E4" s="4"/>
      <c r="F4" s="4"/>
      <c r="G4" s="4"/>
      <c r="H4" s="4"/>
      <c r="I4" s="4"/>
      <c r="J4" s="4"/>
      <c r="K4" s="4"/>
    </row>
    <row r="5" spans="1:11" ht="25.95" customHeight="1" x14ac:dyDescent="0.3">
      <c r="A5" s="40" t="s">
        <v>44</v>
      </c>
      <c r="B5" s="41"/>
      <c r="C5" s="41"/>
      <c r="D5" s="41"/>
      <c r="E5" s="41"/>
      <c r="F5" s="41"/>
      <c r="G5" s="41"/>
      <c r="H5" s="41"/>
      <c r="I5" s="41"/>
      <c r="J5" s="41"/>
    </row>
    <row r="6" spans="1:11" ht="25.95" customHeight="1" x14ac:dyDescent="0.3">
      <c r="A6" s="40" t="s">
        <v>45</v>
      </c>
      <c r="B6" s="41"/>
      <c r="C6" s="41"/>
      <c r="D6" s="41"/>
      <c r="E6" s="41"/>
      <c r="F6" s="41"/>
      <c r="G6" s="41"/>
      <c r="H6" s="41"/>
      <c r="I6" s="41"/>
      <c r="J6" s="41"/>
    </row>
    <row r="7" spans="1:11" ht="25.95" customHeight="1" x14ac:dyDescent="0.3">
      <c r="A7" s="40" t="s">
        <v>46</v>
      </c>
      <c r="B7" s="41"/>
      <c r="C7" s="41"/>
      <c r="D7" s="41"/>
      <c r="E7" s="41"/>
      <c r="F7" s="41"/>
      <c r="G7" s="41"/>
      <c r="H7" s="41"/>
      <c r="I7" s="41"/>
      <c r="J7" s="41"/>
    </row>
    <row r="8" spans="1:11" ht="25.95" customHeight="1" x14ac:dyDescent="0.3">
      <c r="A8" s="40" t="s">
        <v>47</v>
      </c>
      <c r="B8" s="41"/>
      <c r="C8" s="41"/>
      <c r="D8" s="41"/>
      <c r="E8" s="41"/>
      <c r="F8" s="41"/>
      <c r="G8" s="41"/>
      <c r="H8" s="41"/>
      <c r="I8" s="41"/>
      <c r="J8" s="41"/>
    </row>
    <row r="10" spans="1:11" x14ac:dyDescent="0.3">
      <c r="A10" s="3" t="s">
        <v>48</v>
      </c>
      <c r="B10" s="4"/>
      <c r="C10" s="4"/>
      <c r="D10" s="4"/>
      <c r="E10" s="4"/>
      <c r="F10" s="4"/>
      <c r="G10" s="4"/>
      <c r="H10" s="4"/>
      <c r="I10" s="4"/>
      <c r="J10" s="4"/>
      <c r="K10" s="4"/>
    </row>
    <row r="11" spans="1:11" ht="30" customHeight="1" x14ac:dyDescent="0.3">
      <c r="A11" s="42" t="s">
        <v>49</v>
      </c>
      <c r="B11" s="41"/>
      <c r="C11" s="41"/>
      <c r="D11" s="41"/>
      <c r="E11" s="41"/>
      <c r="F11" s="41"/>
      <c r="G11" s="41"/>
      <c r="H11" s="41"/>
      <c r="I11" s="41"/>
      <c r="J11" s="41"/>
    </row>
    <row r="12" spans="1:11" ht="48" x14ac:dyDescent="0.3">
      <c r="A12" s="10" t="s">
        <v>34</v>
      </c>
      <c r="B12" s="10" t="s">
        <v>50</v>
      </c>
      <c r="C12" s="10" t="s">
        <v>51</v>
      </c>
      <c r="D12" s="10" t="s">
        <v>52</v>
      </c>
    </row>
    <row r="13" spans="1:11" x14ac:dyDescent="0.3">
      <c r="A13" s="11">
        <v>2025</v>
      </c>
      <c r="B13" s="13">
        <f>'2. MoT VFM curves'!C7</f>
        <v>7.2132000000000002E-2</v>
      </c>
    </row>
    <row r="14" spans="1:11" x14ac:dyDescent="0.3">
      <c r="A14" s="11">
        <v>2026</v>
      </c>
      <c r="B14" s="13">
        <f>'2. MoT VFM curves'!C8</f>
        <v>8.43E-2</v>
      </c>
      <c r="C14" s="14">
        <f t="shared" ref="C14:C38" si="0">(B14+B13)/2</f>
        <v>7.8216000000000008E-2</v>
      </c>
      <c r="D14" s="15">
        <f t="shared" ref="D14:D38" si="1">(B14-B13)/C14</f>
        <v>0.15556919300398891</v>
      </c>
      <c r="F14" s="45" t="s">
        <v>53</v>
      </c>
      <c r="G14" s="46"/>
      <c r="H14" s="17">
        <f>RSQ(D14:D38,C14:C38)</f>
        <v>0.96335134109594933</v>
      </c>
    </row>
    <row r="15" spans="1:11" x14ac:dyDescent="0.3">
      <c r="A15" s="11">
        <v>2027</v>
      </c>
      <c r="B15" s="13">
        <f>'2. MoT VFM curves'!C9</f>
        <v>0.100828</v>
      </c>
      <c r="C15" s="14">
        <f t="shared" si="0"/>
        <v>9.2564000000000007E-2</v>
      </c>
      <c r="D15" s="15">
        <f t="shared" si="1"/>
        <v>0.17855753856790976</v>
      </c>
      <c r="F15" s="45" t="s">
        <v>54</v>
      </c>
      <c r="G15" s="46"/>
      <c r="H15" s="17">
        <f>INTERCEPT(D14:D38,C14:C38)</f>
        <v>0.19140328112368177</v>
      </c>
    </row>
    <row r="16" spans="1:11" x14ac:dyDescent="0.3">
      <c r="A16" s="11">
        <v>2028</v>
      </c>
      <c r="B16" s="13">
        <f>'2. MoT VFM curves'!C10</f>
        <v>0.122362</v>
      </c>
      <c r="C16" s="14">
        <f t="shared" si="0"/>
        <v>0.111595</v>
      </c>
      <c r="D16" s="15">
        <f t="shared" si="1"/>
        <v>0.1929656346610511</v>
      </c>
      <c r="F16" s="45" t="s">
        <v>55</v>
      </c>
      <c r="G16" s="46"/>
      <c r="H16" s="17">
        <f>-INTERCEPT(D14:D38,C14:C38)/SLOPE(D14:D38,C14:C38)</f>
        <v>0.90220516215784397</v>
      </c>
    </row>
    <row r="17" spans="1:10" x14ac:dyDescent="0.3">
      <c r="A17" s="11">
        <v>2029</v>
      </c>
      <c r="B17" s="13">
        <f>'2. MoT VFM curves'!C11</f>
        <v>0.14713000000000001</v>
      </c>
      <c r="C17" s="14">
        <f t="shared" si="0"/>
        <v>0.134746</v>
      </c>
      <c r="D17" s="15">
        <f t="shared" si="1"/>
        <v>0.18381250649369935</v>
      </c>
      <c r="F17" s="45" t="s">
        <v>56</v>
      </c>
      <c r="G17" s="46"/>
      <c r="H17" s="18">
        <f>B130</f>
        <v>0.18468481477404822</v>
      </c>
    </row>
    <row r="18" spans="1:10" x14ac:dyDescent="0.3">
      <c r="A18" s="11">
        <v>2030</v>
      </c>
      <c r="B18" s="13">
        <f>'2. MoT VFM curves'!C12</f>
        <v>0.172989</v>
      </c>
      <c r="C18" s="14">
        <f t="shared" si="0"/>
        <v>0.16005950000000002</v>
      </c>
      <c r="D18" s="15">
        <f t="shared" si="1"/>
        <v>0.16155867036945629</v>
      </c>
      <c r="F18" s="45" t="s">
        <v>57</v>
      </c>
      <c r="G18" s="46"/>
      <c r="H18" s="18">
        <f>B129</f>
        <v>0.92048715649949742</v>
      </c>
    </row>
    <row r="19" spans="1:10" x14ac:dyDescent="0.3">
      <c r="A19" s="11">
        <v>2031</v>
      </c>
      <c r="B19" s="13">
        <f>'2. MoT VFM curves'!C13</f>
        <v>0.199459</v>
      </c>
      <c r="C19" s="14">
        <f t="shared" si="0"/>
        <v>0.186224</v>
      </c>
      <c r="D19" s="15">
        <f t="shared" si="1"/>
        <v>0.1421406478219778</v>
      </c>
    </row>
    <row r="20" spans="1:10" x14ac:dyDescent="0.3">
      <c r="A20" s="11">
        <v>2032</v>
      </c>
      <c r="B20" s="13">
        <f>'2. MoT VFM curves'!C14</f>
        <v>0.227075</v>
      </c>
      <c r="C20" s="14">
        <f t="shared" si="0"/>
        <v>0.21326699999999998</v>
      </c>
      <c r="D20" s="15">
        <f t="shared" si="1"/>
        <v>0.12949026337876934</v>
      </c>
      <c r="F20" s="42" t="s">
        <v>58</v>
      </c>
      <c r="G20" s="41"/>
      <c r="H20" s="41"/>
      <c r="I20" s="41"/>
      <c r="J20" s="41"/>
    </row>
    <row r="21" spans="1:10" x14ac:dyDescent="0.3">
      <c r="A21" s="11">
        <v>2033</v>
      </c>
      <c r="B21" s="13">
        <f>'2. MoT VFM curves'!C15</f>
        <v>0.25683699999999998</v>
      </c>
      <c r="C21" s="14">
        <f t="shared" si="0"/>
        <v>0.241956</v>
      </c>
      <c r="D21" s="15">
        <f t="shared" si="1"/>
        <v>0.12300583577179315</v>
      </c>
      <c r="F21" s="41"/>
      <c r="G21" s="41"/>
      <c r="H21" s="41"/>
      <c r="I21" s="41"/>
      <c r="J21" s="41"/>
    </row>
    <row r="22" spans="1:10" x14ac:dyDescent="0.3">
      <c r="A22" s="11">
        <v>2034</v>
      </c>
      <c r="B22" s="13">
        <f>'2. MoT VFM curves'!C16</f>
        <v>0.29013600000000001</v>
      </c>
      <c r="C22" s="14">
        <f t="shared" si="0"/>
        <v>0.27348649999999997</v>
      </c>
      <c r="D22" s="15">
        <f t="shared" si="1"/>
        <v>0.12175738107731104</v>
      </c>
      <c r="F22" s="41"/>
      <c r="G22" s="41"/>
      <c r="H22" s="41"/>
      <c r="I22" s="41"/>
      <c r="J22" s="41"/>
    </row>
    <row r="23" spans="1:10" x14ac:dyDescent="0.3">
      <c r="A23" s="11">
        <v>2035</v>
      </c>
      <c r="B23" s="13">
        <f>'2. MoT VFM curves'!C17</f>
        <v>0.32715100000000003</v>
      </c>
      <c r="C23" s="14">
        <f t="shared" si="0"/>
        <v>0.30864350000000002</v>
      </c>
      <c r="D23" s="15">
        <f t="shared" si="1"/>
        <v>0.11992800755564273</v>
      </c>
    </row>
    <row r="24" spans="1:10" x14ac:dyDescent="0.3">
      <c r="A24" s="11">
        <v>2036</v>
      </c>
      <c r="B24" s="13">
        <f>'2. MoT VFM curves'!C18</f>
        <v>0.36751</v>
      </c>
      <c r="C24" s="14">
        <f t="shared" si="0"/>
        <v>0.34733049999999999</v>
      </c>
      <c r="D24" s="15">
        <f t="shared" si="1"/>
        <v>0.11619768491393638</v>
      </c>
    </row>
    <row r="25" spans="1:10" x14ac:dyDescent="0.3">
      <c r="A25" s="11">
        <v>2037</v>
      </c>
      <c r="B25" s="13">
        <f>'2. MoT VFM curves'!C19</f>
        <v>0.41101199999999999</v>
      </c>
      <c r="C25" s="14">
        <f t="shared" si="0"/>
        <v>0.38926099999999997</v>
      </c>
      <c r="D25" s="15">
        <f t="shared" si="1"/>
        <v>0.11175535180765601</v>
      </c>
    </row>
    <row r="26" spans="1:10" x14ac:dyDescent="0.3">
      <c r="A26" s="11">
        <v>2038</v>
      </c>
      <c r="B26" s="13">
        <f>'2. MoT VFM curves'!C20</f>
        <v>0.45656999999999998</v>
      </c>
      <c r="C26" s="14">
        <f t="shared" si="0"/>
        <v>0.43379099999999998</v>
      </c>
      <c r="D26" s="15">
        <f t="shared" si="1"/>
        <v>0.10502292578684203</v>
      </c>
    </row>
    <row r="27" spans="1:10" x14ac:dyDescent="0.3">
      <c r="A27" s="11">
        <v>2039</v>
      </c>
      <c r="B27" s="13">
        <f>'2. MoT VFM curves'!C21</f>
        <v>0.50317100000000003</v>
      </c>
      <c r="C27" s="14">
        <f t="shared" si="0"/>
        <v>0.47987049999999998</v>
      </c>
      <c r="D27" s="15">
        <f t="shared" si="1"/>
        <v>9.7111616571554329E-2</v>
      </c>
    </row>
    <row r="28" spans="1:10" x14ac:dyDescent="0.3">
      <c r="A28" s="11">
        <v>2040</v>
      </c>
      <c r="B28" s="13">
        <f>'2. MoT VFM curves'!C22</f>
        <v>0.55000899999999997</v>
      </c>
      <c r="C28" s="14">
        <f t="shared" si="0"/>
        <v>0.52659</v>
      </c>
      <c r="D28" s="15">
        <f t="shared" si="1"/>
        <v>8.8945859207352845E-2</v>
      </c>
    </row>
    <row r="29" spans="1:10" x14ac:dyDescent="0.3">
      <c r="A29" s="11">
        <v>2041</v>
      </c>
      <c r="B29" s="13">
        <f>'2. MoT VFM curves'!C23</f>
        <v>0.59478299999999995</v>
      </c>
      <c r="C29" s="14">
        <f t="shared" si="0"/>
        <v>0.5723959999999999</v>
      </c>
      <c r="D29" s="15">
        <f t="shared" si="1"/>
        <v>7.8222070035429997E-2</v>
      </c>
    </row>
    <row r="30" spans="1:10" x14ac:dyDescent="0.3">
      <c r="A30" s="11">
        <v>2042</v>
      </c>
      <c r="B30" s="13">
        <f>'2. MoT VFM curves'!C24</f>
        <v>0.63509800000000005</v>
      </c>
      <c r="C30" s="14">
        <f t="shared" si="0"/>
        <v>0.6149405</v>
      </c>
      <c r="D30" s="15">
        <f t="shared" si="1"/>
        <v>6.5559188246667927E-2</v>
      </c>
    </row>
    <row r="31" spans="1:10" x14ac:dyDescent="0.3">
      <c r="A31" s="11">
        <v>2043</v>
      </c>
      <c r="B31" s="13">
        <f>'2. MoT VFM curves'!C25</f>
        <v>0.67027300000000001</v>
      </c>
      <c r="C31" s="14">
        <f t="shared" si="0"/>
        <v>0.65268550000000003</v>
      </c>
      <c r="D31" s="15">
        <f t="shared" si="1"/>
        <v>5.3892724750281652E-2</v>
      </c>
    </row>
    <row r="32" spans="1:10" x14ac:dyDescent="0.3">
      <c r="A32" s="11">
        <v>2044</v>
      </c>
      <c r="B32" s="13">
        <f>'2. MoT VFM curves'!C26</f>
        <v>0.70013899999999996</v>
      </c>
      <c r="C32" s="14">
        <f t="shared" si="0"/>
        <v>0.68520599999999998</v>
      </c>
      <c r="D32" s="15">
        <f t="shared" si="1"/>
        <v>4.358689211711507E-2</v>
      </c>
    </row>
    <row r="33" spans="1:11" x14ac:dyDescent="0.3">
      <c r="A33" s="11">
        <v>2045</v>
      </c>
      <c r="B33" s="13">
        <f>'2. MoT VFM curves'!C27</f>
        <v>0.72597999999999996</v>
      </c>
      <c r="C33" s="14">
        <f t="shared" si="0"/>
        <v>0.71305949999999996</v>
      </c>
      <c r="D33" s="15">
        <f t="shared" si="1"/>
        <v>3.6239612542852323E-2</v>
      </c>
    </row>
    <row r="34" spans="1:11" x14ac:dyDescent="0.3">
      <c r="A34" s="11">
        <v>2046</v>
      </c>
      <c r="B34" s="13">
        <f>'2. MoT VFM curves'!C28</f>
        <v>0.749417</v>
      </c>
      <c r="C34" s="14">
        <f t="shared" si="0"/>
        <v>0.73769850000000003</v>
      </c>
      <c r="D34" s="15">
        <f t="shared" si="1"/>
        <v>3.1770431958313645E-2</v>
      </c>
    </row>
    <row r="35" spans="1:11" x14ac:dyDescent="0.3">
      <c r="A35" s="11">
        <v>2047</v>
      </c>
      <c r="B35" s="13">
        <f>'2. MoT VFM curves'!C29</f>
        <v>0.770567</v>
      </c>
      <c r="C35" s="14">
        <f t="shared" si="0"/>
        <v>0.759992</v>
      </c>
      <c r="D35" s="15">
        <f t="shared" si="1"/>
        <v>2.7829240307792717E-2</v>
      </c>
    </row>
    <row r="36" spans="1:11" x14ac:dyDescent="0.3">
      <c r="A36" s="11">
        <v>2048</v>
      </c>
      <c r="B36" s="13">
        <f>'2. MoT VFM curves'!C30</f>
        <v>0.78975899999999999</v>
      </c>
      <c r="C36" s="14">
        <f t="shared" si="0"/>
        <v>0.78016299999999994</v>
      </c>
      <c r="D36" s="15">
        <f t="shared" si="1"/>
        <v>2.4599987438522448E-2</v>
      </c>
    </row>
    <row r="37" spans="1:11" x14ac:dyDescent="0.3">
      <c r="A37" s="11">
        <v>2049</v>
      </c>
      <c r="B37" s="13">
        <f>'2. MoT VFM curves'!C31</f>
        <v>0.80671899999999996</v>
      </c>
      <c r="C37" s="14">
        <f t="shared" si="0"/>
        <v>0.79823899999999992</v>
      </c>
      <c r="D37" s="15">
        <f t="shared" si="1"/>
        <v>2.1246769451254546E-2</v>
      </c>
    </row>
    <row r="38" spans="1:11" x14ac:dyDescent="0.3">
      <c r="A38" s="11">
        <v>2050</v>
      </c>
      <c r="B38" s="13">
        <f>'2. MoT VFM curves'!C32</f>
        <v>0.82149799999999995</v>
      </c>
      <c r="C38" s="14">
        <f t="shared" si="0"/>
        <v>0.8141084999999999</v>
      </c>
      <c r="D38" s="15">
        <f t="shared" si="1"/>
        <v>1.8153599919421046E-2</v>
      </c>
    </row>
    <row r="40" spans="1:11" x14ac:dyDescent="0.3">
      <c r="A40" s="3" t="s">
        <v>59</v>
      </c>
      <c r="B40" s="4"/>
      <c r="C40" s="4"/>
      <c r="D40" s="4"/>
      <c r="E40" s="4"/>
      <c r="F40" s="4"/>
      <c r="G40" s="4"/>
      <c r="H40" s="4"/>
      <c r="I40" s="4"/>
      <c r="J40" s="4"/>
      <c r="K40" s="4"/>
    </row>
    <row r="41" spans="1:11" ht="36" x14ac:dyDescent="0.3">
      <c r="A41" s="10" t="s">
        <v>60</v>
      </c>
      <c r="B41" s="10" t="s">
        <v>61</v>
      </c>
      <c r="C41" s="10" t="s">
        <v>62</v>
      </c>
      <c r="D41" s="10" t="s">
        <v>63</v>
      </c>
      <c r="E41" s="10" t="s">
        <v>64</v>
      </c>
    </row>
    <row r="42" spans="1:11" x14ac:dyDescent="0.3">
      <c r="A42" s="19" t="s">
        <v>65</v>
      </c>
      <c r="B42" s="20">
        <v>3</v>
      </c>
      <c r="C42" s="21">
        <v>0.72364484831121001</v>
      </c>
      <c r="D42" s="21">
        <v>2.5743191584253249</v>
      </c>
      <c r="E42" s="22">
        <v>79.299269483032461</v>
      </c>
    </row>
    <row r="43" spans="1:11" x14ac:dyDescent="0.3">
      <c r="A43" s="19" t="s">
        <v>66</v>
      </c>
      <c r="B43" s="20">
        <v>2</v>
      </c>
      <c r="C43" s="21">
        <v>2.020498127892759</v>
      </c>
      <c r="D43" s="21">
        <v>4.9687328414029572</v>
      </c>
      <c r="E43" s="22">
        <v>93.356834883442005</v>
      </c>
    </row>
    <row r="44" spans="1:11" x14ac:dyDescent="0.3">
      <c r="A44" s="19" t="s">
        <v>67</v>
      </c>
      <c r="B44" s="20">
        <v>3</v>
      </c>
      <c r="C44" s="21">
        <v>2.155421862407445</v>
      </c>
      <c r="D44" s="21">
        <v>8.1224500891555493</v>
      </c>
      <c r="E44" s="22">
        <v>99.986758015234642</v>
      </c>
    </row>
    <row r="45" spans="1:11" x14ac:dyDescent="0.3">
      <c r="A45" s="19" t="s">
        <v>68</v>
      </c>
      <c r="B45" s="20">
        <v>4</v>
      </c>
      <c r="C45" s="21">
        <v>0.37174562666850242</v>
      </c>
      <c r="D45" s="21">
        <v>11.70054839869524</v>
      </c>
      <c r="E45" s="22">
        <v>104.3240724965861</v>
      </c>
    </row>
    <row r="46" spans="1:11" x14ac:dyDescent="0.3">
      <c r="A46" s="19" t="s">
        <v>69</v>
      </c>
      <c r="B46" s="20">
        <v>3</v>
      </c>
      <c r="C46" s="21">
        <v>0.35038036490171998</v>
      </c>
      <c r="D46" s="21">
        <v>12.68666938825327</v>
      </c>
      <c r="E46" s="22">
        <v>106.1719340884481</v>
      </c>
    </row>
    <row r="47" spans="1:11" x14ac:dyDescent="0.3">
      <c r="A47" s="19" t="s">
        <v>70</v>
      </c>
      <c r="B47" s="20">
        <v>3</v>
      </c>
      <c r="C47" s="21">
        <v>3.7833293600504319</v>
      </c>
      <c r="D47" s="21">
        <v>20.37244873393859</v>
      </c>
      <c r="E47" s="22">
        <v>55.117074951619657</v>
      </c>
    </row>
    <row r="48" spans="1:11" x14ac:dyDescent="0.3">
      <c r="A48" s="19" t="s">
        <v>71</v>
      </c>
      <c r="B48" s="20">
        <v>4</v>
      </c>
      <c r="C48" s="21">
        <v>0.33810598644109158</v>
      </c>
      <c r="D48" s="21">
        <v>26.967255356525719</v>
      </c>
      <c r="E48" s="22">
        <v>132.87203891925171</v>
      </c>
    </row>
    <row r="49" spans="1:11" x14ac:dyDescent="0.3">
      <c r="A49" s="19" t="s">
        <v>72</v>
      </c>
      <c r="B49" s="20">
        <v>2</v>
      </c>
      <c r="C49" s="21">
        <v>8.5931676016010492</v>
      </c>
      <c r="D49" s="21">
        <v>31.172928528686171</v>
      </c>
      <c r="E49" s="22">
        <v>48.498794752048759</v>
      </c>
    </row>
    <row r="50" spans="1:11" x14ac:dyDescent="0.3">
      <c r="A50" s="19" t="s">
        <v>73</v>
      </c>
      <c r="B50" s="20">
        <v>2</v>
      </c>
      <c r="C50" s="21">
        <v>1.9207926879749431</v>
      </c>
      <c r="D50" s="21">
        <v>75.183399095935471</v>
      </c>
      <c r="E50" s="22">
        <v>226.71540190190069</v>
      </c>
    </row>
    <row r="52" spans="1:11" ht="30" customHeight="1" x14ac:dyDescent="0.3">
      <c r="A52" s="42" t="s">
        <v>74</v>
      </c>
      <c r="B52" s="41"/>
      <c r="C52" s="41"/>
      <c r="D52" s="41"/>
      <c r="E52" s="41"/>
      <c r="F52" s="41"/>
      <c r="G52" s="41"/>
      <c r="H52" s="41"/>
      <c r="I52" s="41"/>
      <c r="J52" s="41"/>
    </row>
    <row r="54" spans="1:11" ht="30" customHeight="1" x14ac:dyDescent="0.3">
      <c r="A54" s="42" t="s">
        <v>75</v>
      </c>
      <c r="B54" s="41"/>
      <c r="C54" s="41"/>
      <c r="D54" s="41"/>
      <c r="E54" s="41"/>
      <c r="F54" s="41"/>
      <c r="G54" s="41"/>
      <c r="H54" s="41"/>
      <c r="I54" s="41"/>
      <c r="J54" s="41"/>
    </row>
    <row r="56" spans="1:11" x14ac:dyDescent="0.3">
      <c r="A56" s="3" t="s">
        <v>76</v>
      </c>
      <c r="B56" s="4"/>
      <c r="C56" s="4"/>
      <c r="D56" s="4"/>
      <c r="E56" s="4"/>
      <c r="F56" s="4"/>
      <c r="G56" s="4"/>
      <c r="H56" s="4"/>
      <c r="I56" s="4"/>
      <c r="J56" s="4"/>
      <c r="K56" s="4"/>
    </row>
    <row r="57" spans="1:11" ht="30" customHeight="1" x14ac:dyDescent="0.3">
      <c r="A57" s="42" t="s">
        <v>77</v>
      </c>
      <c r="B57" s="41"/>
      <c r="C57" s="41"/>
      <c r="D57" s="41"/>
      <c r="E57" s="41"/>
      <c r="F57" s="41"/>
      <c r="G57" s="41"/>
      <c r="H57" s="41"/>
      <c r="I57" s="41"/>
      <c r="J57" s="41"/>
    </row>
    <row r="58" spans="1:11" ht="36" x14ac:dyDescent="0.3">
      <c r="A58" s="10" t="s">
        <v>78</v>
      </c>
      <c r="B58" s="10" t="s">
        <v>79</v>
      </c>
      <c r="C58" s="10" t="s">
        <v>80</v>
      </c>
      <c r="D58" s="10" t="s">
        <v>81</v>
      </c>
      <c r="E58" s="10" t="s">
        <v>82</v>
      </c>
      <c r="F58" s="10" t="s">
        <v>83</v>
      </c>
    </row>
    <row r="59" spans="1:11" x14ac:dyDescent="0.3">
      <c r="A59" s="11">
        <v>2023</v>
      </c>
      <c r="B59" s="12">
        <v>0.34331063089318248</v>
      </c>
      <c r="C59" s="12">
        <v>7.5551641688254595E-2</v>
      </c>
      <c r="D59" s="12">
        <v>7.1866475165059299E-2</v>
      </c>
      <c r="E59" s="14">
        <f>D59</f>
        <v>7.1866475165059299E-2</v>
      </c>
      <c r="F59" s="23">
        <f t="shared" ref="F59:F86" si="2">(E59-D59)*100</f>
        <v>0</v>
      </c>
    </row>
    <row r="60" spans="1:11" x14ac:dyDescent="0.3">
      <c r="A60" s="11">
        <v>2024</v>
      </c>
      <c r="B60" s="12">
        <v>0.2049529589461333</v>
      </c>
      <c r="C60" s="12">
        <v>6.0002576476895199E-2</v>
      </c>
      <c r="D60" s="12">
        <v>8.0931726822421002E-2</v>
      </c>
      <c r="E60" s="14">
        <f t="shared" ref="E60:E86" si="3">E59+C59*(B59-E59)</f>
        <v>9.2374526757001252E-2</v>
      </c>
      <c r="F60" s="23">
        <f t="shared" si="2"/>
        <v>1.144279993458025</v>
      </c>
    </row>
    <row r="61" spans="1:11" x14ac:dyDescent="0.3">
      <c r="A61" s="11">
        <v>2025</v>
      </c>
      <c r="B61" s="12">
        <v>0.2376194082096269</v>
      </c>
      <c r="C61" s="12">
        <v>6.4022094633969504E-2</v>
      </c>
      <c r="D61" s="12">
        <v>9.2064359333219603E-2</v>
      </c>
      <c r="E61" s="14">
        <f t="shared" si="3"/>
        <v>9.9129522744078602E-2</v>
      </c>
      <c r="F61" s="23">
        <f t="shared" si="2"/>
        <v>0.70651634108589989</v>
      </c>
    </row>
    <row r="62" spans="1:11" x14ac:dyDescent="0.3">
      <c r="A62" s="11">
        <v>2026</v>
      </c>
      <c r="B62" s="12">
        <v>0.30646485340307827</v>
      </c>
      <c r="C62" s="12">
        <v>6.8431807367609704E-2</v>
      </c>
      <c r="D62" s="12">
        <v>0.1078987776254112</v>
      </c>
      <c r="E62" s="14">
        <f t="shared" si="3"/>
        <v>0.10799593529720153</v>
      </c>
      <c r="F62" s="23">
        <f t="shared" si="2"/>
        <v>9.715767179033219E-3</v>
      </c>
    </row>
    <row r="63" spans="1:11" x14ac:dyDescent="0.3">
      <c r="A63" s="11">
        <v>2027</v>
      </c>
      <c r="B63" s="12">
        <v>0.36490650361620908</v>
      </c>
      <c r="C63" s="12">
        <v>7.39705355271289E-2</v>
      </c>
      <c r="D63" s="12">
        <v>0.12830408850752639</v>
      </c>
      <c r="E63" s="14">
        <f t="shared" si="3"/>
        <v>0.12157752206948079</v>
      </c>
      <c r="F63" s="23">
        <f t="shared" si="2"/>
        <v>-0.67265664380456025</v>
      </c>
    </row>
    <row r="64" spans="1:11" x14ac:dyDescent="0.3">
      <c r="A64" s="11">
        <v>2028</v>
      </c>
      <c r="B64" s="12">
        <v>0.40314637314757229</v>
      </c>
      <c r="C64" s="12">
        <v>7.7015788778937902E-2</v>
      </c>
      <c r="D64" s="12">
        <v>0.1511795227663629</v>
      </c>
      <c r="E64" s="14">
        <f t="shared" si="3"/>
        <v>0.13957669714376314</v>
      </c>
      <c r="F64" s="23">
        <f t="shared" si="2"/>
        <v>-1.1602825622599759</v>
      </c>
    </row>
    <row r="65" spans="1:6" x14ac:dyDescent="0.3">
      <c r="A65" s="11">
        <v>2029</v>
      </c>
      <c r="B65" s="12">
        <v>0.4216702550269405</v>
      </c>
      <c r="C65" s="12">
        <v>7.7623214763149304E-2</v>
      </c>
      <c r="D65" s="12">
        <v>0.17419275572516649</v>
      </c>
      <c r="E65" s="14">
        <f t="shared" si="3"/>
        <v>0.15987572363940561</v>
      </c>
      <c r="F65" s="23">
        <f t="shared" si="2"/>
        <v>-1.4317032085760877</v>
      </c>
    </row>
    <row r="66" spans="1:6" x14ac:dyDescent="0.3">
      <c r="A66" s="11">
        <v>2030</v>
      </c>
      <c r="B66" s="12">
        <v>0.44329284923099099</v>
      </c>
      <c r="C66" s="12">
        <v>7.69740115376326E-2</v>
      </c>
      <c r="D66" s="12">
        <v>0.19729039809550239</v>
      </c>
      <c r="E66" s="14">
        <f t="shared" si="3"/>
        <v>0.18019705677311826</v>
      </c>
      <c r="F66" s="23">
        <f t="shared" si="2"/>
        <v>-1.7093341322384132</v>
      </c>
    </row>
    <row r="67" spans="1:6" x14ac:dyDescent="0.3">
      <c r="A67" s="11">
        <v>2031</v>
      </c>
      <c r="B67" s="12">
        <v>0.468183502961314</v>
      </c>
      <c r="C67" s="12">
        <v>7.7781167197497697E-2</v>
      </c>
      <c r="D67" s="12">
        <v>0.2211401160410803</v>
      </c>
      <c r="E67" s="14">
        <f t="shared" si="3"/>
        <v>0.20044859533727316</v>
      </c>
      <c r="F67" s="23">
        <f t="shared" si="2"/>
        <v>-2.0691520703807145</v>
      </c>
    </row>
    <row r="68" spans="1:6" x14ac:dyDescent="0.3">
      <c r="A68" s="11">
        <v>2032</v>
      </c>
      <c r="B68" s="12">
        <v>0.49729868187333159</v>
      </c>
      <c r="C68" s="12">
        <v>8.0952535524639505E-2</v>
      </c>
      <c r="D68" s="12">
        <v>0.24665054484563129</v>
      </c>
      <c r="E68" s="14">
        <f t="shared" si="3"/>
        <v>0.22127332895178528</v>
      </c>
      <c r="F68" s="23">
        <f t="shared" si="2"/>
        <v>-2.5377215893846006</v>
      </c>
    </row>
    <row r="69" spans="1:6" x14ac:dyDescent="0.3">
      <c r="A69" s="11">
        <v>2033</v>
      </c>
      <c r="B69" s="12">
        <v>0.54929820145000252</v>
      </c>
      <c r="C69" s="12">
        <v>8.2906263370979796E-2</v>
      </c>
      <c r="D69" s="12">
        <v>0.27528292799523468</v>
      </c>
      <c r="E69" s="14">
        <f t="shared" si="3"/>
        <v>0.24361828113986791</v>
      </c>
      <c r="F69" s="23">
        <f t="shared" si="2"/>
        <v>-3.1664646855366767</v>
      </c>
    </row>
    <row r="70" spans="1:6" x14ac:dyDescent="0.3">
      <c r="A70" s="11">
        <v>2034</v>
      </c>
      <c r="B70" s="12">
        <v>0.59981781505554987</v>
      </c>
      <c r="C70" s="12">
        <v>8.5996443367559794E-2</v>
      </c>
      <c r="D70" s="12">
        <v>0.30705237772172839</v>
      </c>
      <c r="E70" s="14">
        <f t="shared" si="3"/>
        <v>0.26896106112032003</v>
      </c>
      <c r="F70" s="23">
        <f t="shared" si="2"/>
        <v>-3.8091316601408352</v>
      </c>
    </row>
    <row r="71" spans="1:6" x14ac:dyDescent="0.3">
      <c r="A71" s="11">
        <v>2035</v>
      </c>
      <c r="B71" s="12">
        <v>0.66174276340160154</v>
      </c>
      <c r="C71" s="12">
        <v>8.7755177458794506E-2</v>
      </c>
      <c r="D71" s="12">
        <v>0.34233731606532231</v>
      </c>
      <c r="E71" s="14">
        <f t="shared" si="3"/>
        <v>0.2974135652228857</v>
      </c>
      <c r="F71" s="23">
        <f t="shared" si="2"/>
        <v>-4.4923750842436601</v>
      </c>
    </row>
    <row r="72" spans="1:6" x14ac:dyDescent="0.3">
      <c r="A72" s="11">
        <v>2036</v>
      </c>
      <c r="B72" s="12">
        <v>0.73141930724836435</v>
      </c>
      <c r="C72" s="12">
        <v>8.9464411617116199E-2</v>
      </c>
      <c r="D72" s="12">
        <v>0.3815227226469306</v>
      </c>
      <c r="E72" s="14">
        <f t="shared" si="3"/>
        <v>0.32938533866247921</v>
      </c>
      <c r="F72" s="23">
        <f t="shared" si="2"/>
        <v>-5.2137383984451393</v>
      </c>
    </row>
    <row r="73" spans="1:6" x14ac:dyDescent="0.3">
      <c r="A73" s="11">
        <v>2037</v>
      </c>
      <c r="B73" s="12">
        <v>0.78261679612409241</v>
      </c>
      <c r="C73" s="12">
        <v>9.2510872149648399E-2</v>
      </c>
      <c r="D73" s="12">
        <v>0.42322129228738897</v>
      </c>
      <c r="E73" s="14">
        <f t="shared" si="3"/>
        <v>0.36535307111210957</v>
      </c>
      <c r="F73" s="23">
        <f t="shared" si="2"/>
        <v>-5.7868221175279402</v>
      </c>
    </row>
    <row r="74" spans="1:6" x14ac:dyDescent="0.3">
      <c r="A74" s="11">
        <v>2038</v>
      </c>
      <c r="B74" s="12">
        <v>0.82890769238979123</v>
      </c>
      <c r="C74" s="12">
        <v>9.48512381578277E-2</v>
      </c>
      <c r="D74" s="12">
        <v>0.46644065694178161</v>
      </c>
      <c r="E74" s="14">
        <f t="shared" si="3"/>
        <v>0.40395450222937918</v>
      </c>
      <c r="F74" s="23">
        <f t="shared" si="2"/>
        <v>-6.2486154712402433</v>
      </c>
    </row>
    <row r="75" spans="1:6" x14ac:dyDescent="0.3">
      <c r="A75" s="11">
        <v>2039</v>
      </c>
      <c r="B75" s="12">
        <v>0.85224129760911937</v>
      </c>
      <c r="C75" s="12">
        <v>9.8136121926749101E-2</v>
      </c>
      <c r="D75" s="12">
        <v>0.50914326424294465</v>
      </c>
      <c r="E75" s="14">
        <f t="shared" si="3"/>
        <v>0.44426183847521306</v>
      </c>
      <c r="F75" s="23">
        <f t="shared" si="2"/>
        <v>-6.4881425767731589</v>
      </c>
    </row>
    <row r="76" spans="1:6" x14ac:dyDescent="0.3">
      <c r="A76" s="11">
        <v>2040</v>
      </c>
      <c r="B76" s="12">
        <v>0.90204361041773717</v>
      </c>
      <c r="C76" s="12">
        <v>9.6543601787180106E-2</v>
      </c>
      <c r="D76" s="12">
        <v>0.5519413150489183</v>
      </c>
      <c r="E76" s="14">
        <f t="shared" si="3"/>
        <v>0.48429936042038724</v>
      </c>
      <c r="F76" s="23">
        <f t="shared" si="2"/>
        <v>-6.764195462853106</v>
      </c>
    </row>
    <row r="77" spans="1:6" x14ac:dyDescent="0.3">
      <c r="A77" s="11">
        <v>2041</v>
      </c>
      <c r="B77" s="12">
        <v>0.90791776521682044</v>
      </c>
      <c r="C77" s="12">
        <v>9.5398385925594006E-2</v>
      </c>
      <c r="D77" s="12">
        <v>0.59076190803216377</v>
      </c>
      <c r="E77" s="14">
        <f t="shared" si="3"/>
        <v>0.52462989494101564</v>
      </c>
      <c r="F77" s="23">
        <f t="shared" si="2"/>
        <v>-6.6132013091148139</v>
      </c>
    </row>
    <row r="78" spans="1:6" x14ac:dyDescent="0.3">
      <c r="A78" s="11">
        <v>2042</v>
      </c>
      <c r="B78" s="12">
        <v>0.91959052490760318</v>
      </c>
      <c r="C78" s="12">
        <v>9.4280296827096904E-2</v>
      </c>
      <c r="D78" s="12">
        <v>0.6265184372201652</v>
      </c>
      <c r="E78" s="14">
        <f t="shared" si="3"/>
        <v>0.56119493911018592</v>
      </c>
      <c r="F78" s="23">
        <f t="shared" si="2"/>
        <v>-6.5323498109979283</v>
      </c>
    </row>
    <row r="79" spans="1:6" x14ac:dyDescent="0.3">
      <c r="A79" s="11">
        <v>2043</v>
      </c>
      <c r="B79" s="12">
        <v>0.92493383656906003</v>
      </c>
      <c r="C79" s="12">
        <v>8.9977693593824806E-2</v>
      </c>
      <c r="D79" s="12">
        <v>0.658001636994484</v>
      </c>
      <c r="E79" s="14">
        <f t="shared" si="3"/>
        <v>0.59498458132068766</v>
      </c>
      <c r="F79" s="23">
        <f t="shared" si="2"/>
        <v>-6.3017055673796341</v>
      </c>
    </row>
    <row r="80" spans="1:6" x14ac:dyDescent="0.3">
      <c r="A80" s="11">
        <v>2044</v>
      </c>
      <c r="B80" s="12">
        <v>0.92949813165777539</v>
      </c>
      <c r="C80" s="12">
        <v>8.3612489407896701E-2</v>
      </c>
      <c r="D80" s="12">
        <v>0.6852149186202704</v>
      </c>
      <c r="E80" s="14">
        <f t="shared" si="3"/>
        <v>0.62467265431093644</v>
      </c>
      <c r="F80" s="23">
        <f t="shared" si="2"/>
        <v>-6.0542264309333955</v>
      </c>
    </row>
    <row r="81" spans="1:11" x14ac:dyDescent="0.3">
      <c r="A81" s="11">
        <v>2045</v>
      </c>
      <c r="B81" s="12">
        <v>0.93284792390116378</v>
      </c>
      <c r="C81" s="12">
        <v>8.0168026086337094E-2</v>
      </c>
      <c r="D81" s="12">
        <v>0.70944628499268625</v>
      </c>
      <c r="E81" s="14">
        <f t="shared" si="3"/>
        <v>0.65015987130685604</v>
      </c>
      <c r="F81" s="23">
        <f t="shared" si="2"/>
        <v>-5.9286413685830208</v>
      </c>
    </row>
    <row r="82" spans="1:11" x14ac:dyDescent="0.3">
      <c r="A82" s="11">
        <v>2046</v>
      </c>
      <c r="B82" s="12">
        <v>0.93537907598746195</v>
      </c>
      <c r="C82" s="12">
        <v>7.7175814563824899E-2</v>
      </c>
      <c r="D82" s="12">
        <v>0.73111871157708164</v>
      </c>
      <c r="E82" s="14">
        <f t="shared" si="3"/>
        <v>0.67282241448153235</v>
      </c>
      <c r="F82" s="23">
        <f t="shared" si="2"/>
        <v>-5.8296297095549292</v>
      </c>
    </row>
    <row r="83" spans="1:11" x14ac:dyDescent="0.3">
      <c r="A83" s="11">
        <v>2047</v>
      </c>
      <c r="B83" s="12">
        <v>0.93760231251942405</v>
      </c>
      <c r="C83" s="12">
        <v>7.4557669788504505E-2</v>
      </c>
      <c r="D83" s="12">
        <v>0.75061533208570042</v>
      </c>
      <c r="E83" s="14">
        <f t="shared" si="3"/>
        <v>0.69308543870241091</v>
      </c>
      <c r="F83" s="23">
        <f t="shared" si="2"/>
        <v>-5.752989338328951</v>
      </c>
    </row>
    <row r="84" spans="1:11" x14ac:dyDescent="0.3">
      <c r="A84" s="11">
        <v>2048</v>
      </c>
      <c r="B84" s="12">
        <v>0.93975810242571978</v>
      </c>
      <c r="C84" s="12">
        <v>7.2195294470405999E-2</v>
      </c>
      <c r="D84" s="12">
        <v>0.76824422151971727</v>
      </c>
      <c r="E84" s="14">
        <f t="shared" si="3"/>
        <v>0.71131604703817719</v>
      </c>
      <c r="F84" s="23">
        <f t="shared" si="2"/>
        <v>-5.6928174481540079</v>
      </c>
    </row>
    <row r="85" spans="1:11" x14ac:dyDescent="0.3">
      <c r="A85" s="11">
        <v>2049</v>
      </c>
      <c r="B85" s="12">
        <v>0.94233754907081602</v>
      </c>
      <c r="C85" s="12">
        <v>6.98542075029608E-2</v>
      </c>
      <c r="D85" s="12">
        <v>0.78424475112809466</v>
      </c>
      <c r="E85" s="14">
        <f t="shared" si="3"/>
        <v>0.72780848849630564</v>
      </c>
      <c r="F85" s="23">
        <f t="shared" si="2"/>
        <v>-5.643626263178902</v>
      </c>
    </row>
    <row r="86" spans="1:11" x14ac:dyDescent="0.3">
      <c r="A86" s="11">
        <v>2050</v>
      </c>
      <c r="B86" s="12">
        <v>0.94468438780961417</v>
      </c>
      <c r="C86" s="12">
        <v>6.8370170647210002E-2</v>
      </c>
      <c r="D86" s="12">
        <v>0.79889286258486281</v>
      </c>
      <c r="E86" s="14">
        <f t="shared" si="3"/>
        <v>0.74279424600909272</v>
      </c>
      <c r="F86" s="23">
        <f t="shared" si="2"/>
        <v>-5.6098616575770084</v>
      </c>
    </row>
    <row r="88" spans="1:11" ht="42" customHeight="1" x14ac:dyDescent="0.3">
      <c r="A88" s="42" t="s">
        <v>84</v>
      </c>
      <c r="B88" s="41"/>
      <c r="C88" s="41"/>
      <c r="D88" s="41"/>
      <c r="E88" s="41"/>
      <c r="F88" s="41"/>
      <c r="G88" s="41"/>
      <c r="H88" s="41"/>
      <c r="I88" s="41"/>
      <c r="J88" s="41"/>
    </row>
    <row r="90" spans="1:11" x14ac:dyDescent="0.3">
      <c r="A90" s="3" t="s">
        <v>85</v>
      </c>
      <c r="B90" s="4"/>
      <c r="C90" s="4"/>
      <c r="D90" s="4"/>
      <c r="E90" s="4"/>
      <c r="F90" s="4"/>
      <c r="G90" s="4"/>
      <c r="H90" s="4"/>
      <c r="I90" s="4"/>
      <c r="J90" s="4"/>
      <c r="K90" s="4"/>
    </row>
    <row r="91" spans="1:11" ht="48" x14ac:dyDescent="0.3">
      <c r="A91" s="10" t="s">
        <v>34</v>
      </c>
      <c r="B91" s="10" t="s">
        <v>86</v>
      </c>
      <c r="C91" s="10" t="s">
        <v>87</v>
      </c>
      <c r="D91" s="10" t="s">
        <v>83</v>
      </c>
    </row>
    <row r="92" spans="1:11" x14ac:dyDescent="0.3">
      <c r="A92" s="11">
        <v>2024</v>
      </c>
      <c r="B92" s="12">
        <v>3.7716011054063199E-2</v>
      </c>
      <c r="C92" s="12">
        <v>5.9430723803173609E-2</v>
      </c>
      <c r="D92" s="23">
        <f>(B92-C92)*100</f>
        <v>-2.171471274911041</v>
      </c>
    </row>
    <row r="93" spans="1:11" x14ac:dyDescent="0.3">
      <c r="A93" s="11">
        <v>2025</v>
      </c>
      <c r="B93" s="12">
        <v>6.0654621821923688E-2</v>
      </c>
      <c r="C93" s="12">
        <v>7.2131936354155129E-2</v>
      </c>
      <c r="D93" s="23">
        <f>(B93-C93)*100</f>
        <v>-1.1477314532231442</v>
      </c>
    </row>
    <row r="95" spans="1:11" ht="42" customHeight="1" x14ac:dyDescent="0.3">
      <c r="A95" s="42" t="s">
        <v>88</v>
      </c>
      <c r="B95" s="41"/>
      <c r="C95" s="41"/>
      <c r="D95" s="41"/>
      <c r="E95" s="41"/>
      <c r="F95" s="41"/>
      <c r="G95" s="41"/>
      <c r="H95" s="41"/>
      <c r="I95" s="41"/>
      <c r="J95" s="41"/>
    </row>
    <row r="112" spans="1:11" x14ac:dyDescent="0.3">
      <c r="A112" s="3" t="s">
        <v>89</v>
      </c>
      <c r="B112" s="4"/>
      <c r="C112" s="4"/>
      <c r="D112" s="4"/>
      <c r="E112" s="4"/>
      <c r="F112" s="4"/>
      <c r="G112" s="4"/>
      <c r="H112" s="4"/>
      <c r="I112" s="4"/>
      <c r="J112" s="4"/>
      <c r="K112" s="4"/>
    </row>
    <row r="113" spans="1:11" x14ac:dyDescent="0.3">
      <c r="A113" s="10" t="s">
        <v>90</v>
      </c>
      <c r="B113" s="10" t="s">
        <v>91</v>
      </c>
      <c r="C113" s="10" t="s">
        <v>92</v>
      </c>
      <c r="D113" s="10" t="s">
        <v>93</v>
      </c>
    </row>
    <row r="114" spans="1:11" x14ac:dyDescent="0.3">
      <c r="A114" s="19" t="s">
        <v>94</v>
      </c>
      <c r="B114" s="12">
        <v>4.2500000000000003E-2</v>
      </c>
      <c r="C114" s="12">
        <v>4.7500000000000001E-2</v>
      </c>
      <c r="D114" s="12">
        <v>4.2500000000000003E-2</v>
      </c>
    </row>
    <row r="115" spans="1:11" x14ac:dyDescent="0.3">
      <c r="A115" s="19" t="s">
        <v>95</v>
      </c>
      <c r="B115" s="20">
        <v>2038</v>
      </c>
      <c r="C115" s="20">
        <v>2036.5</v>
      </c>
      <c r="D115" s="20">
        <v>2039.5</v>
      </c>
    </row>
    <row r="116" spans="1:11" x14ac:dyDescent="0.3">
      <c r="A116" s="19" t="s">
        <v>96</v>
      </c>
      <c r="B116" s="12">
        <v>0.83</v>
      </c>
      <c r="C116" s="12">
        <v>0.86</v>
      </c>
      <c r="D116" s="12">
        <v>0.78</v>
      </c>
    </row>
    <row r="117" spans="1:11" x14ac:dyDescent="0.3">
      <c r="A117" s="19" t="s">
        <v>97</v>
      </c>
      <c r="B117" s="12">
        <v>3.5999999999999997E-2</v>
      </c>
      <c r="C117" s="12">
        <v>3.9E-2</v>
      </c>
      <c r="D117" s="12">
        <v>3.4000000000000002E-2</v>
      </c>
    </row>
    <row r="118" spans="1:11" x14ac:dyDescent="0.3">
      <c r="A118" s="19" t="s">
        <v>98</v>
      </c>
      <c r="B118" s="12">
        <v>1.0999999999999999E-2</v>
      </c>
      <c r="C118" s="12">
        <v>1.2999999999999999E-2</v>
      </c>
      <c r="D118" s="12">
        <v>8.9999999999999993E-3</v>
      </c>
    </row>
    <row r="119" spans="1:11" x14ac:dyDescent="0.3">
      <c r="A119" s="19" t="s">
        <v>99</v>
      </c>
      <c r="B119" s="12">
        <v>0.155</v>
      </c>
      <c r="C119" s="12">
        <v>0.17499999999999999</v>
      </c>
      <c r="D119" s="12">
        <v>0.13500000000000001</v>
      </c>
    </row>
    <row r="120" spans="1:11" x14ac:dyDescent="0.3">
      <c r="A120" s="19" t="s">
        <v>100</v>
      </c>
      <c r="B120" s="24">
        <v>0.06</v>
      </c>
      <c r="C120" s="24">
        <v>6.5000000000000002E-2</v>
      </c>
      <c r="D120" s="24">
        <v>5.5E-2</v>
      </c>
    </row>
    <row r="121" spans="1:11" x14ac:dyDescent="0.3">
      <c r="A121" s="19" t="s">
        <v>101</v>
      </c>
      <c r="B121" s="12">
        <v>4.2500000000000003E-2</v>
      </c>
      <c r="C121" s="12">
        <v>4.2500000000000003E-2</v>
      </c>
      <c r="D121" s="12">
        <v>4.2500000000000003E-2</v>
      </c>
    </row>
    <row r="122" spans="1:11" x14ac:dyDescent="0.3">
      <c r="A122" s="19" t="s">
        <v>102</v>
      </c>
      <c r="B122" s="20">
        <v>2042</v>
      </c>
      <c r="C122" s="20">
        <v>2040.5</v>
      </c>
      <c r="D122" s="20">
        <v>2043.5</v>
      </c>
    </row>
    <row r="123" spans="1:11" x14ac:dyDescent="0.3">
      <c r="A123" s="19" t="s">
        <v>103</v>
      </c>
      <c r="B123" s="12">
        <v>0.78</v>
      </c>
      <c r="C123" s="12">
        <v>0.84</v>
      </c>
      <c r="D123" s="12">
        <v>0.68</v>
      </c>
    </row>
    <row r="124" spans="1:11" x14ac:dyDescent="0.3">
      <c r="A124" s="19" t="s">
        <v>104</v>
      </c>
      <c r="B124" s="12">
        <v>1.7500000000000002E-2</v>
      </c>
      <c r="C124" s="12">
        <v>2.5000000000000001E-2</v>
      </c>
      <c r="D124" s="12">
        <v>0.01</v>
      </c>
    </row>
    <row r="125" spans="1:11" x14ac:dyDescent="0.3">
      <c r="A125" s="19" t="s">
        <v>105</v>
      </c>
      <c r="B125" s="20">
        <v>2051</v>
      </c>
      <c r="C125" s="20">
        <v>2046</v>
      </c>
      <c r="D125" s="20">
        <v>2054</v>
      </c>
    </row>
    <row r="126" spans="1:11" x14ac:dyDescent="0.3">
      <c r="A126" s="19" t="s">
        <v>106</v>
      </c>
      <c r="B126" s="12">
        <v>0.21</v>
      </c>
      <c r="C126" s="12">
        <v>0.36</v>
      </c>
      <c r="D126" s="12">
        <v>0.1</v>
      </c>
    </row>
    <row r="128" spans="1:11" x14ac:dyDescent="0.3">
      <c r="A128" s="3" t="s">
        <v>107</v>
      </c>
      <c r="B128" s="4"/>
      <c r="C128" s="4"/>
      <c r="D128" s="4"/>
      <c r="E128" s="4"/>
      <c r="F128" s="4"/>
      <c r="G128" s="4"/>
      <c r="H128" s="4"/>
      <c r="I128" s="4"/>
      <c r="J128" s="4"/>
      <c r="K128" s="4"/>
    </row>
    <row r="129" spans="1:11" x14ac:dyDescent="0.3">
      <c r="A129" s="19" t="s">
        <v>108</v>
      </c>
      <c r="B129" s="25">
        <v>0.92048715649949742</v>
      </c>
      <c r="C129" s="44" t="s">
        <v>109</v>
      </c>
      <c r="D129" s="41"/>
      <c r="E129" s="41"/>
      <c r="F129" s="41"/>
      <c r="G129" s="41"/>
      <c r="H129" s="41"/>
    </row>
    <row r="130" spans="1:11" x14ac:dyDescent="0.3">
      <c r="A130" s="19" t="s">
        <v>110</v>
      </c>
      <c r="B130" s="26">
        <f>4*B114/B129</f>
        <v>0.18468481477404822</v>
      </c>
      <c r="C130" s="44" t="s">
        <v>111</v>
      </c>
      <c r="D130" s="41"/>
      <c r="E130" s="41"/>
      <c r="F130" s="41"/>
      <c r="G130" s="41"/>
      <c r="H130" s="41"/>
    </row>
    <row r="131" spans="1:11" x14ac:dyDescent="0.3">
      <c r="A131" s="19" t="s">
        <v>112</v>
      </c>
      <c r="B131" s="25">
        <v>0.97269714877835667</v>
      </c>
      <c r="C131" s="44" t="s">
        <v>113</v>
      </c>
      <c r="D131" s="41"/>
      <c r="E131" s="41"/>
      <c r="F131" s="41"/>
      <c r="G131" s="41"/>
      <c r="H131" s="41"/>
    </row>
    <row r="132" spans="1:11" x14ac:dyDescent="0.3">
      <c r="A132" s="19" t="s">
        <v>114</v>
      </c>
      <c r="B132" s="26">
        <f>4*B121/B131</f>
        <v>0.17477176756764301</v>
      </c>
      <c r="C132" s="44" t="s">
        <v>111</v>
      </c>
      <c r="D132" s="41"/>
      <c r="E132" s="41"/>
      <c r="F132" s="41"/>
      <c r="G132" s="41"/>
      <c r="H132" s="41"/>
    </row>
    <row r="133" spans="1:11" x14ac:dyDescent="0.3">
      <c r="A133" s="19" t="s">
        <v>115</v>
      </c>
      <c r="B133" s="25">
        <v>0.45493110866122471</v>
      </c>
      <c r="C133" s="44" t="s">
        <v>116</v>
      </c>
      <c r="D133" s="41"/>
      <c r="E133" s="41"/>
      <c r="F133" s="41"/>
      <c r="G133" s="41"/>
      <c r="H133" s="41"/>
    </row>
    <row r="134" spans="1:11" x14ac:dyDescent="0.3">
      <c r="A134" s="19" t="s">
        <v>117</v>
      </c>
      <c r="B134" s="26">
        <f>4*B124/B133</f>
        <v>0.1538694511483214</v>
      </c>
      <c r="C134" s="44" t="s">
        <v>111</v>
      </c>
      <c r="D134" s="41"/>
      <c r="E134" s="41"/>
      <c r="F134" s="41"/>
      <c r="G134" s="41"/>
      <c r="H134" s="41"/>
    </row>
    <row r="135" spans="1:11" x14ac:dyDescent="0.3">
      <c r="A135" s="19" t="s">
        <v>118</v>
      </c>
      <c r="B135" s="26">
        <f>2025+(B119-B117)/B118</f>
        <v>2035.8181818181818</v>
      </c>
      <c r="C135" s="44" t="s">
        <v>119</v>
      </c>
      <c r="D135" s="41"/>
      <c r="E135" s="41"/>
      <c r="F135" s="41"/>
      <c r="G135" s="41"/>
      <c r="H135" s="41"/>
    </row>
    <row r="137" spans="1:11" x14ac:dyDescent="0.3">
      <c r="A137" s="3" t="s">
        <v>120</v>
      </c>
      <c r="B137" s="4"/>
      <c r="C137" s="4"/>
      <c r="D137" s="4"/>
      <c r="E137" s="4"/>
      <c r="F137" s="4"/>
      <c r="G137" s="4"/>
      <c r="H137" s="4"/>
      <c r="I137" s="4"/>
      <c r="J137" s="4"/>
      <c r="K137" s="4"/>
    </row>
    <row r="138" spans="1:11" ht="36" x14ac:dyDescent="0.3">
      <c r="A138" s="10" t="s">
        <v>34</v>
      </c>
      <c r="B138" s="10" t="s">
        <v>121</v>
      </c>
      <c r="C138" s="10" t="s">
        <v>122</v>
      </c>
      <c r="D138" s="10" t="s">
        <v>123</v>
      </c>
      <c r="E138" s="10" t="s">
        <v>124</v>
      </c>
      <c r="F138" s="10" t="s">
        <v>125</v>
      </c>
      <c r="G138" s="10" t="s">
        <v>126</v>
      </c>
      <c r="H138" s="10" t="s">
        <v>127</v>
      </c>
      <c r="I138" s="10" t="s">
        <v>128</v>
      </c>
      <c r="J138" s="10" t="s">
        <v>129</v>
      </c>
      <c r="K138" s="10" t="s">
        <v>130</v>
      </c>
    </row>
    <row r="139" spans="1:11" x14ac:dyDescent="0.3">
      <c r="A139" s="11">
        <v>2025</v>
      </c>
      <c r="B139" s="14">
        <f>B129/(1+EXP(-B130*(A139-B115)))</f>
        <v>7.6496068211046778E-2</v>
      </c>
      <c r="C139" s="13">
        <f>'2. MoT VFM curves'!C7</f>
        <v>7.2132000000000002E-2</v>
      </c>
      <c r="D139" s="23">
        <f t="shared" ref="D139:D164" si="4">(B139-C139)*100</f>
        <v>0.4364068211046776</v>
      </c>
      <c r="E139" s="14">
        <f>IF(A139&lt;=B135,MIN(B117+B118*(A139-2025),B119),B119*EXP(-B120*(A139-B135)))</f>
        <v>3.5999999999999997E-2</v>
      </c>
      <c r="F139" s="13">
        <f>'2. MoT VFM curves'!D7</f>
        <v>3.551E-2</v>
      </c>
      <c r="G139" s="23">
        <f t="shared" ref="G139:G164" si="5">(E139-F139)*100</f>
        <v>4.8999999999999738E-2</v>
      </c>
      <c r="H139" s="14">
        <f>(1-B131/(1+EXP(-B132*(A139-B122))))/(1-B131/(1+EXP(-B132*(2025-B122))))</f>
        <v>1</v>
      </c>
      <c r="I139" s="14">
        <f>B133/(1+EXP(-B134*(A139-B125)))-B133/(1+EXP(-B134*(2025-B125)))</f>
        <v>0</v>
      </c>
      <c r="J139" s="13">
        <f>'2. MoT VFM curves'!E7</f>
        <v>1.9319999999999999E-3</v>
      </c>
      <c r="K139" s="23">
        <f t="shared" ref="K139:K164" si="6">(I139-J139)*100</f>
        <v>-0.19319999999999998</v>
      </c>
    </row>
    <row r="140" spans="1:11" x14ac:dyDescent="0.3">
      <c r="A140" s="11">
        <v>2026</v>
      </c>
      <c r="B140" s="14">
        <f>B129/(1+EXP(-B130*(A140-B115)))</f>
        <v>9.0487156499497318E-2</v>
      </c>
      <c r="C140" s="13">
        <f>'2. MoT VFM curves'!C8</f>
        <v>8.43E-2</v>
      </c>
      <c r="D140" s="23">
        <f t="shared" si="4"/>
        <v>0.61871564994973172</v>
      </c>
      <c r="E140" s="14">
        <f>IF(A140&lt;=B135,MIN(B117+B118*(A140-2025),B119),B119*EXP(-B120*(A140-B135)))</f>
        <v>4.7E-2</v>
      </c>
      <c r="F140" s="13">
        <f>'2. MoT VFM curves'!D8</f>
        <v>4.4145999999999998E-2</v>
      </c>
      <c r="G140" s="23">
        <f t="shared" si="5"/>
        <v>0.28540000000000021</v>
      </c>
      <c r="H140" s="14">
        <f>(1-B131/(1+EXP(-B132*(A140-B122))))/(1-B131/(1+EXP(-B132*(2025-B122))))</f>
        <v>0.99104066536862745</v>
      </c>
      <c r="I140" s="14">
        <f>B133/(1+EXP(-B134*(A140-B125)))-B133/(1+EXP(-B134*(2025-B125)))</f>
        <v>1.3318206309247543E-3</v>
      </c>
      <c r="J140" s="13">
        <f>'2. MoT VFM curves'!E8</f>
        <v>2.1789999999999999E-3</v>
      </c>
      <c r="K140" s="23">
        <f t="shared" si="6"/>
        <v>-8.4717936907524563E-2</v>
      </c>
    </row>
    <row r="141" spans="1:11" x14ac:dyDescent="0.3">
      <c r="A141" s="11">
        <v>2027</v>
      </c>
      <c r="B141" s="14">
        <f>B129/(1+EXP(-B130*(A141-B115)))</f>
        <v>0.10671365361600145</v>
      </c>
      <c r="C141" s="13">
        <f>'2. MoT VFM curves'!C9</f>
        <v>0.100828</v>
      </c>
      <c r="D141" s="23">
        <f t="shared" si="4"/>
        <v>0.58856536160014494</v>
      </c>
      <c r="E141" s="14">
        <f>IF(A141&lt;=B135,MIN(B117+B118*(A141-2025),B119),B119*EXP(-B120*(A141-B135)))</f>
        <v>5.7999999999999996E-2</v>
      </c>
      <c r="F141" s="13">
        <f>'2. MoT VFM curves'!D9</f>
        <v>5.5284E-2</v>
      </c>
      <c r="G141" s="23">
        <f t="shared" si="5"/>
        <v>0.27159999999999962</v>
      </c>
      <c r="H141" s="14">
        <f>(1-B131/(1+EXP(-B132*(A141-B122))))/(1-B131/(1+EXP(-B132*(2025-B122))))</f>
        <v>0.98058362018973189</v>
      </c>
      <c r="I141" s="14">
        <f>B133/(1+EXP(-B134*(A141-B125)))-B133/(1+EXP(-B134*(2025-B125)))</f>
        <v>2.8751775175109451E-3</v>
      </c>
      <c r="J141" s="13">
        <f>'2. MoT VFM curves'!E9</f>
        <v>2.5249999999999999E-3</v>
      </c>
      <c r="K141" s="23">
        <f t="shared" si="6"/>
        <v>3.5017751751094527E-2</v>
      </c>
    </row>
    <row r="142" spans="1:11" x14ac:dyDescent="0.3">
      <c r="A142" s="11">
        <v>2028</v>
      </c>
      <c r="B142" s="14">
        <f>B129/(1+EXP(-B130*(A142-B115)))</f>
        <v>0.12541028646995064</v>
      </c>
      <c r="C142" s="13">
        <f>'2. MoT VFM curves'!C10</f>
        <v>0.122362</v>
      </c>
      <c r="D142" s="23">
        <f t="shared" si="4"/>
        <v>0.30482864699506451</v>
      </c>
      <c r="E142" s="14">
        <f>IF(A142&lt;=B135,MIN(B117+B118*(A142-2025),B119),B119*EXP(-B120*(A142-B135)))</f>
        <v>6.9000000000000006E-2</v>
      </c>
      <c r="F142" s="13">
        <f>'2. MoT VFM curves'!D10</f>
        <v>6.8176E-2</v>
      </c>
      <c r="G142" s="23">
        <f t="shared" si="5"/>
        <v>8.2400000000000528E-2</v>
      </c>
      <c r="H142" s="14">
        <f>(1-B131/(1+EXP(-B132*(A142-B122))))/(1-B131/(1+EXP(-B132*(2025-B122))))</f>
        <v>0.96842225067291865</v>
      </c>
      <c r="I142" s="14">
        <f>B133/(1+EXP(-B134*(A142-B125)))-B133/(1+EXP(-B134*(2025-B125)))</f>
        <v>4.6617968583110396E-3</v>
      </c>
      <c r="J142" s="13">
        <f>'2. MoT VFM curves'!E10</f>
        <v>3.192E-3</v>
      </c>
      <c r="K142" s="23">
        <f t="shared" si="6"/>
        <v>0.14697968583110396</v>
      </c>
    </row>
    <row r="143" spans="1:11" x14ac:dyDescent="0.3">
      <c r="A143" s="11">
        <v>2029</v>
      </c>
      <c r="B143" s="14">
        <f>B129/(1+EXP(-B130*(A143-B115)))</f>
        <v>0.14679175195239139</v>
      </c>
      <c r="C143" s="13">
        <f>'2. MoT VFM curves'!C11</f>
        <v>0.14713000000000001</v>
      </c>
      <c r="D143" s="23">
        <f t="shared" si="4"/>
        <v>-3.382480476086247E-2</v>
      </c>
      <c r="E143" s="14">
        <f>IF(A143&lt;=B135,MIN(B117+B118*(A143-2025),B119),B119*EXP(-B120*(A143-B135)))</f>
        <v>7.9999999999999988E-2</v>
      </c>
      <c r="F143" s="13">
        <f>'2. MoT VFM curves'!D11</f>
        <v>8.1620999999999999E-2</v>
      </c>
      <c r="G143" s="23">
        <f t="shared" si="5"/>
        <v>-0.16210000000000113</v>
      </c>
      <c r="H143" s="14">
        <f>(1-B131/(1+EXP(-B132*(A143-B122))))/(1-B131/(1+EXP(-B132*(2025-B122))))</f>
        <v>0.9543377135515273</v>
      </c>
      <c r="I143" s="14">
        <f>B133/(1+EXP(-B134*(A143-B125)))-B133/(1+EXP(-B134*(2025-B125)))</f>
        <v>6.7275150408445655E-3</v>
      </c>
      <c r="J143" s="13">
        <f>'2. MoT VFM curves'!E11</f>
        <v>4.3299999999999996E-3</v>
      </c>
      <c r="K143" s="23">
        <f t="shared" si="6"/>
        <v>0.23975150408445658</v>
      </c>
    </row>
    <row r="144" spans="1:11" x14ac:dyDescent="0.3">
      <c r="A144" s="11">
        <v>2030</v>
      </c>
      <c r="B144" s="14">
        <f>B129/(1+EXP(-B130*(A144-B115)))</f>
        <v>0.17103440809709611</v>
      </c>
      <c r="C144" s="13">
        <f>'2. MoT VFM curves'!C12</f>
        <v>0.172989</v>
      </c>
      <c r="D144" s="23">
        <f t="shared" si="4"/>
        <v>-0.19545919029038961</v>
      </c>
      <c r="E144" s="14">
        <f>IF(A144&lt;=B135,MIN(B117+B118*(A144-2025),B119),B119*EXP(-B120*(A144-B135)))</f>
        <v>9.0999999999999998E-2</v>
      </c>
      <c r="F144" s="13">
        <f>'2. MoT VFM curves'!D12</f>
        <v>9.4563999999999995E-2</v>
      </c>
      <c r="G144" s="23">
        <f t="shared" si="5"/>
        <v>-0.35639999999999977</v>
      </c>
      <c r="H144" s="14">
        <f>(1-B131/(1+EXP(-B132*(A144-B122))))/(1-B131/(1+EXP(-B132*(2025-B122))))</f>
        <v>0.93810454896308682</v>
      </c>
      <c r="I144" s="14">
        <f>B133/(1+EXP(-B134*(A144-B125)))-B133/(1+EXP(-B134*(2025-B125)))</f>
        <v>9.112585853309027E-3</v>
      </c>
      <c r="J144" s="13">
        <f>'2. MoT VFM curves'!E12</f>
        <v>5.9649999999999998E-3</v>
      </c>
      <c r="K144" s="23">
        <f t="shared" si="6"/>
        <v>0.31475858533090273</v>
      </c>
    </row>
    <row r="145" spans="1:11" x14ac:dyDescent="0.3">
      <c r="A145" s="11">
        <v>2031</v>
      </c>
      <c r="B145" s="14">
        <f>B129/(1+EXP(-B130*(A145-B115)))</f>
        <v>0.19825482100475525</v>
      </c>
      <c r="C145" s="13">
        <f>'2. MoT VFM curves'!C13</f>
        <v>0.199459</v>
      </c>
      <c r="D145" s="23">
        <f t="shared" si="4"/>
        <v>-0.12041789952447479</v>
      </c>
      <c r="E145" s="14">
        <f>IF(A145&lt;=B135,MIN(B117+B118*(A145-2025),B119),B119*EXP(-B120*(A145-B135)))</f>
        <v>0.10200000000000001</v>
      </c>
      <c r="F145" s="13">
        <f>'2. MoT VFM curves'!D13</f>
        <v>0.106485</v>
      </c>
      <c r="G145" s="23">
        <f t="shared" si="5"/>
        <v>-0.4484999999999989</v>
      </c>
      <c r="H145" s="14">
        <f>(1-B131/(1+EXP(-B132*(A145-B122))))/(1-B131/(1+EXP(-B132*(2025-B122))))</f>
        <v>0.91949889523257455</v>
      </c>
      <c r="I145" s="14">
        <f>B133/(1+EXP(-B134*(A145-B125)))-B133/(1+EXP(-B134*(2025-B125)))</f>
        <v>1.1861926798342814E-2</v>
      </c>
      <c r="J145" s="13">
        <f>'2. MoT VFM curves'!E13</f>
        <v>8.2480000000000001E-3</v>
      </c>
      <c r="K145" s="23">
        <f t="shared" si="6"/>
        <v>0.36139267983428136</v>
      </c>
    </row>
    <row r="146" spans="1:11" x14ac:dyDescent="0.3">
      <c r="A146" s="11">
        <v>2032</v>
      </c>
      <c r="B146" s="14">
        <f>B129/(1+EXP(-B130*(A146-B115)))</f>
        <v>0.22848665254031583</v>
      </c>
      <c r="C146" s="13">
        <f>'2. MoT VFM curves'!C14</f>
        <v>0.227075</v>
      </c>
      <c r="D146" s="23">
        <f t="shared" si="4"/>
        <v>0.14116525403158331</v>
      </c>
      <c r="E146" s="14">
        <f>IF(A146&lt;=B135,MIN(B117+B118*(A146-2025),B119),B119*EXP(-B120*(A146-B135)))</f>
        <v>0.11299999999999999</v>
      </c>
      <c r="F146" s="13">
        <f>'2. MoT VFM curves'!D14</f>
        <v>0.117879</v>
      </c>
      <c r="G146" s="23">
        <f t="shared" si="5"/>
        <v>-0.48790000000000083</v>
      </c>
      <c r="H146" s="14">
        <f>(1-B131/(1+EXP(-B132*(A146-B122))))/(1-B131/(1+EXP(-B132*(2025-B122))))</f>
        <v>0.89830965373311489</v>
      </c>
      <c r="I146" s="14">
        <f>B133/(1+EXP(-B134*(A146-B125)))-B133/(1+EXP(-B134*(2025-B125)))</f>
        <v>1.5025266179706124E-2</v>
      </c>
      <c r="J146" s="13">
        <f>'2. MoT VFM curves'!E14</f>
        <v>1.1464999999999999E-2</v>
      </c>
      <c r="K146" s="23">
        <f t="shared" si="6"/>
        <v>0.35602661797061241</v>
      </c>
    </row>
    <row r="147" spans="1:11" x14ac:dyDescent="0.3">
      <c r="A147" s="11">
        <v>2033</v>
      </c>
      <c r="B147" s="14">
        <f>B129/(1+EXP(-B130*(A147-B115)))</f>
        <v>0.26165835075290989</v>
      </c>
      <c r="C147" s="13">
        <f>'2. MoT VFM curves'!C15</f>
        <v>0.25683699999999998</v>
      </c>
      <c r="D147" s="23">
        <f t="shared" si="4"/>
        <v>0.48213507529099031</v>
      </c>
      <c r="E147" s="14">
        <f>IF(A147&lt;=B135,MIN(B117+B118*(A147-2025),B119),B119*EXP(-B120*(A147-B135)))</f>
        <v>0.124</v>
      </c>
      <c r="F147" s="13">
        <f>'2. MoT VFM curves'!D15</f>
        <v>0.12820999999999999</v>
      </c>
      <c r="G147" s="23">
        <f t="shared" si="5"/>
        <v>-0.42099999999999915</v>
      </c>
      <c r="H147" s="14">
        <f>(1-B131/(1+EXP(-B132*(A147-B122))))/(1-B131/(1+EXP(-B132*(2025-B122))))</f>
        <v>0.87435272186703972</v>
      </c>
      <c r="I147" s="14">
        <f>B133/(1+EXP(-B134*(A147-B125)))-B133/(1+EXP(-B134*(2025-B125)))</f>
        <v>1.8657141926600083E-2</v>
      </c>
      <c r="J147" s="13">
        <f>'2. MoT VFM curves'!E15</f>
        <v>1.5685999999999999E-2</v>
      </c>
      <c r="K147" s="23">
        <f t="shared" si="6"/>
        <v>0.29711419266000849</v>
      </c>
    </row>
    <row r="148" spans="1:11" x14ac:dyDescent="0.3">
      <c r="A148" s="11">
        <v>2034</v>
      </c>
      <c r="B148" s="14">
        <f>B129/(1+EXP(-B130*(A148-B115)))</f>
        <v>0.29757499091645673</v>
      </c>
      <c r="C148" s="13">
        <f>'2. MoT VFM curves'!C16</f>
        <v>0.29013600000000001</v>
      </c>
      <c r="D148" s="23">
        <f t="shared" si="4"/>
        <v>0.74389909164567225</v>
      </c>
      <c r="E148" s="14">
        <f>IF(A148&lt;=B135,MIN(B117+B118*(A148-2025),B119),B119*EXP(-B120*(A148-B135)))</f>
        <v>0.13499999999999998</v>
      </c>
      <c r="F148" s="13">
        <f>'2. MoT VFM curves'!D16</f>
        <v>0.13667199999999999</v>
      </c>
      <c r="G148" s="23">
        <f t="shared" si="5"/>
        <v>-0.16720000000000068</v>
      </c>
      <c r="H148" s="14">
        <f>(1-B131/(1+EXP(-B132*(A148-B122))))/(1-B131/(1+EXP(-B132*(2025-B122))))</f>
        <v>0.84748802629958186</v>
      </c>
      <c r="I148" s="14">
        <f>B133/(1+EXP(-B134*(A148-B125)))-B133/(1+EXP(-B134*(2025-B125)))</f>
        <v>2.2816691553598438E-2</v>
      </c>
      <c r="J148" s="13">
        <f>'2. MoT VFM curves'!E16</f>
        <v>2.0694000000000001E-2</v>
      </c>
      <c r="K148" s="23">
        <f t="shared" si="6"/>
        <v>0.21226915535984375</v>
      </c>
    </row>
    <row r="149" spans="1:11" x14ac:dyDescent="0.3">
      <c r="A149" s="11">
        <v>2035</v>
      </c>
      <c r="B149" s="14">
        <f>B129/(1+EXP(-B130*(A149-B115)))</f>
        <v>0.33590809396593496</v>
      </c>
      <c r="C149" s="13">
        <f>'2. MoT VFM curves'!C17</f>
        <v>0.32715100000000003</v>
      </c>
      <c r="D149" s="23">
        <f t="shared" si="4"/>
        <v>0.87570939659349367</v>
      </c>
      <c r="E149" s="14">
        <f>IF(A149&lt;=B135,MIN(B117+B118*(A149-2025),B119),B119*EXP(-B120*(A149-B135)))</f>
        <v>0.14599999999999999</v>
      </c>
      <c r="F149" s="13">
        <f>'2. MoT VFM curves'!D17</f>
        <v>0.14257700000000001</v>
      </c>
      <c r="G149" s="23">
        <f t="shared" si="5"/>
        <v>0.34229999999999816</v>
      </c>
      <c r="H149" s="14">
        <f>(1-B131/(1+EXP(-B132*(A149-B122))))/(1-B131/(1+EXP(-B132*(2025-B122))))</f>
        <v>0.81763853976664458</v>
      </c>
      <c r="I149" s="14">
        <f>B133/(1+EXP(-B134*(A149-B125)))-B133/(1+EXP(-B134*(2025-B125)))</f>
        <v>2.7567161237330471E-2</v>
      </c>
      <c r="J149" s="13">
        <f>'2. MoT VFM curves'!E17</f>
        <v>2.6349000000000001E-2</v>
      </c>
      <c r="K149" s="23">
        <f t="shared" si="6"/>
        <v>0.12181612373304701</v>
      </c>
    </row>
    <row r="150" spans="1:11" x14ac:dyDescent="0.3">
      <c r="A150" s="11">
        <v>2036</v>
      </c>
      <c r="B150" s="14">
        <f>B129/(1+EXP(-B130*(A150-B115)))</f>
        <v>0.37619697968566629</v>
      </c>
      <c r="C150" s="13">
        <f>'2. MoT VFM curves'!C18</f>
        <v>0.36751</v>
      </c>
      <c r="D150" s="23">
        <f t="shared" si="4"/>
        <v>0.86869796856662851</v>
      </c>
      <c r="E150" s="14">
        <f>IF(A150&lt;=B135,MIN(B117+B118*(A150-2025),B119),B119*EXP(-B120*(A150-B135)))</f>
        <v>0.15331828060216346</v>
      </c>
      <c r="F150" s="13">
        <f>'2. MoT VFM curves'!D18</f>
        <v>0.14488000000000001</v>
      </c>
      <c r="G150" s="23">
        <f t="shared" si="5"/>
        <v>0.84382806021634504</v>
      </c>
      <c r="H150" s="14">
        <f>(1-B131/(1+EXP(-B132*(A150-B122))))/(1-B131/(1+EXP(-B132*(2025-B122))))</f>
        <v>0.78480979082998492</v>
      </c>
      <c r="I150" s="14">
        <f>B133/(1+EXP(-B134*(A150-B125)))-B133/(1+EXP(-B134*(2025-B125)))</f>
        <v>3.2975052418798265E-2</v>
      </c>
      <c r="J150" s="13">
        <f>'2. MoT VFM curves'!E18</f>
        <v>3.2766999999999998E-2</v>
      </c>
      <c r="K150" s="23">
        <f t="shared" si="6"/>
        <v>2.0805241879826714E-2</v>
      </c>
    </row>
    <row r="151" spans="1:11" x14ac:dyDescent="0.3">
      <c r="A151" s="11">
        <v>2037</v>
      </c>
      <c r="B151" s="14">
        <f>B129/(1+EXP(-B130*(A151-B115)))</f>
        <v>0.4178639685030805</v>
      </c>
      <c r="C151" s="13">
        <f>'2. MoT VFM curves'!C19</f>
        <v>0.41101199999999999</v>
      </c>
      <c r="D151" s="23">
        <f t="shared" si="4"/>
        <v>0.68519685030805078</v>
      </c>
      <c r="E151" s="14">
        <f>IF(A151&lt;=B135,MIN(B117+B118*(A151-2025),B119),B119*EXP(-B120*(A151-B135)))</f>
        <v>0.14438971902123543</v>
      </c>
      <c r="F151" s="13">
        <f>'2. MoT VFM curves'!D19</f>
        <v>0.143734</v>
      </c>
      <c r="G151" s="23">
        <f t="shared" si="5"/>
        <v>6.5571902123542913E-2</v>
      </c>
      <c r="H151" s="14">
        <f>(1-B131/(1+EXP(-B132*(A151-B122))))/(1-B131/(1+EXP(-B132*(2025-B122))))</f>
        <v>0.74910767923387833</v>
      </c>
      <c r="I151" s="14">
        <f>B133/(1+EXP(-B134*(A151-B125)))-B133/(1+EXP(-B134*(2025-B125)))</f>
        <v>3.9108819162167865E-2</v>
      </c>
      <c r="J151" s="13">
        <f>'2. MoT VFM curves'!E19</f>
        <v>4.0042000000000001E-2</v>
      </c>
      <c r="K151" s="23">
        <f t="shared" si="6"/>
        <v>-9.3318083783213573E-2</v>
      </c>
    </row>
    <row r="152" spans="1:11" x14ac:dyDescent="0.3">
      <c r="A152" s="11">
        <v>2038</v>
      </c>
      <c r="B152" s="14">
        <f>B129/(1+EXP(-B130*(A152-B115)))</f>
        <v>0.46024357824974871</v>
      </c>
      <c r="C152" s="13">
        <f>'2. MoT VFM curves'!C20</f>
        <v>0.45656999999999998</v>
      </c>
      <c r="D152" s="23">
        <f t="shared" si="4"/>
        <v>0.36735782497487324</v>
      </c>
      <c r="E152" s="14">
        <f>IF(A152&lt;=B135,MIN(B117+B118*(A152-2025),B119),B119*EXP(-B120*(A152-B135)))</f>
        <v>0.1359811163883945</v>
      </c>
      <c r="F152" s="13">
        <f>'2. MoT VFM curves'!D20</f>
        <v>0.14016200000000001</v>
      </c>
      <c r="G152" s="23">
        <f t="shared" si="5"/>
        <v>-0.41808836116055126</v>
      </c>
      <c r="H152" s="14">
        <f>(1-B131/(1+EXP(-B132*(A152-B122))))/(1-B131/(1+EXP(-B132*(2025-B122))))</f>
        <v>0.71075186287098757</v>
      </c>
      <c r="I152" s="14">
        <f>B133/(1+EXP(-B134*(A152-B125)))-B133/(1+EXP(-B134*(2025-B125)))</f>
        <v>4.6037032212596377E-2</v>
      </c>
      <c r="J152" s="13">
        <f>'2. MoT VFM curves'!E20</f>
        <v>4.8134000000000003E-2</v>
      </c>
      <c r="K152" s="23">
        <f t="shared" si="6"/>
        <v>-0.20969677874036266</v>
      </c>
    </row>
    <row r="153" spans="1:11" x14ac:dyDescent="0.3">
      <c r="A153" s="11">
        <v>2039</v>
      </c>
      <c r="B153" s="14">
        <f>B129/(1+EXP(-B130*(A153-B115)))</f>
        <v>0.50262318799641692</v>
      </c>
      <c r="C153" s="13">
        <f>'2. MoT VFM curves'!C21</f>
        <v>0.50317100000000003</v>
      </c>
      <c r="D153" s="23">
        <f t="shared" si="4"/>
        <v>-5.4781200358311466E-2</v>
      </c>
      <c r="E153" s="14">
        <f>IF(A153&lt;=B135,MIN(B117+B118*(A153-2025),B119),B119*EXP(-B120*(A153-B135)))</f>
        <v>0.12806219265178179</v>
      </c>
      <c r="F153" s="13">
        <f>'2. MoT VFM curves'!D21</f>
        <v>0.13503299999999999</v>
      </c>
      <c r="G153" s="23">
        <f t="shared" si="5"/>
        <v>-0.69708073482181998</v>
      </c>
      <c r="H153" s="14">
        <f>(1-B131/(1+EXP(-B132*(A153-B122))))/(1-B131/(1+EXP(-B132*(2025-B122))))</f>
        <v>0.67008180625283054</v>
      </c>
      <c r="I153" s="14">
        <f>B133/(1+EXP(-B134*(A153-B125)))-B133/(1+EXP(-B134*(2025-B125)))</f>
        <v>5.3825940644496362E-2</v>
      </c>
      <c r="J153" s="13">
        <f>'2. MoT VFM curves'!E21</f>
        <v>5.697E-2</v>
      </c>
      <c r="K153" s="23">
        <f t="shared" si="6"/>
        <v>-0.31440593555036378</v>
      </c>
    </row>
    <row r="154" spans="1:11" x14ac:dyDescent="0.3">
      <c r="A154" s="11">
        <v>2040</v>
      </c>
      <c r="B154" s="14">
        <f>B129/(1+EXP(-B130*(A154-B115)))</f>
        <v>0.54429017681383118</v>
      </c>
      <c r="C154" s="13">
        <f>'2. MoT VFM curves'!C22</f>
        <v>0.55000899999999997</v>
      </c>
      <c r="D154" s="23">
        <f t="shared" si="4"/>
        <v>-0.57188231861687866</v>
      </c>
      <c r="E154" s="14">
        <f>IF(A154&lt;=B135,MIN(B117+B118*(A154-2025),B119),B119*EXP(-B120*(A154-B135)))</f>
        <v>0.12060443113248148</v>
      </c>
      <c r="F154" s="13">
        <f>'2. MoT VFM curves'!D22</f>
        <v>0.12768499999999999</v>
      </c>
      <c r="G154" s="23">
        <f t="shared" si="5"/>
        <v>-0.70805688675185108</v>
      </c>
      <c r="H154" s="14">
        <f>(1-B131/(1+EXP(-B132*(A154-B122))))/(1-B131/(1+EXP(-B132*(2025-B122))))</f>
        <v>0.62755298186544184</v>
      </c>
      <c r="I154" s="14">
        <f>B133/(1+EXP(-B134*(A154-B125)))-B133/(1+EXP(-B134*(2025-B125)))</f>
        <v>6.2536393955952854E-2</v>
      </c>
      <c r="J154" s="13">
        <f>'2. MoT VFM curves'!E22</f>
        <v>6.6513000000000003E-2</v>
      </c>
      <c r="K154" s="23">
        <f t="shared" si="6"/>
        <v>-0.39766060440471485</v>
      </c>
    </row>
    <row r="155" spans="1:11" x14ac:dyDescent="0.3">
      <c r="A155" s="11">
        <v>2041</v>
      </c>
      <c r="B155" s="14">
        <f>B129/(1+EXP(-B130*(A155-B115)))</f>
        <v>0.58457906253356251</v>
      </c>
      <c r="C155" s="13">
        <f>'2. MoT VFM curves'!C23</f>
        <v>0.59478299999999995</v>
      </c>
      <c r="D155" s="23">
        <f t="shared" si="4"/>
        <v>-1.020393746643744</v>
      </c>
      <c r="E155" s="14">
        <f>IF(A155&lt;=B135,MIN(B117+B118*(A155-2025),B119),B119*EXP(-B120*(A155-B135)))</f>
        <v>0.11358097583367506</v>
      </c>
      <c r="F155" s="13">
        <f>'2. MoT VFM curves'!D23</f>
        <v>0.118328</v>
      </c>
      <c r="G155" s="23">
        <f t="shared" si="5"/>
        <v>-0.47470241663249424</v>
      </c>
      <c r="H155" s="14">
        <f>(1-B131/(1+EXP(-B132*(A155-B122))))/(1-B131/(1+EXP(-B132*(2025-B122))))</f>
        <v>0.58372179726473572</v>
      </c>
      <c r="I155" s="14">
        <f>B133/(1+EXP(-B134*(A155-B125)))-B133/(1+EXP(-B134*(2025-B125)))</f>
        <v>7.2220140754032131E-2</v>
      </c>
      <c r="J155" s="13">
        <f>'2. MoT VFM curves'!E23</f>
        <v>7.6772999999999994E-2</v>
      </c>
      <c r="K155" s="23">
        <f t="shared" si="6"/>
        <v>-0.45528592459678635</v>
      </c>
    </row>
    <row r="156" spans="1:11" x14ac:dyDescent="0.3">
      <c r="A156" s="11">
        <v>2042</v>
      </c>
      <c r="B156" s="14">
        <f>B129/(1+EXP(-B130*(A156-B115)))</f>
        <v>0.62291216558304063</v>
      </c>
      <c r="C156" s="13">
        <f>'2. MoT VFM curves'!C24</f>
        <v>0.63509800000000005</v>
      </c>
      <c r="D156" s="23">
        <f t="shared" si="4"/>
        <v>-1.2185834416959418</v>
      </c>
      <c r="E156" s="14">
        <f>IF(A156&lt;=B135,MIN(B117+B118*(A156-2025),B119),B119*EXP(-B120*(A156-B135)))</f>
        <v>0.10696653473004483</v>
      </c>
      <c r="F156" s="13">
        <f>'2. MoT VFM curves'!D24</f>
        <v>0.108761</v>
      </c>
      <c r="G156" s="23">
        <f t="shared" si="5"/>
        <v>-0.17944652699551644</v>
      </c>
      <c r="H156" s="14">
        <f>(1-B131/(1+EXP(-B132*(A156-B122))))/(1-B131/(1+EXP(-B132*(2025-B122))))</f>
        <v>0.53921949146859549</v>
      </c>
      <c r="I156" s="14">
        <f>B133/(1+EXP(-B134*(A156-B125)))-B133/(1+EXP(-B134*(2025-B125)))</f>
        <v>8.2915597147842149E-2</v>
      </c>
      <c r="J156" s="13">
        <f>'2. MoT VFM curves'!E24</f>
        <v>8.7715000000000001E-2</v>
      </c>
      <c r="K156" s="23">
        <f t="shared" si="6"/>
        <v>-0.47994028521578525</v>
      </c>
    </row>
    <row r="157" spans="1:11" x14ac:dyDescent="0.3">
      <c r="A157" s="11">
        <v>2043</v>
      </c>
      <c r="B157" s="14">
        <f>B129/(1+EXP(-B130*(A157-B115)))</f>
        <v>0.65882880574658753</v>
      </c>
      <c r="C157" s="13">
        <f>'2. MoT VFM curves'!C25</f>
        <v>0.67027300000000001</v>
      </c>
      <c r="D157" s="23">
        <f t="shared" si="4"/>
        <v>-1.1444194253412476</v>
      </c>
      <c r="E157" s="14">
        <f>IF(A157&lt;=B135,MIN(B117+B118*(A157-2025),B119),B119*EXP(-B120*(A157-B135)))</f>
        <v>0.100737288689164</v>
      </c>
      <c r="F157" s="13">
        <f>'2. MoT VFM curves'!D25</f>
        <v>9.9943000000000004E-2</v>
      </c>
      <c r="G157" s="23">
        <f t="shared" si="5"/>
        <v>7.9428868916399387E-2</v>
      </c>
      <c r="H157" s="14">
        <f>(1-B131/(1+EXP(-B132*(A157-B122))))/(1-B131/(1+EXP(-B132*(2025-B122))))</f>
        <v>0.49471718567245532</v>
      </c>
      <c r="I157" s="14">
        <f>B133/(1+EXP(-B134*(A157-B125)))-B133/(1+EXP(-B134*(2025-B125)))</f>
        <v>9.4643277018447367E-2</v>
      </c>
      <c r="J157" s="13">
        <f>'2. MoT VFM curves'!E25</f>
        <v>9.9299999999999999E-2</v>
      </c>
      <c r="K157" s="23">
        <f t="shared" si="6"/>
        <v>-0.46567229815526329</v>
      </c>
    </row>
    <row r="158" spans="1:11" x14ac:dyDescent="0.3">
      <c r="A158" s="11">
        <v>2044</v>
      </c>
      <c r="B158" s="14">
        <f>B129/(1+EXP(-B130*(A158-B115)))</f>
        <v>0.69200050395918156</v>
      </c>
      <c r="C158" s="13">
        <f>'2. MoT VFM curves'!C26</f>
        <v>0.70013899999999996</v>
      </c>
      <c r="D158" s="23">
        <f t="shared" si="4"/>
        <v>-0.81384960408183993</v>
      </c>
      <c r="E158" s="14">
        <f>IF(A158&lt;=B135,MIN(B117+B118*(A158-2025),B119),B119*EXP(-B120*(A158-B135)))</f>
        <v>9.4870805696892352E-2</v>
      </c>
      <c r="F158" s="13">
        <f>'2. MoT VFM curves'!D26</f>
        <v>9.2214000000000004E-2</v>
      </c>
      <c r="G158" s="23">
        <f t="shared" si="5"/>
        <v>0.26568056968923476</v>
      </c>
      <c r="H158" s="14">
        <f>(1-B131/(1+EXP(-B132*(A158-B122))))/(1-B131/(1+EXP(-B132*(2025-B122))))</f>
        <v>0.45088600107174914</v>
      </c>
      <c r="I158" s="14">
        <f>B133/(1+EXP(-B134*(A158-B125)))-B133/(1+EXP(-B134*(2025-B125)))</f>
        <v>0.10740118970398443</v>
      </c>
      <c r="J158" s="13">
        <f>'2. MoT VFM curves'!E26</f>
        <v>0.111613</v>
      </c>
      <c r="K158" s="23">
        <f t="shared" si="6"/>
        <v>-0.42118102960155696</v>
      </c>
    </row>
    <row r="159" spans="1:11" x14ac:dyDescent="0.3">
      <c r="A159" s="11">
        <v>2045</v>
      </c>
      <c r="B159" s="14">
        <f>B129/(1+EXP(-B130*(A159-B115)))</f>
        <v>0.72223233549474208</v>
      </c>
      <c r="C159" s="13">
        <f>'2. MoT VFM curves'!C27</f>
        <v>0.72597999999999996</v>
      </c>
      <c r="D159" s="23">
        <f t="shared" si="4"/>
        <v>-0.3747664505257875</v>
      </c>
      <c r="E159" s="14">
        <f>IF(A159&lt;=B135,MIN(B117+B118*(A159-2025),B119),B119*EXP(-B120*(A159-B135)))</f>
        <v>8.934596007789572E-2</v>
      </c>
      <c r="F159" s="13">
        <f>'2. MoT VFM curves'!D27</f>
        <v>8.5274000000000003E-2</v>
      </c>
      <c r="G159" s="23">
        <f t="shared" si="5"/>
        <v>0.40719600778957171</v>
      </c>
      <c r="H159" s="14">
        <f>(1-B131/(1+EXP(-B132*(A159-B122))))/(1-B131/(1+EXP(-B132*(2025-B122))))</f>
        <v>0.40835717668436056</v>
      </c>
      <c r="I159" s="14">
        <f>B133/(1+EXP(-B134*(A159-B125)))-B133/(1+EXP(-B134*(2025-B125)))</f>
        <v>0.12116062274658365</v>
      </c>
      <c r="J159" s="13">
        <f>'2. MoT VFM curves'!E27</f>
        <v>0.12472</v>
      </c>
      <c r="K159" s="23">
        <f t="shared" si="6"/>
        <v>-0.35593772534163459</v>
      </c>
    </row>
    <row r="160" spans="1:11" x14ac:dyDescent="0.3">
      <c r="A160" s="11">
        <v>2046</v>
      </c>
      <c r="B160" s="14">
        <f>B129/(1+EXP(-B130*(A160-B115)))</f>
        <v>0.74945274840240139</v>
      </c>
      <c r="C160" s="13">
        <f>'2. MoT VFM curves'!C28</f>
        <v>0.749417</v>
      </c>
      <c r="D160" s="23">
        <f t="shared" si="4"/>
        <v>3.5748402401392099E-3</v>
      </c>
      <c r="E160" s="14">
        <f>IF(A160&lt;=B135,MIN(B117+B118*(A160-2025),B119),B119*EXP(-B120*(A160-B135)))</f>
        <v>8.4142856420396372E-2</v>
      </c>
      <c r="F160" s="13">
        <f>'2. MoT VFM curves'!D28</f>
        <v>7.8806000000000001E-2</v>
      </c>
      <c r="G160" s="23">
        <f t="shared" si="5"/>
        <v>0.5336856420396372</v>
      </c>
      <c r="H160" s="14">
        <f>(1-B131/(1+EXP(-B132*(A160-B122))))/(1-B131/(1+EXP(-B132*(2025-B122))))</f>
        <v>0.36768712006620335</v>
      </c>
      <c r="I160" s="14">
        <f>B133/(1+EXP(-B134*(A160-B125)))-B133/(1+EXP(-B134*(2025-B125)))</f>
        <v>0.13586281478674053</v>
      </c>
      <c r="J160" s="13">
        <f>'2. MoT VFM curves'!E28</f>
        <v>0.13850899999999999</v>
      </c>
      <c r="K160" s="23">
        <f t="shared" si="6"/>
        <v>-0.2646185213259461</v>
      </c>
    </row>
    <row r="161" spans="1:11" x14ac:dyDescent="0.3">
      <c r="A161" s="11">
        <v>2047</v>
      </c>
      <c r="B161" s="14">
        <f>B129/(1+EXP(-B130*(A161-B115)))</f>
        <v>0.77369540454710595</v>
      </c>
      <c r="C161" s="13">
        <f>'2. MoT VFM curves'!C29</f>
        <v>0.770567</v>
      </c>
      <c r="D161" s="23">
        <f t="shared" si="4"/>
        <v>0.31284045471059452</v>
      </c>
      <c r="E161" s="14">
        <f>IF(A161&lt;=B135,MIN(B117+B118*(A161-2025),B119),B119*EXP(-B120*(A161-B135)))</f>
        <v>7.9242757931200988E-2</v>
      </c>
      <c r="F161" s="13">
        <f>'2. MoT VFM curves'!D29</f>
        <v>7.2916999999999996E-2</v>
      </c>
      <c r="G161" s="23">
        <f t="shared" si="5"/>
        <v>0.63257579312009926</v>
      </c>
      <c r="H161" s="14">
        <f>(1-B131/(1+EXP(-B132*(A161-B122))))/(1-B131/(1+EXP(-B132*(2025-B122))))</f>
        <v>0.32933130370331259</v>
      </c>
      <c r="I161" s="14">
        <f>B133/(1+EXP(-B134*(A161-B125)))-B133/(1+EXP(-B134*(2025-B125)))</f>
        <v>0.1514170580189878</v>
      </c>
      <c r="J161" s="13">
        <f>'2. MoT VFM curves'!E29</f>
        <v>0.152862</v>
      </c>
      <c r="K161" s="23">
        <f t="shared" si="6"/>
        <v>-0.14449419810121933</v>
      </c>
    </row>
    <row r="162" spans="1:11" x14ac:dyDescent="0.3">
      <c r="A162" s="11">
        <v>2048</v>
      </c>
      <c r="B162" s="14">
        <f>B129/(1+EXP(-B130*(A162-B115)))</f>
        <v>0.79507687002954686</v>
      </c>
      <c r="C162" s="13">
        <f>'2. MoT VFM curves'!C30</f>
        <v>0.78975899999999999</v>
      </c>
      <c r="D162" s="23">
        <f t="shared" si="4"/>
        <v>0.53178700295468673</v>
      </c>
      <c r="E162" s="14">
        <f>IF(A162&lt;=B135,MIN(B117+B118*(A162-2025),B119),B119*EXP(-B120*(A162-B135)))</f>
        <v>7.4628018963007026E-2</v>
      </c>
      <c r="F162" s="13">
        <f>'2. MoT VFM curves'!D30</f>
        <v>6.7611000000000004E-2</v>
      </c>
      <c r="G162" s="23">
        <f t="shared" si="5"/>
        <v>0.70170189630070212</v>
      </c>
      <c r="H162" s="14">
        <f>(1-B131/(1+EXP(-B132*(A162-B122))))/(1-B131/(1+EXP(-B132*(2025-B122))))</f>
        <v>0.29362919210720606</v>
      </c>
      <c r="I162" s="14">
        <f>B133/(1+EXP(-B134*(A162-B125)))-B133/(1+EXP(-B134*(2025-B125)))</f>
        <v>0.16770072362795921</v>
      </c>
      <c r="J162" s="13">
        <f>'2. MoT VFM curves'!E30</f>
        <v>0.167713</v>
      </c>
      <c r="K162" s="23">
        <f t="shared" si="6"/>
        <v>-1.2276372040792571E-3</v>
      </c>
    </row>
    <row r="163" spans="1:11" x14ac:dyDescent="0.3">
      <c r="A163" s="11">
        <v>2049</v>
      </c>
      <c r="B163" s="14">
        <f>B129/(1+EXP(-B130*(A163-B115)))</f>
        <v>0.81377350288349604</v>
      </c>
      <c r="C163" s="13">
        <f>'2. MoT VFM curves'!C31</f>
        <v>0.80671899999999996</v>
      </c>
      <c r="D163" s="23">
        <f t="shared" si="4"/>
        <v>0.70545028834960721</v>
      </c>
      <c r="E163" s="14">
        <f>IF(A163&lt;=B135,MIN(B117+B118*(A163-2025),B119),B119*EXP(-B120*(A163-B135)))</f>
        <v>7.0282021471012771E-2</v>
      </c>
      <c r="F163" s="13">
        <f>'2. MoT VFM curves'!D31</f>
        <v>6.2891000000000002E-2</v>
      </c>
      <c r="G163" s="23">
        <f t="shared" si="5"/>
        <v>0.73910214710127686</v>
      </c>
      <c r="H163" s="14">
        <f>(1-B131/(1+EXP(-B132*(A163-B122))))/(1-B131/(1+EXP(-B132*(2025-B122))))</f>
        <v>0.2608004431705464</v>
      </c>
      <c r="I163" s="14">
        <f>B133/(1+EXP(-B134*(A163-B125)))-B133/(1+EXP(-B134*(2025-B125)))</f>
        <v>0.18456156041938213</v>
      </c>
      <c r="J163" s="13">
        <f>'2. MoT VFM curves'!E31</f>
        <v>0.183004</v>
      </c>
      <c r="K163" s="23">
        <f t="shared" si="6"/>
        <v>0.15575604193821257</v>
      </c>
    </row>
    <row r="164" spans="1:11" x14ac:dyDescent="0.3">
      <c r="A164" s="11">
        <v>2050</v>
      </c>
      <c r="B164" s="14">
        <f>B129/(1+EXP(-B130*(A164-B115)))</f>
        <v>0.83000000000000007</v>
      </c>
      <c r="C164" s="13">
        <f>'2. MoT VFM curves'!C32</f>
        <v>0.82149799999999995</v>
      </c>
      <c r="D164" s="23">
        <f t="shared" si="4"/>
        <v>0.85020000000001206</v>
      </c>
      <c r="E164" s="14">
        <f>IF(A164&lt;=B135,MIN(B117+B118*(A164-2025),B119),B119*EXP(-B120*(A164-B135)))</f>
        <v>6.6189115170006502E-2</v>
      </c>
      <c r="F164" s="13">
        <f>'2. MoT VFM curves'!D32</f>
        <v>5.8708000000000003E-2</v>
      </c>
      <c r="G164" s="23">
        <f t="shared" si="5"/>
        <v>0.74811151700064982</v>
      </c>
      <c r="H164" s="14">
        <f>(1-B131/(1+EXP(-B132*(A164-B122))))/(1-B131/(1+EXP(-B132*(2025-B122))))</f>
        <v>0.23095095663760901</v>
      </c>
      <c r="I164" s="14">
        <f>B133/(1+EXP(-B134*(A164-B125)))-B133/(1+EXP(-B134*(2025-B125)))</f>
        <v>0.20182237937042213</v>
      </c>
      <c r="J164" s="13">
        <f>'2. MoT VFM curves'!E32</f>
        <v>0.19863500000000001</v>
      </c>
      <c r="K164" s="23">
        <f t="shared" si="6"/>
        <v>0.31873793704221276</v>
      </c>
    </row>
    <row r="165" spans="1:11" x14ac:dyDescent="0.3">
      <c r="A165" s="16" t="s">
        <v>131</v>
      </c>
      <c r="D165" s="27">
        <f>MAX(MAX(D139:D164),-MIN(D139:D164))</f>
        <v>1.2185834416959418</v>
      </c>
      <c r="G165" s="27">
        <f>MAX(MAX(G139:G164),-MIN(G139:G164))</f>
        <v>0.84382806021634504</v>
      </c>
      <c r="K165" s="27">
        <f>MAX(MAX(K139:K164),-MIN(K139:K164))</f>
        <v>0.47994028521578525</v>
      </c>
    </row>
    <row r="167" spans="1:11" x14ac:dyDescent="0.3">
      <c r="A167" s="2" t="s">
        <v>132</v>
      </c>
    </row>
  </sheetData>
  <mergeCells count="23">
    <mergeCell ref="C135:H135"/>
    <mergeCell ref="F17:G17"/>
    <mergeCell ref="A11:J11"/>
    <mergeCell ref="F20:J22"/>
    <mergeCell ref="A6:J6"/>
    <mergeCell ref="A88:J88"/>
    <mergeCell ref="C131:H131"/>
    <mergeCell ref="A7:J7"/>
    <mergeCell ref="A54:J54"/>
    <mergeCell ref="F14:G14"/>
    <mergeCell ref="A57:J57"/>
    <mergeCell ref="A95:J95"/>
    <mergeCell ref="A5:J5"/>
    <mergeCell ref="C134:H134"/>
    <mergeCell ref="A8:J8"/>
    <mergeCell ref="F16:G16"/>
    <mergeCell ref="C133:H133"/>
    <mergeCell ref="C129:H129"/>
    <mergeCell ref="A52:J52"/>
    <mergeCell ref="C130:H130"/>
    <mergeCell ref="F15:G15"/>
    <mergeCell ref="C132:H132"/>
    <mergeCell ref="F18:G18"/>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05"/>
  <sheetViews>
    <sheetView showGridLines="0" workbookViewId="0">
      <pane ySplit="5" topLeftCell="A6" activePane="bottomLeft" state="frozen"/>
      <selection pane="bottomLeft"/>
    </sheetView>
  </sheetViews>
  <sheetFormatPr defaultRowHeight="14.4" x14ac:dyDescent="0.3"/>
  <cols>
    <col min="1" max="1" width="9" customWidth="1"/>
    <col min="2" max="2" width="10" customWidth="1"/>
    <col min="3" max="3" width="26" customWidth="1"/>
    <col min="4" max="4" width="15" customWidth="1"/>
    <col min="5" max="5" width="13" customWidth="1"/>
    <col min="6" max="6" width="34" customWidth="1"/>
    <col min="7" max="7" width="15" customWidth="1"/>
    <col min="8" max="8" width="16" customWidth="1"/>
    <col min="9" max="9" width="14" customWidth="1"/>
    <col min="10" max="10" width="16" customWidth="1"/>
    <col min="11" max="11" width="14" customWidth="1"/>
  </cols>
  <sheetData>
    <row r="1" spans="1:11" ht="17.399999999999999" x14ac:dyDescent="0.3">
      <c r="A1" s="1" t="s">
        <v>133</v>
      </c>
    </row>
    <row r="2" spans="1:11" x14ac:dyDescent="0.3">
      <c r="A2" s="2" t="s">
        <v>134</v>
      </c>
    </row>
    <row r="4" spans="1:11" x14ac:dyDescent="0.3">
      <c r="A4" s="3" t="s">
        <v>135</v>
      </c>
      <c r="B4" s="4"/>
      <c r="C4" s="4"/>
      <c r="D4" s="4"/>
      <c r="E4" s="4"/>
      <c r="F4" s="4"/>
      <c r="G4" s="4"/>
      <c r="H4" s="4"/>
      <c r="I4" s="4"/>
      <c r="J4" s="4"/>
      <c r="K4" s="4"/>
    </row>
    <row r="5" spans="1:11" ht="48" x14ac:dyDescent="0.3">
      <c r="A5" s="10" t="s">
        <v>34</v>
      </c>
      <c r="B5" s="10" t="s">
        <v>136</v>
      </c>
      <c r="C5" s="10" t="s">
        <v>137</v>
      </c>
      <c r="D5" s="10" t="s">
        <v>138</v>
      </c>
      <c r="E5" s="10" t="s">
        <v>139</v>
      </c>
      <c r="F5" s="10" t="s">
        <v>140</v>
      </c>
      <c r="G5" s="10" t="s">
        <v>141</v>
      </c>
      <c r="H5" s="10" t="s">
        <v>142</v>
      </c>
      <c r="I5" s="10" t="s">
        <v>143</v>
      </c>
      <c r="J5" s="10" t="s">
        <v>144</v>
      </c>
      <c r="K5" s="10" t="s">
        <v>145</v>
      </c>
    </row>
    <row r="6" spans="1:11" x14ac:dyDescent="0.3">
      <c r="A6" s="11">
        <v>2026</v>
      </c>
      <c r="B6" s="19" t="s">
        <v>146</v>
      </c>
      <c r="C6" s="28" t="s">
        <v>147</v>
      </c>
      <c r="D6" s="29">
        <v>1544.6797387351801</v>
      </c>
      <c r="E6" s="30">
        <v>5363105.7438883688</v>
      </c>
      <c r="F6" s="28" t="s">
        <v>148</v>
      </c>
      <c r="G6" s="31">
        <f t="shared" ref="G6:G37" si="0">D6*E6/1000000</f>
        <v>8284.2807792786298</v>
      </c>
      <c r="H6" s="20">
        <v>3122958703</v>
      </c>
      <c r="I6" s="31">
        <f t="shared" ref="I6:I37" si="1">H6/1000000</f>
        <v>3122.9587029999998</v>
      </c>
      <c r="J6" s="20">
        <v>978994143</v>
      </c>
      <c r="K6" s="31">
        <f t="shared" ref="K6:K37" si="2">J6/1000000</f>
        <v>978.99414300000001</v>
      </c>
    </row>
    <row r="7" spans="1:11" x14ac:dyDescent="0.3">
      <c r="A7" s="11">
        <v>2026</v>
      </c>
      <c r="B7" s="19" t="s">
        <v>149</v>
      </c>
      <c r="C7" s="28" t="s">
        <v>147</v>
      </c>
      <c r="D7" s="29">
        <v>1565.5435343949109</v>
      </c>
      <c r="E7" s="30">
        <v>5363105.7438883688</v>
      </c>
      <c r="F7" s="28" t="s">
        <v>148</v>
      </c>
      <c r="G7" s="31">
        <f t="shared" si="0"/>
        <v>8396.1755216206438</v>
      </c>
      <c r="H7" s="20">
        <v>3307965543</v>
      </c>
      <c r="I7" s="31">
        <f t="shared" si="1"/>
        <v>3307.9655429999998</v>
      </c>
      <c r="J7" s="20">
        <v>1064388483</v>
      </c>
      <c r="K7" s="31">
        <f t="shared" si="2"/>
        <v>1064.388483</v>
      </c>
    </row>
    <row r="8" spans="1:11" x14ac:dyDescent="0.3">
      <c r="A8" s="11">
        <v>2026</v>
      </c>
      <c r="B8" s="19" t="s">
        <v>150</v>
      </c>
      <c r="C8" s="28" t="s">
        <v>151</v>
      </c>
      <c r="D8" s="29">
        <v>1529.26011278338</v>
      </c>
      <c r="E8" s="30">
        <v>5353979.1458490929</v>
      </c>
      <c r="F8" s="28" t="s">
        <v>152</v>
      </c>
      <c r="G8" s="31">
        <f t="shared" si="0"/>
        <v>8187.626752421048</v>
      </c>
      <c r="H8" s="20">
        <v>3356901625.2217498</v>
      </c>
      <c r="I8" s="31">
        <f t="shared" si="1"/>
        <v>3356.9016252217498</v>
      </c>
      <c r="J8" s="20">
        <v>1020118066.054042</v>
      </c>
      <c r="K8" s="31">
        <f t="shared" si="2"/>
        <v>1020.1180660540419</v>
      </c>
    </row>
    <row r="9" spans="1:11" x14ac:dyDescent="0.3">
      <c r="A9" s="11">
        <v>2026</v>
      </c>
      <c r="B9" s="19" t="s">
        <v>153</v>
      </c>
      <c r="C9" s="28" t="s">
        <v>151</v>
      </c>
      <c r="D9" s="29">
        <v>1504.8383931297581</v>
      </c>
      <c r="E9" s="30">
        <v>5365985.1542843468</v>
      </c>
      <c r="F9" s="28" t="s">
        <v>152</v>
      </c>
      <c r="G9" s="31">
        <f t="shared" si="0"/>
        <v>8074.940477131393</v>
      </c>
      <c r="H9" s="20">
        <v>3170498613.9257679</v>
      </c>
      <c r="I9" s="31">
        <f t="shared" si="1"/>
        <v>3170.498613925768</v>
      </c>
      <c r="J9" s="20">
        <v>981612144.93349242</v>
      </c>
      <c r="K9" s="31">
        <f t="shared" si="2"/>
        <v>981.61214493349246</v>
      </c>
    </row>
    <row r="10" spans="1:11" x14ac:dyDescent="0.3">
      <c r="A10" s="11">
        <v>2027</v>
      </c>
      <c r="B10" s="19" t="s">
        <v>154</v>
      </c>
      <c r="C10" s="28" t="s">
        <v>151</v>
      </c>
      <c r="D10" s="29">
        <v>1499.4323964428511</v>
      </c>
      <c r="E10" s="30">
        <v>5378018.0855436577</v>
      </c>
      <c r="F10" s="28" t="s">
        <v>152</v>
      </c>
      <c r="G10" s="31">
        <f t="shared" si="0"/>
        <v>8063.9745461197208</v>
      </c>
      <c r="H10" s="20">
        <v>3044975678.556179</v>
      </c>
      <c r="I10" s="31">
        <f t="shared" si="1"/>
        <v>3044.975678556179</v>
      </c>
      <c r="J10" s="20">
        <v>997119053.08975434</v>
      </c>
      <c r="K10" s="31">
        <f t="shared" si="2"/>
        <v>997.11905308975429</v>
      </c>
    </row>
    <row r="11" spans="1:11" x14ac:dyDescent="0.3">
      <c r="A11" s="11">
        <v>2027</v>
      </c>
      <c r="B11" s="19" t="s">
        <v>155</v>
      </c>
      <c r="C11" s="28" t="s">
        <v>151</v>
      </c>
      <c r="D11" s="29">
        <v>1509.747576858518</v>
      </c>
      <c r="E11" s="30">
        <v>5390078.0000000009</v>
      </c>
      <c r="F11" s="28" t="s">
        <v>152</v>
      </c>
      <c r="G11" s="31">
        <f t="shared" si="0"/>
        <v>8137.6571995784079</v>
      </c>
      <c r="H11" s="20">
        <v>3063261357.3259592</v>
      </c>
      <c r="I11" s="31">
        <f t="shared" si="1"/>
        <v>3063.2613573259591</v>
      </c>
      <c r="J11" s="20">
        <v>1066495106.841246</v>
      </c>
      <c r="K11" s="31">
        <f t="shared" si="2"/>
        <v>1066.4951068412461</v>
      </c>
    </row>
    <row r="12" spans="1:11" x14ac:dyDescent="0.3">
      <c r="A12" s="11">
        <v>2027</v>
      </c>
      <c r="B12" s="19" t="s">
        <v>156</v>
      </c>
      <c r="C12" s="28" t="s">
        <v>151</v>
      </c>
      <c r="D12" s="29">
        <v>1484.7798777688949</v>
      </c>
      <c r="E12" s="30">
        <v>5400825.9656290617</v>
      </c>
      <c r="F12" s="28" t="s">
        <v>152</v>
      </c>
      <c r="G12" s="31">
        <f t="shared" si="0"/>
        <v>8019.0377170977927</v>
      </c>
      <c r="H12" s="20">
        <v>3262798464.094255</v>
      </c>
      <c r="I12" s="31">
        <f t="shared" si="1"/>
        <v>3262.798464094255</v>
      </c>
      <c r="J12" s="20">
        <v>1034599278.890426</v>
      </c>
      <c r="K12" s="31">
        <f t="shared" si="2"/>
        <v>1034.5992788904261</v>
      </c>
    </row>
    <row r="13" spans="1:11" x14ac:dyDescent="0.3">
      <c r="A13" s="11">
        <v>2027</v>
      </c>
      <c r="B13" s="19" t="s">
        <v>157</v>
      </c>
      <c r="C13" s="28" t="s">
        <v>151</v>
      </c>
      <c r="D13" s="29">
        <v>1472.818826127891</v>
      </c>
      <c r="E13" s="30">
        <v>5411595.3630008847</v>
      </c>
      <c r="F13" s="28" t="s">
        <v>152</v>
      </c>
      <c r="G13" s="31">
        <f t="shared" si="0"/>
        <v>7970.299530014101</v>
      </c>
      <c r="H13" s="20">
        <v>3290895659.5504489</v>
      </c>
      <c r="I13" s="31">
        <f t="shared" si="1"/>
        <v>3290.8956595504487</v>
      </c>
      <c r="J13" s="20">
        <v>1002056653.278699</v>
      </c>
      <c r="K13" s="31">
        <f t="shared" si="2"/>
        <v>1002.0566532786991</v>
      </c>
    </row>
    <row r="14" spans="1:11" x14ac:dyDescent="0.3">
      <c r="A14" s="11">
        <v>2028</v>
      </c>
      <c r="B14" s="19" t="s">
        <v>158</v>
      </c>
      <c r="C14" s="28" t="s">
        <v>151</v>
      </c>
      <c r="D14" s="29">
        <v>1477.284500367477</v>
      </c>
      <c r="E14" s="30">
        <v>5422386.2348509617</v>
      </c>
      <c r="F14" s="28" t="s">
        <v>152</v>
      </c>
      <c r="G14" s="31">
        <f t="shared" si="0"/>
        <v>8010.4071397512871</v>
      </c>
      <c r="H14" s="20">
        <v>3161757307.488215</v>
      </c>
      <c r="I14" s="31">
        <f t="shared" si="1"/>
        <v>3161.7573074882148</v>
      </c>
      <c r="J14" s="20">
        <v>1014475743.359138</v>
      </c>
      <c r="K14" s="31">
        <f t="shared" si="2"/>
        <v>1014.4757433591381</v>
      </c>
    </row>
    <row r="15" spans="1:11" x14ac:dyDescent="0.3">
      <c r="A15" s="11">
        <v>2028</v>
      </c>
      <c r="B15" s="19" t="s">
        <v>159</v>
      </c>
      <c r="C15" s="28" t="s">
        <v>151</v>
      </c>
      <c r="D15" s="29">
        <v>1494.6307076919829</v>
      </c>
      <c r="E15" s="30">
        <v>5433198.6239999998</v>
      </c>
      <c r="F15" s="28" t="s">
        <v>152</v>
      </c>
      <c r="G15" s="31">
        <f t="shared" si="0"/>
        <v>8120.625504420228</v>
      </c>
      <c r="H15" s="20">
        <v>3381083731.579051</v>
      </c>
      <c r="I15" s="31">
        <f t="shared" si="1"/>
        <v>3381.0837315790509</v>
      </c>
      <c r="J15" s="20">
        <v>1070992030.876771</v>
      </c>
      <c r="K15" s="31">
        <f t="shared" si="2"/>
        <v>1070.992030876771</v>
      </c>
    </row>
    <row r="16" spans="1:11" x14ac:dyDescent="0.3">
      <c r="A16" s="11">
        <v>2028</v>
      </c>
      <c r="B16" s="19" t="s">
        <v>160</v>
      </c>
      <c r="C16" s="28" t="s">
        <v>151</v>
      </c>
      <c r="D16" s="29">
        <v>1474.4051031600279</v>
      </c>
      <c r="E16" s="30">
        <v>5444032.5733540934</v>
      </c>
      <c r="F16" s="28" t="s">
        <v>152</v>
      </c>
      <c r="G16" s="31">
        <f t="shared" si="0"/>
        <v>8026.7094079226945</v>
      </c>
      <c r="H16" s="20">
        <v>3385908486.8849239</v>
      </c>
      <c r="I16" s="31">
        <f t="shared" si="1"/>
        <v>3385.9084868849241</v>
      </c>
      <c r="J16" s="20">
        <v>1037916937.617161</v>
      </c>
      <c r="K16" s="31">
        <f t="shared" si="2"/>
        <v>1037.916937617161</v>
      </c>
    </row>
    <row r="17" spans="1:11" x14ac:dyDescent="0.3">
      <c r="A17" s="11">
        <v>2028</v>
      </c>
      <c r="B17" s="19" t="s">
        <v>161</v>
      </c>
      <c r="C17" s="28" t="s">
        <v>151</v>
      </c>
      <c r="D17" s="29">
        <v>1465.185074291621</v>
      </c>
      <c r="E17" s="30">
        <v>5454888.1259048907</v>
      </c>
      <c r="F17" s="28" t="s">
        <v>152</v>
      </c>
      <c r="G17" s="31">
        <f t="shared" si="0"/>
        <v>7992.4206640064394</v>
      </c>
      <c r="H17" s="20">
        <v>3411781363.2312322</v>
      </c>
      <c r="I17" s="31">
        <f t="shared" si="1"/>
        <v>3411.7813632312323</v>
      </c>
      <c r="J17" s="20">
        <v>1010733601.656159</v>
      </c>
      <c r="K17" s="31">
        <f t="shared" si="2"/>
        <v>1010.7336016561591</v>
      </c>
    </row>
    <row r="18" spans="1:11" x14ac:dyDescent="0.3">
      <c r="A18" s="11">
        <v>2029</v>
      </c>
      <c r="B18" s="19" t="s">
        <v>162</v>
      </c>
      <c r="C18" s="28" t="s">
        <v>151</v>
      </c>
      <c r="D18" s="29">
        <v>1471.101306408907</v>
      </c>
      <c r="E18" s="30">
        <v>5465765.3247297686</v>
      </c>
      <c r="F18" s="28" t="s">
        <v>152</v>
      </c>
      <c r="G18" s="31">
        <f t="shared" si="0"/>
        <v>8040.6945097344669</v>
      </c>
      <c r="H18" s="20">
        <v>3274748179.6618171</v>
      </c>
      <c r="I18" s="31">
        <f t="shared" si="1"/>
        <v>3274.7481796618172</v>
      </c>
      <c r="J18" s="20">
        <v>1023718834.664518</v>
      </c>
      <c r="K18" s="31">
        <f t="shared" si="2"/>
        <v>1023.718834664518</v>
      </c>
    </row>
    <row r="19" spans="1:11" x14ac:dyDescent="0.3">
      <c r="A19" s="11">
        <v>2029</v>
      </c>
      <c r="B19" s="19" t="s">
        <v>163</v>
      </c>
      <c r="C19" s="28" t="s">
        <v>151</v>
      </c>
      <c r="D19" s="29">
        <v>1489.1015257428039</v>
      </c>
      <c r="E19" s="30">
        <v>5476664.2129919995</v>
      </c>
      <c r="F19" s="28" t="s">
        <v>152</v>
      </c>
      <c r="G19" s="31">
        <f t="shared" si="0"/>
        <v>8155.3090355473987</v>
      </c>
      <c r="H19" s="20">
        <v>3498547644.1720128</v>
      </c>
      <c r="I19" s="31">
        <f t="shared" si="1"/>
        <v>3498.547644172013</v>
      </c>
      <c r="J19" s="20">
        <v>1080649201.056469</v>
      </c>
      <c r="K19" s="31">
        <f t="shared" si="2"/>
        <v>1080.6492010564689</v>
      </c>
    </row>
    <row r="20" spans="1:11" x14ac:dyDescent="0.3">
      <c r="A20" s="11">
        <v>2029</v>
      </c>
      <c r="B20" s="19" t="s">
        <v>164</v>
      </c>
      <c r="C20" s="28" t="s">
        <v>151</v>
      </c>
      <c r="D20" s="29">
        <v>1469.3778416804271</v>
      </c>
      <c r="E20" s="30">
        <v>5487584.833940926</v>
      </c>
      <c r="F20" s="28" t="s">
        <v>152</v>
      </c>
      <c r="G20" s="31">
        <f t="shared" si="0"/>
        <v>8063.3355593343631</v>
      </c>
      <c r="H20" s="20">
        <v>3501331554.5593128</v>
      </c>
      <c r="I20" s="31">
        <f t="shared" si="1"/>
        <v>3501.3315545593127</v>
      </c>
      <c r="J20" s="20">
        <v>1047581920.296363</v>
      </c>
      <c r="K20" s="31">
        <f t="shared" si="2"/>
        <v>1047.581920296363</v>
      </c>
    </row>
    <row r="21" spans="1:11" x14ac:dyDescent="0.3">
      <c r="A21" s="11">
        <v>2029</v>
      </c>
      <c r="B21" s="19" t="s">
        <v>165</v>
      </c>
      <c r="C21" s="28" t="s">
        <v>151</v>
      </c>
      <c r="D21" s="29">
        <v>1460.3917283195719</v>
      </c>
      <c r="E21" s="30">
        <v>5498527.2309121303</v>
      </c>
      <c r="F21" s="28" t="s">
        <v>152</v>
      </c>
      <c r="G21" s="31">
        <f t="shared" si="0"/>
        <v>8030.0036859639958</v>
      </c>
      <c r="H21" s="20">
        <v>3525864078.323689</v>
      </c>
      <c r="I21" s="31">
        <f t="shared" si="1"/>
        <v>3525.8640783236888</v>
      </c>
      <c r="J21" s="20">
        <v>1019836095.318396</v>
      </c>
      <c r="K21" s="31">
        <f t="shared" si="2"/>
        <v>1019.836095318396</v>
      </c>
    </row>
    <row r="22" spans="1:11" x14ac:dyDescent="0.3">
      <c r="A22" s="11">
        <v>2030</v>
      </c>
      <c r="B22" s="19" t="s">
        <v>166</v>
      </c>
      <c r="C22" s="28" t="s">
        <v>151</v>
      </c>
      <c r="D22" s="29">
        <v>1466.3325366095239</v>
      </c>
      <c r="E22" s="30">
        <v>5509491.4473276073</v>
      </c>
      <c r="F22" s="28" t="s">
        <v>152</v>
      </c>
      <c r="G22" s="31">
        <f t="shared" si="0"/>
        <v>8078.7465693883678</v>
      </c>
      <c r="H22" s="20">
        <v>3382118622.6011162</v>
      </c>
      <c r="I22" s="31">
        <f t="shared" si="1"/>
        <v>3382.1186226011164</v>
      </c>
      <c r="J22" s="20">
        <v>1032505738.255039</v>
      </c>
      <c r="K22" s="31">
        <f t="shared" si="2"/>
        <v>1032.505738255039</v>
      </c>
    </row>
    <row r="23" spans="1:11" x14ac:dyDescent="0.3">
      <c r="A23" s="11">
        <v>2030</v>
      </c>
      <c r="B23" s="19" t="s">
        <v>167</v>
      </c>
      <c r="C23" s="28" t="s">
        <v>151</v>
      </c>
      <c r="D23" s="29">
        <v>1484.208423058931</v>
      </c>
      <c r="E23" s="30">
        <v>5520477.526695936</v>
      </c>
      <c r="F23" s="28" t="s">
        <v>152</v>
      </c>
      <c r="G23" s="31">
        <f t="shared" si="0"/>
        <v>8193.5392444296431</v>
      </c>
      <c r="H23" s="20">
        <v>3559502105.9631128</v>
      </c>
      <c r="I23" s="31">
        <f t="shared" si="1"/>
        <v>3559.5021059631126</v>
      </c>
      <c r="J23" s="20">
        <v>1089424993.4314301</v>
      </c>
      <c r="K23" s="31">
        <f t="shared" si="2"/>
        <v>1089.42499343143</v>
      </c>
    </row>
    <row r="24" spans="1:11" x14ac:dyDescent="0.3">
      <c r="A24" s="11">
        <v>2030</v>
      </c>
      <c r="B24" s="19" t="s">
        <v>168</v>
      </c>
      <c r="C24" s="28" t="s">
        <v>151</v>
      </c>
      <c r="D24" s="29">
        <v>1464.4822942104599</v>
      </c>
      <c r="E24" s="30">
        <v>5531485.5126124537</v>
      </c>
      <c r="F24" s="28" t="s">
        <v>152</v>
      </c>
      <c r="G24" s="31">
        <f t="shared" si="0"/>
        <v>8100.7625939026075</v>
      </c>
      <c r="H24" s="20">
        <v>3558009458.0991511</v>
      </c>
      <c r="I24" s="31">
        <f t="shared" si="1"/>
        <v>3558.0094580991513</v>
      </c>
      <c r="J24" s="20">
        <v>1055840917.097928</v>
      </c>
      <c r="K24" s="31">
        <f t="shared" si="2"/>
        <v>1055.840917097928</v>
      </c>
    </row>
    <row r="25" spans="1:11" x14ac:dyDescent="0.3">
      <c r="A25" s="11">
        <v>2030</v>
      </c>
      <c r="B25" s="19" t="s">
        <v>169</v>
      </c>
      <c r="C25" s="28" t="s">
        <v>151</v>
      </c>
      <c r="D25" s="29">
        <v>1455.449496554404</v>
      </c>
      <c r="E25" s="30">
        <v>5542515.4487594273</v>
      </c>
      <c r="F25" s="28" t="s">
        <v>152</v>
      </c>
      <c r="G25" s="31">
        <f t="shared" si="0"/>
        <v>8066.8513195419146</v>
      </c>
      <c r="H25" s="20">
        <v>3581879129.4776139</v>
      </c>
      <c r="I25" s="31">
        <f t="shared" si="1"/>
        <v>3581.8791294776138</v>
      </c>
      <c r="J25" s="20">
        <v>1027619618.145129</v>
      </c>
      <c r="K25" s="31">
        <f t="shared" si="2"/>
        <v>1027.6196181451289</v>
      </c>
    </row>
    <row r="26" spans="1:11" x14ac:dyDescent="0.3">
      <c r="A26" s="11">
        <v>2031</v>
      </c>
      <c r="B26" s="19" t="s">
        <v>170</v>
      </c>
      <c r="C26" s="28" t="s">
        <v>151</v>
      </c>
      <c r="D26" s="29">
        <v>1461.282757943271</v>
      </c>
      <c r="E26" s="30">
        <v>5553567.3789062276</v>
      </c>
      <c r="F26" s="28" t="s">
        <v>152</v>
      </c>
      <c r="G26" s="31">
        <f t="shared" si="0"/>
        <v>8115.3322558718746</v>
      </c>
      <c r="H26" s="20">
        <v>3434835261.862042</v>
      </c>
      <c r="I26" s="31">
        <f t="shared" si="1"/>
        <v>3434.835261862042</v>
      </c>
      <c r="J26" s="20">
        <v>1041239245.433762</v>
      </c>
      <c r="K26" s="31">
        <f t="shared" si="2"/>
        <v>1041.2392454337619</v>
      </c>
    </row>
    <row r="27" spans="1:11" x14ac:dyDescent="0.3">
      <c r="A27" s="11">
        <v>2031</v>
      </c>
      <c r="B27" s="19" t="s">
        <v>171</v>
      </c>
      <c r="C27" s="28" t="s">
        <v>151</v>
      </c>
      <c r="D27" s="29">
        <v>1478.999666812661</v>
      </c>
      <c r="E27" s="30">
        <v>5564641.3469095035</v>
      </c>
      <c r="F27" s="28" t="s">
        <v>152</v>
      </c>
      <c r="G27" s="31">
        <f t="shared" si="0"/>
        <v>8230.1026980111128</v>
      </c>
      <c r="H27" s="20">
        <v>3661932697.5099568</v>
      </c>
      <c r="I27" s="31">
        <f t="shared" si="1"/>
        <v>3661.9326975099571</v>
      </c>
      <c r="J27" s="20">
        <v>1098554969.484</v>
      </c>
      <c r="K27" s="31">
        <f t="shared" si="2"/>
        <v>1098.5549694839999</v>
      </c>
    </row>
    <row r="28" spans="1:11" x14ac:dyDescent="0.3">
      <c r="A28" s="11">
        <v>2031</v>
      </c>
      <c r="B28" s="19" t="s">
        <v>172</v>
      </c>
      <c r="C28" s="28" t="s">
        <v>151</v>
      </c>
      <c r="D28" s="29">
        <v>1458.805142983731</v>
      </c>
      <c r="E28" s="30">
        <v>5573661.9311028607</v>
      </c>
      <c r="F28" s="28" t="s">
        <v>152</v>
      </c>
      <c r="G28" s="31">
        <f t="shared" si="0"/>
        <v>8130.8866903454864</v>
      </c>
      <c r="H28" s="20">
        <v>3658195704.6755819</v>
      </c>
      <c r="I28" s="31">
        <f t="shared" si="1"/>
        <v>3658.195704675582</v>
      </c>
      <c r="J28" s="20">
        <v>1065428378.310703</v>
      </c>
      <c r="K28" s="31">
        <f t="shared" si="2"/>
        <v>1065.428378310703</v>
      </c>
    </row>
    <row r="29" spans="1:11" x14ac:dyDescent="0.3">
      <c r="A29" s="11">
        <v>2031</v>
      </c>
      <c r="B29" s="19" t="s">
        <v>173</v>
      </c>
      <c r="C29" s="28" t="s">
        <v>151</v>
      </c>
      <c r="D29" s="29">
        <v>1449.0339477862451</v>
      </c>
      <c r="E29" s="30">
        <v>5582697.1381504368</v>
      </c>
      <c r="F29" s="28" t="s">
        <v>152</v>
      </c>
      <c r="G29" s="31">
        <f t="shared" si="0"/>
        <v>8089.5176733891003</v>
      </c>
      <c r="H29" s="20">
        <v>3677108767.4012418</v>
      </c>
      <c r="I29" s="31">
        <f t="shared" si="1"/>
        <v>3677.1087674012419</v>
      </c>
      <c r="J29" s="20">
        <v>1037855360.589828</v>
      </c>
      <c r="K29" s="31">
        <f t="shared" si="2"/>
        <v>1037.855360589828</v>
      </c>
    </row>
    <row r="30" spans="1:11" x14ac:dyDescent="0.3">
      <c r="A30" s="11">
        <v>2032</v>
      </c>
      <c r="B30" s="19" t="s">
        <v>174</v>
      </c>
      <c r="C30" s="28" t="s">
        <v>151</v>
      </c>
      <c r="D30" s="29">
        <v>1453.932505693045</v>
      </c>
      <c r="E30" s="30">
        <v>5591746.9917566674</v>
      </c>
      <c r="F30" s="28" t="s">
        <v>152</v>
      </c>
      <c r="G30" s="31">
        <f t="shared" si="0"/>
        <v>8130.0227149263183</v>
      </c>
      <c r="H30" s="20">
        <v>3520732153.3821998</v>
      </c>
      <c r="I30" s="31">
        <f t="shared" si="1"/>
        <v>3520.7321533821996</v>
      </c>
      <c r="J30" s="20">
        <v>1049779250.4641041</v>
      </c>
      <c r="K30" s="31">
        <f t="shared" si="2"/>
        <v>1049.7792504641041</v>
      </c>
    </row>
    <row r="31" spans="1:11" x14ac:dyDescent="0.3">
      <c r="A31" s="11">
        <v>2032</v>
      </c>
      <c r="B31" s="19" t="s">
        <v>175</v>
      </c>
      <c r="C31" s="28" t="s">
        <v>151</v>
      </c>
      <c r="D31" s="29">
        <v>1470.5646367309701</v>
      </c>
      <c r="E31" s="30">
        <v>5600811.5156644154</v>
      </c>
      <c r="F31" s="28" t="s">
        <v>152</v>
      </c>
      <c r="G31" s="31">
        <f t="shared" si="0"/>
        <v>8236.3553519316756</v>
      </c>
      <c r="H31" s="20">
        <v>3752051955.1280718</v>
      </c>
      <c r="I31" s="31">
        <f t="shared" si="1"/>
        <v>3752.0519551280718</v>
      </c>
      <c r="J31" s="20">
        <v>1107723670.1148691</v>
      </c>
      <c r="K31" s="31">
        <f t="shared" si="2"/>
        <v>1107.723670114869</v>
      </c>
    </row>
    <row r="32" spans="1:11" x14ac:dyDescent="0.3">
      <c r="A32" s="11">
        <v>2032</v>
      </c>
      <c r="B32" s="19" t="s">
        <v>176</v>
      </c>
      <c r="C32" s="28" t="s">
        <v>151</v>
      </c>
      <c r="D32" s="29">
        <v>1449.961589400192</v>
      </c>
      <c r="E32" s="30">
        <v>5609890.7336550299</v>
      </c>
      <c r="F32" s="28" t="s">
        <v>152</v>
      </c>
      <c r="G32" s="31">
        <f t="shared" si="0"/>
        <v>8134.1260845318566</v>
      </c>
      <c r="H32" s="20">
        <v>3748223343.415905</v>
      </c>
      <c r="I32" s="31">
        <f t="shared" si="1"/>
        <v>3748.2233434159052</v>
      </c>
      <c r="J32" s="20">
        <v>1072919190.567789</v>
      </c>
      <c r="K32" s="31">
        <f t="shared" si="2"/>
        <v>1072.919190567789</v>
      </c>
    </row>
    <row r="33" spans="1:11" x14ac:dyDescent="0.3">
      <c r="A33" s="11">
        <v>2032</v>
      </c>
      <c r="B33" s="19" t="s">
        <v>177</v>
      </c>
      <c r="C33" s="28" t="s">
        <v>151</v>
      </c>
      <c r="D33" s="29">
        <v>1439.9722444051829</v>
      </c>
      <c r="E33" s="30">
        <v>5618984.6695484156</v>
      </c>
      <c r="F33" s="28" t="s">
        <v>152</v>
      </c>
      <c r="G33" s="31">
        <f t="shared" si="0"/>
        <v>8091.1819658879467</v>
      </c>
      <c r="H33" s="20">
        <v>3767602203.3511381</v>
      </c>
      <c r="I33" s="31">
        <f t="shared" si="1"/>
        <v>3767.6022033511381</v>
      </c>
      <c r="J33" s="20">
        <v>1043934215.991105</v>
      </c>
      <c r="K33" s="31">
        <f t="shared" si="2"/>
        <v>1043.934215991105</v>
      </c>
    </row>
    <row r="34" spans="1:11" x14ac:dyDescent="0.3">
      <c r="A34" s="11">
        <v>2033</v>
      </c>
      <c r="B34" s="19" t="s">
        <v>178</v>
      </c>
      <c r="C34" s="28" t="s">
        <v>151</v>
      </c>
      <c r="D34" s="29">
        <v>1444.6917927223201</v>
      </c>
      <c r="E34" s="30">
        <v>5628093.3472030861</v>
      </c>
      <c r="F34" s="28" t="s">
        <v>152</v>
      </c>
      <c r="G34" s="31">
        <f t="shared" si="0"/>
        <v>8130.8602673793894</v>
      </c>
      <c r="H34" s="20">
        <v>3607377504.7973061</v>
      </c>
      <c r="I34" s="31">
        <f t="shared" si="1"/>
        <v>3607.3775047973058</v>
      </c>
      <c r="J34" s="20">
        <v>1056465631.362973</v>
      </c>
      <c r="K34" s="31">
        <f t="shared" si="2"/>
        <v>1056.465631362973</v>
      </c>
    </row>
    <row r="35" spans="1:11" x14ac:dyDescent="0.3">
      <c r="A35" s="11">
        <v>2033</v>
      </c>
      <c r="B35" s="19" t="s">
        <v>179</v>
      </c>
      <c r="C35" s="28" t="s">
        <v>151</v>
      </c>
      <c r="D35" s="29">
        <v>1461.1382452464641</v>
      </c>
      <c r="E35" s="30">
        <v>5637216.790516234</v>
      </c>
      <c r="F35" s="28" t="s">
        <v>152</v>
      </c>
      <c r="G35" s="31">
        <f t="shared" si="0"/>
        <v>8236.7530493687937</v>
      </c>
      <c r="H35" s="20">
        <v>3844390452.8249621</v>
      </c>
      <c r="I35" s="31">
        <f t="shared" si="1"/>
        <v>3844.3904528249623</v>
      </c>
      <c r="J35" s="20">
        <v>1114453321.04445</v>
      </c>
      <c r="K35" s="31">
        <f t="shared" si="2"/>
        <v>1114.4533210444501</v>
      </c>
    </row>
    <row r="36" spans="1:11" x14ac:dyDescent="0.3">
      <c r="A36" s="11">
        <v>2033</v>
      </c>
      <c r="B36" s="19" t="s">
        <v>180</v>
      </c>
      <c r="C36" s="28" t="s">
        <v>151</v>
      </c>
      <c r="D36" s="29">
        <v>1440.5911028148639</v>
      </c>
      <c r="E36" s="30">
        <v>5646355.0234237881</v>
      </c>
      <c r="F36" s="28" t="s">
        <v>152</v>
      </c>
      <c r="G36" s="31">
        <f t="shared" si="0"/>
        <v>8134.0888100783213</v>
      </c>
      <c r="H36" s="20">
        <v>3840467975.5546088</v>
      </c>
      <c r="I36" s="31">
        <f t="shared" si="1"/>
        <v>3840.467975554609</v>
      </c>
      <c r="J36" s="20">
        <v>1079849537.2059691</v>
      </c>
      <c r="K36" s="31">
        <f t="shared" si="2"/>
        <v>1079.849537205969</v>
      </c>
    </row>
    <row r="37" spans="1:11" x14ac:dyDescent="0.3">
      <c r="A37" s="11">
        <v>2033</v>
      </c>
      <c r="B37" s="19" t="s">
        <v>181</v>
      </c>
      <c r="C37" s="28" t="s">
        <v>151</v>
      </c>
      <c r="D37" s="29">
        <v>1430.603946087014</v>
      </c>
      <c r="E37" s="30">
        <v>5655508.0699004801</v>
      </c>
      <c r="F37" s="28" t="s">
        <v>152</v>
      </c>
      <c r="G37" s="31">
        <f t="shared" si="0"/>
        <v>8090.7921619265799</v>
      </c>
      <c r="H37" s="20">
        <v>3860324112.8250861</v>
      </c>
      <c r="I37" s="31">
        <f t="shared" si="1"/>
        <v>3860.3241128250861</v>
      </c>
      <c r="J37" s="20">
        <v>1050714856.753379</v>
      </c>
      <c r="K37" s="31">
        <f t="shared" si="2"/>
        <v>1050.7148567533791</v>
      </c>
    </row>
    <row r="38" spans="1:11" x14ac:dyDescent="0.3">
      <c r="A38" s="11">
        <v>2034</v>
      </c>
      <c r="B38" s="19" t="s">
        <v>182</v>
      </c>
      <c r="C38" s="28" t="s">
        <v>151</v>
      </c>
      <c r="D38" s="29">
        <v>1435.245049278906</v>
      </c>
      <c r="E38" s="30">
        <v>5664675.9539599055</v>
      </c>
      <c r="F38" s="28" t="s">
        <v>152</v>
      </c>
      <c r="G38" s="31">
        <f t="shared" ref="G38:G69" si="3">D38*E38/1000000</f>
        <v>8130.1981186902176</v>
      </c>
      <c r="H38" s="20">
        <v>3696156576.7097759</v>
      </c>
      <c r="I38" s="31">
        <f t="shared" ref="I38:I69" si="4">H38/1000000</f>
        <v>3696.1565767097759</v>
      </c>
      <c r="J38" s="20">
        <v>1063507312.9504091</v>
      </c>
      <c r="K38" s="31">
        <f t="shared" ref="K38:K69" si="5">J38/1000000</f>
        <v>1063.507312950409</v>
      </c>
    </row>
    <row r="39" spans="1:11" x14ac:dyDescent="0.3">
      <c r="A39" s="11">
        <v>2034</v>
      </c>
      <c r="B39" s="19" t="s">
        <v>183</v>
      </c>
      <c r="C39" s="28" t="s">
        <v>151</v>
      </c>
      <c r="D39" s="29">
        <v>1451.5487654233441</v>
      </c>
      <c r="E39" s="30">
        <v>5673858.6996545894</v>
      </c>
      <c r="F39" s="28" t="s">
        <v>152</v>
      </c>
      <c r="G39" s="31">
        <f t="shared" si="3"/>
        <v>8235.8825906701186</v>
      </c>
      <c r="H39" s="20">
        <v>3939002879.6712379</v>
      </c>
      <c r="I39" s="31">
        <f t="shared" si="4"/>
        <v>3939.0028796712381</v>
      </c>
      <c r="J39" s="20">
        <v>1121521900.607882</v>
      </c>
      <c r="K39" s="31">
        <f t="shared" si="5"/>
        <v>1121.5219006078821</v>
      </c>
    </row>
    <row r="40" spans="1:11" x14ac:dyDescent="0.3">
      <c r="A40" s="11">
        <v>2034</v>
      </c>
      <c r="B40" s="19" t="s">
        <v>184</v>
      </c>
      <c r="C40" s="28" t="s">
        <v>151</v>
      </c>
      <c r="D40" s="29">
        <v>1431.1798192774879</v>
      </c>
      <c r="E40" s="30">
        <v>5683056.3310760427</v>
      </c>
      <c r="F40" s="28" t="s">
        <v>152</v>
      </c>
      <c r="G40" s="31">
        <f t="shared" si="3"/>
        <v>8133.4755328531946</v>
      </c>
      <c r="H40" s="20">
        <v>3934984235.0575352</v>
      </c>
      <c r="I40" s="31">
        <f t="shared" si="4"/>
        <v>3934.984235057535</v>
      </c>
      <c r="J40" s="20">
        <v>1087356096.9920521</v>
      </c>
      <c r="K40" s="31">
        <f t="shared" si="5"/>
        <v>1087.356096992052</v>
      </c>
    </row>
    <row r="41" spans="1:11" x14ac:dyDescent="0.3">
      <c r="A41" s="11">
        <v>2034</v>
      </c>
      <c r="B41" s="19" t="s">
        <v>185</v>
      </c>
      <c r="C41" s="28" t="s">
        <v>151</v>
      </c>
      <c r="D41" s="29">
        <v>1421.3208561791639</v>
      </c>
      <c r="E41" s="30">
        <v>5692268.8723548334</v>
      </c>
      <c r="F41" s="28" t="s">
        <v>152</v>
      </c>
      <c r="G41" s="31">
        <f t="shared" si="3"/>
        <v>8090.5404672573759</v>
      </c>
      <c r="H41" s="20">
        <v>3955329412.9586258</v>
      </c>
      <c r="I41" s="31">
        <f t="shared" si="4"/>
        <v>3955.3294129586257</v>
      </c>
      <c r="J41" s="20">
        <v>1058064221.207599</v>
      </c>
      <c r="K41" s="31">
        <f t="shared" si="5"/>
        <v>1058.0642212075991</v>
      </c>
    </row>
    <row r="42" spans="1:11" x14ac:dyDescent="0.3">
      <c r="A42" s="11">
        <v>2035</v>
      </c>
      <c r="B42" s="19" t="s">
        <v>186</v>
      </c>
      <c r="C42" s="28" t="s">
        <v>151</v>
      </c>
      <c r="D42" s="29">
        <v>1425.991643880021</v>
      </c>
      <c r="E42" s="30">
        <v>5701496.3476606458</v>
      </c>
      <c r="F42" s="28" t="s">
        <v>152</v>
      </c>
      <c r="G42" s="31">
        <f t="shared" si="3"/>
        <v>8130.2861493765404</v>
      </c>
      <c r="H42" s="20">
        <v>3787121951.4706922</v>
      </c>
      <c r="I42" s="31">
        <f t="shared" si="4"/>
        <v>3787.1219514706922</v>
      </c>
      <c r="J42" s="20">
        <v>1070699376.696231</v>
      </c>
      <c r="K42" s="31">
        <f t="shared" si="5"/>
        <v>1070.699376696231</v>
      </c>
    </row>
    <row r="43" spans="1:11" x14ac:dyDescent="0.3">
      <c r="A43" s="11">
        <v>2035</v>
      </c>
      <c r="B43" s="19" t="s">
        <v>187</v>
      </c>
      <c r="C43" s="28" t="s">
        <v>151</v>
      </c>
      <c r="D43" s="29">
        <v>1442.2396973749489</v>
      </c>
      <c r="E43" s="30">
        <v>5710738.7812023442</v>
      </c>
      <c r="F43" s="28" t="s">
        <v>152</v>
      </c>
      <c r="G43" s="31">
        <f t="shared" si="3"/>
        <v>8236.2541715886528</v>
      </c>
      <c r="H43" s="20">
        <v>4035945273.5182662</v>
      </c>
      <c r="I43" s="31">
        <f t="shared" si="4"/>
        <v>4035.9452735182663</v>
      </c>
      <c r="J43" s="20">
        <v>1128940950.2157331</v>
      </c>
      <c r="K43" s="31">
        <f t="shared" si="5"/>
        <v>1128.940950215733</v>
      </c>
    </row>
    <row r="44" spans="1:11" x14ac:dyDescent="0.3">
      <c r="A44" s="11">
        <v>2035</v>
      </c>
      <c r="B44" s="19" t="s">
        <v>188</v>
      </c>
      <c r="C44" s="28" t="s">
        <v>151</v>
      </c>
      <c r="D44" s="29">
        <v>1422.038423347045</v>
      </c>
      <c r="E44" s="30">
        <v>5719996.1972280368</v>
      </c>
      <c r="F44" s="28" t="s">
        <v>152</v>
      </c>
      <c r="G44" s="31">
        <f t="shared" si="3"/>
        <v>8134.0543738572505</v>
      </c>
      <c r="H44" s="20">
        <v>4031828103.3192701</v>
      </c>
      <c r="I44" s="31">
        <f t="shared" si="4"/>
        <v>4031.8281033192702</v>
      </c>
      <c r="J44" s="20">
        <v>1094292738.025418</v>
      </c>
      <c r="K44" s="31">
        <f t="shared" si="5"/>
        <v>1094.292738025418</v>
      </c>
    </row>
    <row r="45" spans="1:11" x14ac:dyDescent="0.3">
      <c r="A45" s="11">
        <v>2035</v>
      </c>
      <c r="B45" s="19" t="s">
        <v>189</v>
      </c>
      <c r="C45" s="28" t="s">
        <v>151</v>
      </c>
      <c r="D45" s="29">
        <v>1412.269190539821</v>
      </c>
      <c r="E45" s="30">
        <v>5729268.6200251402</v>
      </c>
      <c r="F45" s="28" t="s">
        <v>152</v>
      </c>
      <c r="G45" s="31">
        <f t="shared" si="3"/>
        <v>8091.2695563881025</v>
      </c>
      <c r="H45" s="20">
        <v>4052674375.30721</v>
      </c>
      <c r="I45" s="31">
        <f t="shared" si="4"/>
        <v>4052.6743753072101</v>
      </c>
      <c r="J45" s="20">
        <v>1064426594.8059601</v>
      </c>
      <c r="K45" s="31">
        <f t="shared" si="5"/>
        <v>1064.4265948059601</v>
      </c>
    </row>
    <row r="46" spans="1:11" x14ac:dyDescent="0.3">
      <c r="A46" s="11">
        <v>2036</v>
      </c>
      <c r="B46" s="19" t="s">
        <v>190</v>
      </c>
      <c r="C46" s="28" t="s">
        <v>151</v>
      </c>
      <c r="D46" s="29">
        <v>1416.929216340825</v>
      </c>
      <c r="E46" s="30">
        <v>5738556.0739204409</v>
      </c>
      <c r="F46" s="28" t="s">
        <v>152</v>
      </c>
      <c r="G46" s="31">
        <f t="shared" si="3"/>
        <v>8131.1277607479715</v>
      </c>
      <c r="H46" s="20">
        <v>3880327508.2751231</v>
      </c>
      <c r="I46" s="31">
        <f t="shared" si="4"/>
        <v>3880.3275082751229</v>
      </c>
      <c r="J46" s="20">
        <v>1077021071.416455</v>
      </c>
      <c r="K46" s="31">
        <f t="shared" si="5"/>
        <v>1077.021071416455</v>
      </c>
    </row>
    <row r="47" spans="1:11" x14ac:dyDescent="0.3">
      <c r="A47" s="11">
        <v>2036</v>
      </c>
      <c r="B47" s="19" t="s">
        <v>191</v>
      </c>
      <c r="C47" s="28" t="s">
        <v>151</v>
      </c>
      <c r="D47" s="29">
        <v>1433.087328234991</v>
      </c>
      <c r="E47" s="30">
        <v>5747858.5832801601</v>
      </c>
      <c r="F47" s="28" t="s">
        <v>152</v>
      </c>
      <c r="G47" s="31">
        <f t="shared" si="3"/>
        <v>8237.1833001855248</v>
      </c>
      <c r="H47" s="20">
        <v>4135275054.292098</v>
      </c>
      <c r="I47" s="31">
        <f t="shared" si="4"/>
        <v>4135.2750542920976</v>
      </c>
      <c r="J47" s="20">
        <v>1135559408.1451931</v>
      </c>
      <c r="K47" s="31">
        <f t="shared" si="5"/>
        <v>1135.5594081451932</v>
      </c>
    </row>
    <row r="48" spans="1:11" x14ac:dyDescent="0.3">
      <c r="A48" s="11">
        <v>2036</v>
      </c>
      <c r="B48" s="19" t="s">
        <v>192</v>
      </c>
      <c r="C48" s="28" t="s">
        <v>151</v>
      </c>
      <c r="D48" s="29">
        <v>1412.9549642574959</v>
      </c>
      <c r="E48" s="30">
        <v>5757176.1725100204</v>
      </c>
      <c r="F48" s="28" t="s">
        <v>152</v>
      </c>
      <c r="G48" s="31">
        <f t="shared" si="3"/>
        <v>8134.6306530530037</v>
      </c>
      <c r="H48" s="20">
        <v>4129678293.8534641</v>
      </c>
      <c r="I48" s="31">
        <f t="shared" si="4"/>
        <v>4129.6782938534643</v>
      </c>
      <c r="J48" s="20">
        <v>1100458988.6526411</v>
      </c>
      <c r="K48" s="31">
        <f t="shared" si="5"/>
        <v>1100.458988652641</v>
      </c>
    </row>
    <row r="49" spans="1:11" x14ac:dyDescent="0.3">
      <c r="A49" s="11">
        <v>2036</v>
      </c>
      <c r="B49" s="19" t="s">
        <v>193</v>
      </c>
      <c r="C49" s="28" t="s">
        <v>151</v>
      </c>
      <c r="D49" s="29">
        <v>1403.150165785514</v>
      </c>
      <c r="E49" s="30">
        <v>5766508.8660553033</v>
      </c>
      <c r="F49" s="28" t="s">
        <v>152</v>
      </c>
      <c r="G49" s="31">
        <f t="shared" si="3"/>
        <v>8091.2778714091346</v>
      </c>
      <c r="H49" s="20">
        <v>4149645567.947649</v>
      </c>
      <c r="I49" s="31">
        <f t="shared" si="4"/>
        <v>4149.6455679476494</v>
      </c>
      <c r="J49" s="20">
        <v>1070247960.989827</v>
      </c>
      <c r="K49" s="31">
        <f t="shared" si="5"/>
        <v>1070.2479609898271</v>
      </c>
    </row>
    <row r="50" spans="1:11" x14ac:dyDescent="0.3">
      <c r="A50" s="11">
        <v>2037</v>
      </c>
      <c r="B50" s="19" t="s">
        <v>194</v>
      </c>
      <c r="C50" s="28" t="s">
        <v>151</v>
      </c>
      <c r="D50" s="29">
        <v>1407.6604272939221</v>
      </c>
      <c r="E50" s="30">
        <v>5775856.6884009233</v>
      </c>
      <c r="F50" s="28" t="s">
        <v>152</v>
      </c>
      <c r="G50" s="31">
        <f t="shared" si="3"/>
        <v>8130.4448939829017</v>
      </c>
      <c r="H50" s="20">
        <v>3971849249.917161</v>
      </c>
      <c r="I50" s="31">
        <f t="shared" si="4"/>
        <v>3971.8492499171612</v>
      </c>
      <c r="J50" s="20">
        <v>1082789480.962487</v>
      </c>
      <c r="K50" s="31">
        <f t="shared" si="5"/>
        <v>1082.789480962487</v>
      </c>
    </row>
    <row r="51" spans="1:11" x14ac:dyDescent="0.3">
      <c r="A51" s="11">
        <v>2037</v>
      </c>
      <c r="B51" s="19" t="s">
        <v>195</v>
      </c>
      <c r="C51" s="28" t="s">
        <v>151</v>
      </c>
      <c r="D51" s="29">
        <v>1423.5799671988041</v>
      </c>
      <c r="E51" s="30">
        <v>5785219.6640714807</v>
      </c>
      <c r="F51" s="28" t="s">
        <v>152</v>
      </c>
      <c r="G51" s="31">
        <f t="shared" si="3"/>
        <v>8235.7228196167544</v>
      </c>
      <c r="H51" s="20">
        <v>4231397801.8531599</v>
      </c>
      <c r="I51" s="31">
        <f t="shared" si="4"/>
        <v>4231.3978018531598</v>
      </c>
      <c r="J51" s="20">
        <v>1141544094.9184461</v>
      </c>
      <c r="K51" s="31">
        <f t="shared" si="5"/>
        <v>1141.544094918446</v>
      </c>
    </row>
    <row r="52" spans="1:11" x14ac:dyDescent="0.3">
      <c r="A52" s="11">
        <v>2037</v>
      </c>
      <c r="B52" s="19" t="s">
        <v>196</v>
      </c>
      <c r="C52" s="28" t="s">
        <v>151</v>
      </c>
      <c r="D52" s="29">
        <v>1403.5115569815621</v>
      </c>
      <c r="E52" s="30">
        <v>5794597.817631335</v>
      </c>
      <c r="F52" s="28" t="s">
        <v>152</v>
      </c>
      <c r="G52" s="31">
        <f t="shared" si="3"/>
        <v>8132.7850051057167</v>
      </c>
      <c r="H52" s="20">
        <v>4225671344.1265702</v>
      </c>
      <c r="I52" s="31">
        <f t="shared" si="4"/>
        <v>4225.6713441265701</v>
      </c>
      <c r="J52" s="20">
        <v>1106397262.0845211</v>
      </c>
      <c r="K52" s="31">
        <f t="shared" si="5"/>
        <v>1106.3972620845211</v>
      </c>
    </row>
    <row r="53" spans="1:11" x14ac:dyDescent="0.3">
      <c r="A53" s="11">
        <v>2037</v>
      </c>
      <c r="B53" s="19" t="s">
        <v>197</v>
      </c>
      <c r="C53" s="28" t="s">
        <v>151</v>
      </c>
      <c r="D53" s="29">
        <v>1393.7356110273099</v>
      </c>
      <c r="E53" s="30">
        <v>5803991.1736846631</v>
      </c>
      <c r="F53" s="28" t="s">
        <v>152</v>
      </c>
      <c r="G53" s="31">
        <f t="shared" si="3"/>
        <v>8089.2291848525074</v>
      </c>
      <c r="H53" s="20">
        <v>4246103150.380363</v>
      </c>
      <c r="I53" s="31">
        <f t="shared" si="4"/>
        <v>4246.1031503803633</v>
      </c>
      <c r="J53" s="20">
        <v>1076086132.4798219</v>
      </c>
      <c r="K53" s="31">
        <f t="shared" si="5"/>
        <v>1076.086132479822</v>
      </c>
    </row>
    <row r="54" spans="1:11" x14ac:dyDescent="0.3">
      <c r="A54" s="11">
        <v>2038</v>
      </c>
      <c r="B54" s="19" t="s">
        <v>198</v>
      </c>
      <c r="C54" s="28" t="s">
        <v>151</v>
      </c>
      <c r="D54" s="29">
        <v>1398.1961248787579</v>
      </c>
      <c r="E54" s="30">
        <v>5813399.756875529</v>
      </c>
      <c r="F54" s="28" t="s">
        <v>152</v>
      </c>
      <c r="G54" s="31">
        <f t="shared" si="3"/>
        <v>8128.273012434478</v>
      </c>
      <c r="H54" s="20">
        <v>4064174379.1427622</v>
      </c>
      <c r="I54" s="31">
        <f t="shared" si="4"/>
        <v>4064.1743791427621</v>
      </c>
      <c r="J54" s="20">
        <v>1088771817.594007</v>
      </c>
      <c r="K54" s="31">
        <f t="shared" si="5"/>
        <v>1088.771817594007</v>
      </c>
    </row>
    <row r="55" spans="1:11" x14ac:dyDescent="0.3">
      <c r="A55" s="11">
        <v>2038</v>
      </c>
      <c r="B55" s="19" t="s">
        <v>199</v>
      </c>
      <c r="C55" s="28" t="s">
        <v>151</v>
      </c>
      <c r="D55" s="29">
        <v>1413.998224243622</v>
      </c>
      <c r="E55" s="30">
        <v>5822823.5918879453</v>
      </c>
      <c r="F55" s="28" t="s">
        <v>152</v>
      </c>
      <c r="G55" s="31">
        <f t="shared" si="3"/>
        <v>8233.4622190134232</v>
      </c>
      <c r="H55" s="20">
        <v>4329756511.7344904</v>
      </c>
      <c r="I55" s="31">
        <f t="shared" si="4"/>
        <v>4329.7565117344902</v>
      </c>
      <c r="J55" s="20">
        <v>1147965249.2423289</v>
      </c>
      <c r="K55" s="31">
        <f t="shared" si="5"/>
        <v>1147.9652492423288</v>
      </c>
    </row>
    <row r="56" spans="1:11" x14ac:dyDescent="0.3">
      <c r="A56" s="11">
        <v>2038</v>
      </c>
      <c r="B56" s="19" t="s">
        <v>200</v>
      </c>
      <c r="C56" s="28" t="s">
        <v>151</v>
      </c>
      <c r="D56" s="29">
        <v>1394.0594937978881</v>
      </c>
      <c r="E56" s="30">
        <v>5832262.7034459384</v>
      </c>
      <c r="F56" s="28" t="s">
        <v>152</v>
      </c>
      <c r="G56" s="31">
        <f t="shared" si="3"/>
        <v>8130.5211920621468</v>
      </c>
      <c r="H56" s="20">
        <v>4323897350.0652981</v>
      </c>
      <c r="I56" s="31">
        <f t="shared" si="4"/>
        <v>4323.8973500652983</v>
      </c>
      <c r="J56" s="20">
        <v>1112648553.57111</v>
      </c>
      <c r="K56" s="31">
        <f t="shared" si="5"/>
        <v>1112.6485535711099</v>
      </c>
    </row>
    <row r="57" spans="1:11" x14ac:dyDescent="0.3">
      <c r="A57" s="11">
        <v>2038</v>
      </c>
      <c r="B57" s="19" t="s">
        <v>201</v>
      </c>
      <c r="C57" s="28" t="s">
        <v>151</v>
      </c>
      <c r="D57" s="29">
        <v>1384.3465860910021</v>
      </c>
      <c r="E57" s="30">
        <v>5841717.116313614</v>
      </c>
      <c r="F57" s="28" t="s">
        <v>152</v>
      </c>
      <c r="G57" s="31">
        <f t="shared" si="3"/>
        <v>8086.961146878125</v>
      </c>
      <c r="H57" s="20">
        <v>4344804504.6179991</v>
      </c>
      <c r="I57" s="31">
        <f t="shared" si="4"/>
        <v>4344.8045046179986</v>
      </c>
      <c r="J57" s="20">
        <v>1082159876.635226</v>
      </c>
      <c r="K57" s="31">
        <f t="shared" si="5"/>
        <v>1082.1598766352261</v>
      </c>
    </row>
    <row r="58" spans="1:11" x14ac:dyDescent="0.3">
      <c r="A58" s="11">
        <v>2039</v>
      </c>
      <c r="B58" s="19" t="s">
        <v>202</v>
      </c>
      <c r="C58" s="28" t="s">
        <v>151</v>
      </c>
      <c r="D58" s="29">
        <v>1388.775601269655</v>
      </c>
      <c r="E58" s="30">
        <v>5851186.8552952204</v>
      </c>
      <c r="F58" s="28" t="s">
        <v>152</v>
      </c>
      <c r="G58" s="31">
        <f t="shared" si="3"/>
        <v>8125.9855431037213</v>
      </c>
      <c r="H58" s="20">
        <v>4158647162.0185542</v>
      </c>
      <c r="I58" s="31">
        <f t="shared" si="4"/>
        <v>4158.6471620185539</v>
      </c>
      <c r="J58" s="20">
        <v>1094937619.5342669</v>
      </c>
      <c r="K58" s="31">
        <f t="shared" si="5"/>
        <v>1094.937619534267</v>
      </c>
    </row>
    <row r="59" spans="1:11" x14ac:dyDescent="0.3">
      <c r="A59" s="11">
        <v>2039</v>
      </c>
      <c r="B59" s="19" t="s">
        <v>203</v>
      </c>
      <c r="C59" s="28" t="s">
        <v>151</v>
      </c>
      <c r="D59" s="29">
        <v>1404.470489876775</v>
      </c>
      <c r="E59" s="30">
        <v>5860671.945235217</v>
      </c>
      <c r="F59" s="28" t="s">
        <v>152</v>
      </c>
      <c r="G59" s="31">
        <f t="shared" si="3"/>
        <v>8231.1407979315773</v>
      </c>
      <c r="H59" s="20">
        <v>4430403238.1154766</v>
      </c>
      <c r="I59" s="31">
        <f t="shared" si="4"/>
        <v>4430.4032381154766</v>
      </c>
      <c r="J59" s="20">
        <v>1154515458.9334869</v>
      </c>
      <c r="K59" s="31">
        <f t="shared" si="5"/>
        <v>1154.515458933487</v>
      </c>
    </row>
    <row r="60" spans="1:11" x14ac:dyDescent="0.3">
      <c r="A60" s="11">
        <v>2039</v>
      </c>
      <c r="B60" s="19" t="s">
        <v>204</v>
      </c>
      <c r="C60" s="28" t="s">
        <v>151</v>
      </c>
      <c r="D60" s="29">
        <v>1384.6657535977411</v>
      </c>
      <c r="E60" s="30">
        <v>5870172.4110183371</v>
      </c>
      <c r="F60" s="28" t="s">
        <v>152</v>
      </c>
      <c r="G60" s="31">
        <f t="shared" si="3"/>
        <v>8128.2267052513744</v>
      </c>
      <c r="H60" s="20">
        <v>4424408296.121748</v>
      </c>
      <c r="I60" s="31">
        <f t="shared" si="4"/>
        <v>4424.4082961217482</v>
      </c>
      <c r="J60" s="20">
        <v>1119012568.866302</v>
      </c>
      <c r="K60" s="31">
        <f t="shared" si="5"/>
        <v>1119.012568866302</v>
      </c>
    </row>
    <row r="61" spans="1:11" x14ac:dyDescent="0.3">
      <c r="A61" s="11">
        <v>2039</v>
      </c>
      <c r="B61" s="19" t="s">
        <v>205</v>
      </c>
      <c r="C61" s="28" t="s">
        <v>151</v>
      </c>
      <c r="D61" s="29">
        <v>1375.0181373721159</v>
      </c>
      <c r="E61" s="30">
        <v>5879688.2775696525</v>
      </c>
      <c r="F61" s="28" t="s">
        <v>152</v>
      </c>
      <c r="G61" s="31">
        <f t="shared" si="3"/>
        <v>8084.6780237524881</v>
      </c>
      <c r="H61" s="20">
        <v>4445801867.1888332</v>
      </c>
      <c r="I61" s="31">
        <f t="shared" si="4"/>
        <v>4445.8018671888331</v>
      </c>
      <c r="J61" s="20">
        <v>1088341696.8003919</v>
      </c>
      <c r="K61" s="31">
        <f t="shared" si="5"/>
        <v>1088.3416968003919</v>
      </c>
    </row>
    <row r="62" spans="1:11" x14ac:dyDescent="0.3">
      <c r="A62" s="11">
        <v>2040</v>
      </c>
      <c r="B62" s="19" t="s">
        <v>206</v>
      </c>
      <c r="C62" s="28" t="s">
        <v>151</v>
      </c>
      <c r="D62" s="29">
        <v>1379.4172513089161</v>
      </c>
      <c r="E62" s="30">
        <v>5889219.5698546385</v>
      </c>
      <c r="F62" s="28" t="s">
        <v>152</v>
      </c>
      <c r="G62" s="31">
        <f t="shared" si="3"/>
        <v>8123.6910714035621</v>
      </c>
      <c r="H62" s="20">
        <v>4255317597.635993</v>
      </c>
      <c r="I62" s="31">
        <f t="shared" si="4"/>
        <v>4255.3175976359926</v>
      </c>
      <c r="J62" s="20">
        <v>1101211431.555887</v>
      </c>
      <c r="K62" s="31">
        <f t="shared" si="5"/>
        <v>1101.211431555887</v>
      </c>
    </row>
    <row r="63" spans="1:11" x14ac:dyDescent="0.3">
      <c r="A63" s="11">
        <v>2040</v>
      </c>
      <c r="B63" s="19" t="s">
        <v>207</v>
      </c>
      <c r="C63" s="28" t="s">
        <v>151</v>
      </c>
      <c r="D63" s="29">
        <v>1395.0063757491871</v>
      </c>
      <c r="E63" s="30">
        <v>5898766.3128792467</v>
      </c>
      <c r="F63" s="28" t="s">
        <v>152</v>
      </c>
      <c r="G63" s="31">
        <f t="shared" si="3"/>
        <v>8228.8166155210729</v>
      </c>
      <c r="H63" s="20">
        <v>4533391248.1229773</v>
      </c>
      <c r="I63" s="31">
        <f t="shared" si="4"/>
        <v>4533.3912481229772</v>
      </c>
      <c r="J63" s="20">
        <v>1161178879.7839689</v>
      </c>
      <c r="K63" s="31">
        <f t="shared" si="5"/>
        <v>1161.178879783969</v>
      </c>
    </row>
    <row r="64" spans="1:11" x14ac:dyDescent="0.3">
      <c r="A64" s="11">
        <v>2040</v>
      </c>
      <c r="B64" s="19" t="s">
        <v>208</v>
      </c>
      <c r="C64" s="28" t="s">
        <v>151</v>
      </c>
      <c r="D64" s="29">
        <v>1375.3351190464509</v>
      </c>
      <c r="E64" s="30">
        <v>5908328.5316899568</v>
      </c>
      <c r="F64" s="28" t="s">
        <v>152</v>
      </c>
      <c r="G64" s="31">
        <f t="shared" si="3"/>
        <v>8125.9317244973499</v>
      </c>
      <c r="H64" s="20">
        <v>4527257378.0777407</v>
      </c>
      <c r="I64" s="31">
        <f t="shared" si="4"/>
        <v>4527.2573780777411</v>
      </c>
      <c r="J64" s="20">
        <v>1125486457.4663341</v>
      </c>
      <c r="K64" s="31">
        <f t="shared" si="5"/>
        <v>1125.4864574663341</v>
      </c>
    </row>
    <row r="65" spans="1:11" x14ac:dyDescent="0.3">
      <c r="A65" s="11">
        <v>2040</v>
      </c>
      <c r="B65" s="19" t="s">
        <v>209</v>
      </c>
      <c r="C65" s="28" t="s">
        <v>151</v>
      </c>
      <c r="D65" s="29">
        <v>1365.752551454581</v>
      </c>
      <c r="E65" s="30">
        <v>5917906.2513738554</v>
      </c>
      <c r="F65" s="28" t="s">
        <v>152</v>
      </c>
      <c r="G65" s="31">
        <f t="shared" si="3"/>
        <v>8082.3955620828583</v>
      </c>
      <c r="H65" s="20">
        <v>4549148691.8317947</v>
      </c>
      <c r="I65" s="31">
        <f t="shared" si="4"/>
        <v>4549.1486918317951</v>
      </c>
      <c r="J65" s="20">
        <v>1094630412.1823289</v>
      </c>
      <c r="K65" s="31">
        <f t="shared" si="5"/>
        <v>1094.6304121823289</v>
      </c>
    </row>
    <row r="66" spans="1:11" x14ac:dyDescent="0.3">
      <c r="A66" s="11">
        <v>2041</v>
      </c>
      <c r="B66" s="19" t="s">
        <v>210</v>
      </c>
      <c r="C66" s="28" t="s">
        <v>151</v>
      </c>
      <c r="D66" s="29">
        <v>1370.1220666919351</v>
      </c>
      <c r="E66" s="30">
        <v>5927499.4970586952</v>
      </c>
      <c r="F66" s="28" t="s">
        <v>152</v>
      </c>
      <c r="G66" s="31">
        <f t="shared" si="3"/>
        <v>8121.397861225465</v>
      </c>
      <c r="H66" s="20">
        <v>4354236850.1675215</v>
      </c>
      <c r="I66" s="31">
        <f t="shared" si="4"/>
        <v>4354.2368501675219</v>
      </c>
      <c r="J66" s="20">
        <v>1107593825.8813231</v>
      </c>
      <c r="K66" s="31">
        <f t="shared" si="5"/>
        <v>1107.593825881323</v>
      </c>
    </row>
    <row r="67" spans="1:11" x14ac:dyDescent="0.3">
      <c r="A67" s="11">
        <v>2041</v>
      </c>
      <c r="B67" s="19" t="s">
        <v>211</v>
      </c>
      <c r="C67" s="28" t="s">
        <v>151</v>
      </c>
      <c r="D67" s="29">
        <v>1385.606192837952</v>
      </c>
      <c r="E67" s="30">
        <v>5937108.2939129621</v>
      </c>
      <c r="F67" s="28" t="s">
        <v>152</v>
      </c>
      <c r="G67" s="31">
        <f t="shared" si="3"/>
        <v>8226.4940195953677</v>
      </c>
      <c r="H67" s="20">
        <v>4638775050.1239052</v>
      </c>
      <c r="I67" s="31">
        <f t="shared" si="4"/>
        <v>4638.7750501239052</v>
      </c>
      <c r="J67" s="20">
        <v>1167957709.217406</v>
      </c>
      <c r="K67" s="31">
        <f t="shared" si="5"/>
        <v>1167.9577092174061</v>
      </c>
    </row>
    <row r="68" spans="1:11" x14ac:dyDescent="0.3">
      <c r="A68" s="11">
        <v>2041</v>
      </c>
      <c r="B68" s="19" t="s">
        <v>212</v>
      </c>
      <c r="C68" s="28" t="s">
        <v>151</v>
      </c>
      <c r="D68" s="29">
        <v>1366.06819648383</v>
      </c>
      <c r="E68" s="30">
        <v>5945255.0343651855</v>
      </c>
      <c r="F68" s="28" t="s">
        <v>152</v>
      </c>
      <c r="G68" s="31">
        <f t="shared" si="3"/>
        <v>8121.6238224316594</v>
      </c>
      <c r="H68" s="20">
        <v>4630951516.1675367</v>
      </c>
      <c r="I68" s="31">
        <f t="shared" si="4"/>
        <v>4630.9515161675363</v>
      </c>
      <c r="J68" s="20">
        <v>1131863704.4097581</v>
      </c>
      <c r="K68" s="31">
        <f t="shared" si="5"/>
        <v>1131.8637044097582</v>
      </c>
    </row>
    <row r="69" spans="1:11" x14ac:dyDescent="0.3">
      <c r="A69" s="11">
        <v>2041</v>
      </c>
      <c r="B69" s="19" t="s">
        <v>213</v>
      </c>
      <c r="C69" s="28" t="s">
        <v>151</v>
      </c>
      <c r="D69" s="29">
        <v>1356.5512464108731</v>
      </c>
      <c r="E69" s="30">
        <v>5953412.9535557292</v>
      </c>
      <c r="F69" s="28" t="s">
        <v>152</v>
      </c>
      <c r="G69" s="31">
        <f t="shared" si="3"/>
        <v>8076.1097625446619</v>
      </c>
      <c r="H69" s="20">
        <v>4651790200.9300909</v>
      </c>
      <c r="I69" s="31">
        <f t="shared" si="4"/>
        <v>4651.7902009300906</v>
      </c>
      <c r="J69" s="20">
        <v>1100691957.668704</v>
      </c>
      <c r="K69" s="31">
        <f t="shared" si="5"/>
        <v>1100.6919576687039</v>
      </c>
    </row>
    <row r="70" spans="1:11" x14ac:dyDescent="0.3">
      <c r="A70" s="11">
        <v>2042</v>
      </c>
      <c r="B70" s="19" t="s">
        <v>214</v>
      </c>
      <c r="C70" s="28" t="s">
        <v>151</v>
      </c>
      <c r="D70" s="29">
        <v>1360.892564671542</v>
      </c>
      <c r="E70" s="30">
        <v>5961582.0668237573</v>
      </c>
      <c r="F70" s="28" t="s">
        <v>152</v>
      </c>
      <c r="G70" s="31">
        <f t="shared" ref="G70:G105" si="6">D70*E70/1000000</f>
        <v>8113.0727084196551</v>
      </c>
      <c r="H70" s="20">
        <v>4450993647.781456</v>
      </c>
      <c r="I70" s="31">
        <f t="shared" ref="I70:I101" si="7">H70/1000000</f>
        <v>4450.9936477814563</v>
      </c>
      <c r="J70" s="20">
        <v>1113627648.1615131</v>
      </c>
      <c r="K70" s="31">
        <f t="shared" ref="K70:K101" si="8">J70/1000000</f>
        <v>1113.627648161513</v>
      </c>
    </row>
    <row r="71" spans="1:11" x14ac:dyDescent="0.3">
      <c r="A71" s="11">
        <v>2042</v>
      </c>
      <c r="B71" s="19" t="s">
        <v>215</v>
      </c>
      <c r="C71" s="28" t="s">
        <v>151</v>
      </c>
      <c r="D71" s="29">
        <v>1376.2737418983479</v>
      </c>
      <c r="E71" s="30">
        <v>5969762.3895294825</v>
      </c>
      <c r="F71" s="28" t="s">
        <v>152</v>
      </c>
      <c r="G71" s="31">
        <f t="shared" si="6"/>
        <v>8216.0272220817624</v>
      </c>
      <c r="H71" s="20">
        <v>4740271061.1063099</v>
      </c>
      <c r="I71" s="31">
        <f t="shared" si="7"/>
        <v>4740.2710611063103</v>
      </c>
      <c r="J71" s="20">
        <v>1174236911.3800189</v>
      </c>
      <c r="K71" s="31">
        <f t="shared" si="8"/>
        <v>1174.2369113800189</v>
      </c>
    </row>
    <row r="72" spans="1:11" x14ac:dyDescent="0.3">
      <c r="A72" s="11">
        <v>2042</v>
      </c>
      <c r="B72" s="19" t="s">
        <v>216</v>
      </c>
      <c r="C72" s="28" t="s">
        <v>151</v>
      </c>
      <c r="D72" s="29">
        <v>1356.8680774444799</v>
      </c>
      <c r="E72" s="30">
        <v>5977953.9370541936</v>
      </c>
      <c r="F72" s="28" t="s">
        <v>152</v>
      </c>
      <c r="G72" s="31">
        <f t="shared" si="6"/>
        <v>8111.2948656223834</v>
      </c>
      <c r="H72" s="20">
        <v>4732276799.5176811</v>
      </c>
      <c r="I72" s="31">
        <f t="shared" si="7"/>
        <v>4732.276799517681</v>
      </c>
      <c r="J72" s="20">
        <v>1138105255.6464469</v>
      </c>
      <c r="K72" s="31">
        <f t="shared" si="8"/>
        <v>1138.1052556464469</v>
      </c>
    </row>
    <row r="73" spans="1:11" x14ac:dyDescent="0.3">
      <c r="A73" s="11">
        <v>2042</v>
      </c>
      <c r="B73" s="19" t="s">
        <v>217</v>
      </c>
      <c r="C73" s="28" t="s">
        <v>151</v>
      </c>
      <c r="D73" s="29">
        <v>1347.415636564893</v>
      </c>
      <c r="E73" s="30">
        <v>5986156.724800285</v>
      </c>
      <c r="F73" s="28" t="s">
        <v>152</v>
      </c>
      <c r="G73" s="31">
        <f t="shared" si="6"/>
        <v>8065.8411739239909</v>
      </c>
      <c r="H73" s="20">
        <v>4753571887.9595451</v>
      </c>
      <c r="I73" s="31">
        <f t="shared" si="7"/>
        <v>4753.5718879595452</v>
      </c>
      <c r="J73" s="20">
        <v>1106835275.65309</v>
      </c>
      <c r="K73" s="31">
        <f t="shared" si="8"/>
        <v>1106.8352756530901</v>
      </c>
    </row>
    <row r="74" spans="1:11" x14ac:dyDescent="0.3">
      <c r="A74" s="11">
        <v>2043</v>
      </c>
      <c r="B74" s="19" t="s">
        <v>218</v>
      </c>
      <c r="C74" s="28" t="s">
        <v>151</v>
      </c>
      <c r="D74" s="29">
        <v>1351.727964464327</v>
      </c>
      <c r="E74" s="30">
        <v>5994370.7681912873</v>
      </c>
      <c r="F74" s="28" t="s">
        <v>152</v>
      </c>
      <c r="G74" s="31">
        <f t="shared" si="6"/>
        <v>8102.7585967316736</v>
      </c>
      <c r="H74" s="20">
        <v>4548382317.597476</v>
      </c>
      <c r="I74" s="31">
        <f t="shared" si="7"/>
        <v>4548.3823175974758</v>
      </c>
      <c r="J74" s="20">
        <v>1119926963.7983789</v>
      </c>
      <c r="K74" s="31">
        <f t="shared" si="8"/>
        <v>1119.9269637983789</v>
      </c>
    </row>
    <row r="75" spans="1:11" x14ac:dyDescent="0.3">
      <c r="A75" s="11">
        <v>2043</v>
      </c>
      <c r="B75" s="19" t="s">
        <v>219</v>
      </c>
      <c r="C75" s="28" t="s">
        <v>151</v>
      </c>
      <c r="D75" s="29">
        <v>1367.0057176370401</v>
      </c>
      <c r="E75" s="30">
        <v>6002596.0826718938</v>
      </c>
      <c r="F75" s="28" t="s">
        <v>152</v>
      </c>
      <c r="G75" s="31">
        <f t="shared" si="6"/>
        <v>8205.5831656781775</v>
      </c>
      <c r="H75" s="20">
        <v>4843989643.2908783</v>
      </c>
      <c r="I75" s="31">
        <f t="shared" si="7"/>
        <v>4843.9896432908781</v>
      </c>
      <c r="J75" s="20">
        <v>1181000773.3652761</v>
      </c>
      <c r="K75" s="31">
        <f t="shared" si="8"/>
        <v>1181.000773365276</v>
      </c>
    </row>
    <row r="76" spans="1:11" x14ac:dyDescent="0.3">
      <c r="A76" s="11">
        <v>2043</v>
      </c>
      <c r="B76" s="19" t="s">
        <v>220</v>
      </c>
      <c r="C76" s="28" t="s">
        <v>151</v>
      </c>
      <c r="D76" s="29">
        <v>1347.7308397880349</v>
      </c>
      <c r="E76" s="30">
        <v>6010832.6837079907</v>
      </c>
      <c r="F76" s="28" t="s">
        <v>152</v>
      </c>
      <c r="G76" s="31">
        <f t="shared" si="6"/>
        <v>8100.9845806391386</v>
      </c>
      <c r="H76" s="20">
        <v>4835820926.5404949</v>
      </c>
      <c r="I76" s="31">
        <f t="shared" si="7"/>
        <v>4835.8209265404948</v>
      </c>
      <c r="J76" s="20">
        <v>1144692070.8419859</v>
      </c>
      <c r="K76" s="31">
        <f t="shared" si="8"/>
        <v>1144.6920708419859</v>
      </c>
    </row>
    <row r="77" spans="1:11" x14ac:dyDescent="0.3">
      <c r="A77" s="11">
        <v>2043</v>
      </c>
      <c r="B77" s="19" t="s">
        <v>221</v>
      </c>
      <c r="C77" s="28" t="s">
        <v>151</v>
      </c>
      <c r="D77" s="29">
        <v>1338.3421319109741</v>
      </c>
      <c r="E77" s="30">
        <v>6019080.5867866864</v>
      </c>
      <c r="F77" s="28" t="s">
        <v>152</v>
      </c>
      <c r="G77" s="31">
        <f t="shared" si="6"/>
        <v>8055.5891446640508</v>
      </c>
      <c r="H77" s="20">
        <v>4857582424.2325563</v>
      </c>
      <c r="I77" s="31">
        <f t="shared" si="7"/>
        <v>4857.5824242325561</v>
      </c>
      <c r="J77" s="20">
        <v>1113236211.3833771</v>
      </c>
      <c r="K77" s="31">
        <f t="shared" si="8"/>
        <v>1113.2362113833772</v>
      </c>
    </row>
    <row r="78" spans="1:11" x14ac:dyDescent="0.3">
      <c r="A78" s="11">
        <v>2044</v>
      </c>
      <c r="B78" s="19" t="s">
        <v>222</v>
      </c>
      <c r="C78" s="28" t="s">
        <v>151</v>
      </c>
      <c r="D78" s="29">
        <v>1342.6254867181569</v>
      </c>
      <c r="E78" s="30">
        <v>6027339.8074163375</v>
      </c>
      <c r="F78" s="28" t="s">
        <v>152</v>
      </c>
      <c r="G78" s="31">
        <f t="shared" si="6"/>
        <v>8092.4600425480821</v>
      </c>
      <c r="H78" s="20">
        <v>4647903647.5727711</v>
      </c>
      <c r="I78" s="31">
        <f t="shared" si="7"/>
        <v>4647.9036475727708</v>
      </c>
      <c r="J78" s="20">
        <v>1126425606.6243341</v>
      </c>
      <c r="K78" s="31">
        <f t="shared" si="8"/>
        <v>1126.425606624334</v>
      </c>
    </row>
    <row r="79" spans="1:11" x14ac:dyDescent="0.3">
      <c r="A79" s="11">
        <v>2044</v>
      </c>
      <c r="B79" s="19" t="s">
        <v>223</v>
      </c>
      <c r="C79" s="28" t="s">
        <v>151</v>
      </c>
      <c r="D79" s="29">
        <v>1357.800419635138</v>
      </c>
      <c r="E79" s="30">
        <v>6035610.3611265887</v>
      </c>
      <c r="F79" s="28" t="s">
        <v>152</v>
      </c>
      <c r="G79" s="31">
        <f t="shared" si="6"/>
        <v>8195.1542810918691</v>
      </c>
      <c r="H79" s="20">
        <v>4949979512.2243357</v>
      </c>
      <c r="I79" s="31">
        <f t="shared" si="7"/>
        <v>4949.9795122243358</v>
      </c>
      <c r="J79" s="20">
        <v>1187904953.6293449</v>
      </c>
      <c r="K79" s="31">
        <f t="shared" si="8"/>
        <v>1187.9049536293448</v>
      </c>
    </row>
    <row r="80" spans="1:11" x14ac:dyDescent="0.3">
      <c r="A80" s="11">
        <v>2044</v>
      </c>
      <c r="B80" s="19" t="s">
        <v>224</v>
      </c>
      <c r="C80" s="28" t="s">
        <v>151</v>
      </c>
      <c r="D80" s="29">
        <v>1338.6553918811601</v>
      </c>
      <c r="E80" s="30">
        <v>6043892.2634683838</v>
      </c>
      <c r="F80" s="28" t="s">
        <v>152</v>
      </c>
      <c r="G80" s="31">
        <f t="shared" si="6"/>
        <v>8090.6889664407809</v>
      </c>
      <c r="H80" s="20">
        <v>4941632531.3549547</v>
      </c>
      <c r="I80" s="31">
        <f t="shared" si="7"/>
        <v>4941.6325313549551</v>
      </c>
      <c r="J80" s="20">
        <v>1151400156.734297</v>
      </c>
      <c r="K80" s="31">
        <f t="shared" si="8"/>
        <v>1151.4001567342971</v>
      </c>
    </row>
    <row r="81" spans="1:11" x14ac:dyDescent="0.3">
      <c r="A81" s="11">
        <v>2044</v>
      </c>
      <c r="B81" s="19" t="s">
        <v>225</v>
      </c>
      <c r="C81" s="28" t="s">
        <v>151</v>
      </c>
      <c r="D81" s="29">
        <v>1329.329958669073</v>
      </c>
      <c r="E81" s="30">
        <v>6052185.530014012</v>
      </c>
      <c r="F81" s="28" t="s">
        <v>152</v>
      </c>
      <c r="G81" s="31">
        <f t="shared" si="6"/>
        <v>8045.3515404710888</v>
      </c>
      <c r="H81" s="20">
        <v>4963870663.4530554</v>
      </c>
      <c r="I81" s="31">
        <f t="shared" si="7"/>
        <v>4963.8706634530554</v>
      </c>
      <c r="J81" s="20">
        <v>1119752270.2400391</v>
      </c>
      <c r="K81" s="31">
        <f t="shared" si="8"/>
        <v>1119.752270240039</v>
      </c>
    </row>
    <row r="82" spans="1:11" x14ac:dyDescent="0.3">
      <c r="A82" s="11">
        <v>2045</v>
      </c>
      <c r="B82" s="19" t="s">
        <v>226</v>
      </c>
      <c r="C82" s="28" t="s">
        <v>151</v>
      </c>
      <c r="D82" s="29">
        <v>1333.5845214565691</v>
      </c>
      <c r="E82" s="30">
        <v>6060490.1763571277</v>
      </c>
      <c r="F82" s="28" t="s">
        <v>152</v>
      </c>
      <c r="G82" s="31">
        <f t="shared" si="6"/>
        <v>8082.1758916294584</v>
      </c>
      <c r="H82" s="20">
        <v>4749604383.3257771</v>
      </c>
      <c r="I82" s="31">
        <f t="shared" si="7"/>
        <v>4749.6043833257772</v>
      </c>
      <c r="J82" s="20">
        <v>1133038554.4006441</v>
      </c>
      <c r="K82" s="31">
        <f t="shared" si="8"/>
        <v>1133.038554400644</v>
      </c>
    </row>
    <row r="83" spans="1:11" x14ac:dyDescent="0.3">
      <c r="A83" s="11">
        <v>2045</v>
      </c>
      <c r="B83" s="19" t="s">
        <v>227</v>
      </c>
      <c r="C83" s="28" t="s">
        <v>151</v>
      </c>
      <c r="D83" s="29">
        <v>1348.657320863892</v>
      </c>
      <c r="E83" s="30">
        <v>6068806.2181127844</v>
      </c>
      <c r="F83" s="28" t="s">
        <v>152</v>
      </c>
      <c r="G83" s="31">
        <f t="shared" si="6"/>
        <v>8184.7399349621164</v>
      </c>
      <c r="H83" s="20">
        <v>5058290452.3525705</v>
      </c>
      <c r="I83" s="31">
        <f t="shared" si="7"/>
        <v>5058.2904523525704</v>
      </c>
      <c r="J83" s="20">
        <v>1194928423.7606969</v>
      </c>
      <c r="K83" s="31">
        <f t="shared" si="8"/>
        <v>1194.9284237606969</v>
      </c>
    </row>
    <row r="84" spans="1:11" x14ac:dyDescent="0.3">
      <c r="A84" s="11">
        <v>2045</v>
      </c>
      <c r="B84" s="19" t="s">
        <v>228</v>
      </c>
      <c r="C84" s="28" t="s">
        <v>151</v>
      </c>
      <c r="D84" s="29">
        <v>1329.6412614513781</v>
      </c>
      <c r="E84" s="30">
        <v>6077133.6709174588</v>
      </c>
      <c r="F84" s="28" t="s">
        <v>152</v>
      </c>
      <c r="G84" s="31">
        <f t="shared" si="6"/>
        <v>8080.4076802073341</v>
      </c>
      <c r="H84" s="20">
        <v>5049761315.1996918</v>
      </c>
      <c r="I84" s="31">
        <f t="shared" si="7"/>
        <v>5049.761315199692</v>
      </c>
      <c r="J84" s="20">
        <v>1158223669.453331</v>
      </c>
      <c r="K84" s="31">
        <f t="shared" si="8"/>
        <v>1158.223669453331</v>
      </c>
    </row>
    <row r="85" spans="1:11" x14ac:dyDescent="0.3">
      <c r="A85" s="11">
        <v>2045</v>
      </c>
      <c r="B85" s="19" t="s">
        <v>229</v>
      </c>
      <c r="C85" s="28" t="s">
        <v>151</v>
      </c>
      <c r="D85" s="29">
        <v>1320.378672968016</v>
      </c>
      <c r="E85" s="30">
        <v>6085472.5504290881</v>
      </c>
      <c r="F85" s="28" t="s">
        <v>152</v>
      </c>
      <c r="G85" s="31">
        <f t="shared" si="6"/>
        <v>8035.1281705188467</v>
      </c>
      <c r="H85" s="20">
        <v>5072486531.2692575</v>
      </c>
      <c r="I85" s="31">
        <f t="shared" si="7"/>
        <v>5072.4865312692573</v>
      </c>
      <c r="J85" s="20">
        <v>1126380404.1937959</v>
      </c>
      <c r="K85" s="31">
        <f t="shared" si="8"/>
        <v>1126.3804041937958</v>
      </c>
    </row>
    <row r="86" spans="1:11" x14ac:dyDescent="0.3">
      <c r="A86" s="11">
        <v>2046</v>
      </c>
      <c r="B86" s="19" t="s">
        <v>230</v>
      </c>
      <c r="C86" s="28" t="s">
        <v>151</v>
      </c>
      <c r="D86" s="29">
        <v>1324.604636850228</v>
      </c>
      <c r="E86" s="30">
        <v>6093822.8723270912</v>
      </c>
      <c r="F86" s="28" t="s">
        <v>152</v>
      </c>
      <c r="G86" s="31">
        <f t="shared" si="6"/>
        <v>8071.9060328284395</v>
      </c>
      <c r="H86" s="20">
        <v>4853532296.170701</v>
      </c>
      <c r="I86" s="31">
        <f t="shared" si="7"/>
        <v>4853.5322961707006</v>
      </c>
      <c r="J86" s="20">
        <v>1139765197.3252909</v>
      </c>
      <c r="K86" s="31">
        <f t="shared" si="8"/>
        <v>1139.765197325291</v>
      </c>
    </row>
    <row r="87" spans="1:11" x14ac:dyDescent="0.3">
      <c r="A87" s="11">
        <v>2046</v>
      </c>
      <c r="B87" s="19" t="s">
        <v>231</v>
      </c>
      <c r="C87" s="28" t="s">
        <v>151</v>
      </c>
      <c r="D87" s="29">
        <v>1339.5759918903759</v>
      </c>
      <c r="E87" s="30">
        <v>6102184.6523124035</v>
      </c>
      <c r="F87" s="28" t="s">
        <v>152</v>
      </c>
      <c r="G87" s="31">
        <f t="shared" si="6"/>
        <v>8174.3400583196162</v>
      </c>
      <c r="H87" s="20">
        <v>5168973340.5023069</v>
      </c>
      <c r="I87" s="31">
        <f t="shared" si="7"/>
        <v>5168.9733405023071</v>
      </c>
      <c r="J87" s="20">
        <v>1202072631.758517</v>
      </c>
      <c r="K87" s="31">
        <f t="shared" si="8"/>
        <v>1202.072631758517</v>
      </c>
    </row>
    <row r="88" spans="1:11" x14ac:dyDescent="0.3">
      <c r="A88" s="11">
        <v>2046</v>
      </c>
      <c r="B88" s="19" t="s">
        <v>232</v>
      </c>
      <c r="C88" s="28" t="s">
        <v>151</v>
      </c>
      <c r="D88" s="29">
        <v>1320.6880289569581</v>
      </c>
      <c r="E88" s="30">
        <v>6110557.9061075049</v>
      </c>
      <c r="F88" s="28" t="s">
        <v>152</v>
      </c>
      <c r="G88" s="31">
        <f t="shared" si="6"/>
        <v>8070.1406768444776</v>
      </c>
      <c r="H88" s="20">
        <v>5160258069.8750763</v>
      </c>
      <c r="I88" s="31">
        <f t="shared" si="7"/>
        <v>5160.2580698750762</v>
      </c>
      <c r="J88" s="20">
        <v>1165164520.4005139</v>
      </c>
      <c r="K88" s="31">
        <f t="shared" si="8"/>
        <v>1165.164520400514</v>
      </c>
    </row>
    <row r="89" spans="1:11" x14ac:dyDescent="0.3">
      <c r="A89" s="11">
        <v>2046</v>
      </c>
      <c r="B89" s="19" t="s">
        <v>233</v>
      </c>
      <c r="C89" s="28" t="s">
        <v>151</v>
      </c>
      <c r="D89" s="29">
        <v>1311.4878602268479</v>
      </c>
      <c r="E89" s="30">
        <v>6118942.6494564479</v>
      </c>
      <c r="F89" s="28" t="s">
        <v>152</v>
      </c>
      <c r="G89" s="31">
        <f t="shared" si="6"/>
        <v>8024.919002186437</v>
      </c>
      <c r="H89" s="20">
        <v>5183481048.8225021</v>
      </c>
      <c r="I89" s="31">
        <f t="shared" si="7"/>
        <v>5183.4810488225021</v>
      </c>
      <c r="J89" s="20">
        <v>1133122567.7519729</v>
      </c>
      <c r="K89" s="31">
        <f t="shared" si="8"/>
        <v>1133.1225677519728</v>
      </c>
    </row>
    <row r="90" spans="1:11" x14ac:dyDescent="0.3">
      <c r="A90" s="11">
        <v>2047</v>
      </c>
      <c r="B90" s="19" t="s">
        <v>234</v>
      </c>
      <c r="C90" s="28" t="s">
        <v>151</v>
      </c>
      <c r="D90" s="29">
        <v>1315.6854180864279</v>
      </c>
      <c r="E90" s="30">
        <v>6127338.8981248904</v>
      </c>
      <c r="F90" s="28" t="s">
        <v>152</v>
      </c>
      <c r="G90" s="31">
        <f t="shared" si="6"/>
        <v>8061.6504399366786</v>
      </c>
      <c r="H90" s="20">
        <v>4959736205.6499434</v>
      </c>
      <c r="I90" s="31">
        <f t="shared" si="7"/>
        <v>4959.7362056499433</v>
      </c>
      <c r="J90" s="20">
        <v>1146607617.3523619</v>
      </c>
      <c r="K90" s="31">
        <f t="shared" si="8"/>
        <v>1146.607617352362</v>
      </c>
    </row>
    <row r="91" spans="1:11" x14ac:dyDescent="0.3">
      <c r="A91" s="11">
        <v>2047</v>
      </c>
      <c r="B91" s="19" t="s">
        <v>235</v>
      </c>
      <c r="C91" s="28" t="s">
        <v>151</v>
      </c>
      <c r="D91" s="29">
        <v>1330.5560138078299</v>
      </c>
      <c r="E91" s="30">
        <v>6135746.6679001218</v>
      </c>
      <c r="F91" s="28" t="s">
        <v>152</v>
      </c>
      <c r="G91" s="31">
        <f t="shared" si="6"/>
        <v>8163.9546281758603</v>
      </c>
      <c r="H91" s="20">
        <v>5282080169.8789225</v>
      </c>
      <c r="I91" s="31">
        <f t="shared" si="7"/>
        <v>5282.0801698789228</v>
      </c>
      <c r="J91" s="20">
        <v>1209339861.9730141</v>
      </c>
      <c r="K91" s="31">
        <f t="shared" si="8"/>
        <v>1209.3398619730142</v>
      </c>
    </row>
    <row r="92" spans="1:11" x14ac:dyDescent="0.3">
      <c r="A92" s="11">
        <v>2047</v>
      </c>
      <c r="B92" s="19" t="s">
        <v>236</v>
      </c>
      <c r="C92" s="28" t="s">
        <v>151</v>
      </c>
      <c r="D92" s="29">
        <v>1311.795281713328</v>
      </c>
      <c r="E92" s="30">
        <v>6144165.9745910959</v>
      </c>
      <c r="F92" s="28" t="s">
        <v>152</v>
      </c>
      <c r="G92" s="31">
        <f t="shared" si="6"/>
        <v>8059.8879355321715</v>
      </c>
      <c r="H92" s="20">
        <v>5273174701.7019424</v>
      </c>
      <c r="I92" s="31">
        <f t="shared" si="7"/>
        <v>5273.1747017019425</v>
      </c>
      <c r="J92" s="20">
        <v>1172224950.5326669</v>
      </c>
      <c r="K92" s="31">
        <f t="shared" si="8"/>
        <v>1172.224950532667</v>
      </c>
    </row>
    <row r="93" spans="1:11" x14ac:dyDescent="0.3">
      <c r="A93" s="11">
        <v>2047</v>
      </c>
      <c r="B93" s="19" t="s">
        <v>237</v>
      </c>
      <c r="C93" s="28" t="s">
        <v>151</v>
      </c>
      <c r="D93" s="29">
        <v>1302.6571108057551</v>
      </c>
      <c r="E93" s="30">
        <v>6152596.8340284582</v>
      </c>
      <c r="F93" s="28" t="s">
        <v>152</v>
      </c>
      <c r="G93" s="31">
        <f t="shared" si="6"/>
        <v>8014.7240157681472</v>
      </c>
      <c r="H93" s="20">
        <v>5296906356.8139801</v>
      </c>
      <c r="I93" s="31">
        <f t="shared" si="7"/>
        <v>5296.90635681398</v>
      </c>
      <c r="J93" s="20">
        <v>1139980945.5389481</v>
      </c>
      <c r="K93" s="31">
        <f t="shared" si="8"/>
        <v>1139.9809455389482</v>
      </c>
    </row>
    <row r="94" spans="1:11" x14ac:dyDescent="0.3">
      <c r="A94" s="11">
        <v>2048</v>
      </c>
      <c r="B94" s="19" t="s">
        <v>238</v>
      </c>
      <c r="C94" s="28" t="s">
        <v>151</v>
      </c>
      <c r="D94" s="29">
        <v>1306.826454307766</v>
      </c>
      <c r="E94" s="30">
        <v>6161039.2620645771</v>
      </c>
      <c r="F94" s="28" t="s">
        <v>152</v>
      </c>
      <c r="G94" s="31">
        <f t="shared" si="6"/>
        <v>8051.409093694786</v>
      </c>
      <c r="H94" s="20">
        <v>5068266002.5629787</v>
      </c>
      <c r="I94" s="31">
        <f t="shared" si="7"/>
        <v>5068.2660025629784</v>
      </c>
      <c r="J94" s="20">
        <v>1153568039.278296</v>
      </c>
      <c r="K94" s="31">
        <f t="shared" si="8"/>
        <v>1153.5680392782961</v>
      </c>
    </row>
    <row r="95" spans="1:11" x14ac:dyDescent="0.3">
      <c r="A95" s="11">
        <v>2048</v>
      </c>
      <c r="B95" s="19" t="s">
        <v>239</v>
      </c>
      <c r="C95" s="28" t="s">
        <v>151</v>
      </c>
      <c r="D95" s="29">
        <v>1321.5969711680741</v>
      </c>
      <c r="E95" s="30">
        <v>6169493.274573572</v>
      </c>
      <c r="F95" s="28" t="s">
        <v>152</v>
      </c>
      <c r="G95" s="31">
        <f t="shared" si="6"/>
        <v>8153.583625318236</v>
      </c>
      <c r="H95" s="20">
        <v>5397664074.5924768</v>
      </c>
      <c r="I95" s="31">
        <f t="shared" si="7"/>
        <v>5397.6640745924769</v>
      </c>
      <c r="J95" s="20">
        <v>1216732484.131809</v>
      </c>
      <c r="K95" s="31">
        <f t="shared" si="8"/>
        <v>1216.7324841318091</v>
      </c>
    </row>
    <row r="96" spans="1:11" x14ac:dyDescent="0.3">
      <c r="A96" s="11">
        <v>2048</v>
      </c>
      <c r="B96" s="19" t="s">
        <v>240</v>
      </c>
      <c r="C96" s="28" t="s">
        <v>151</v>
      </c>
      <c r="D96" s="29">
        <v>1302.9626101603669</v>
      </c>
      <c r="E96" s="30">
        <v>6177958.887451346</v>
      </c>
      <c r="F96" s="28" t="s">
        <v>152</v>
      </c>
      <c r="G96" s="31">
        <f t="shared" si="6"/>
        <v>8049.6494374570429</v>
      </c>
      <c r="H96" s="20">
        <v>5388564256.0063572</v>
      </c>
      <c r="I96" s="31">
        <f t="shared" si="7"/>
        <v>5388.564256006357</v>
      </c>
      <c r="J96" s="20">
        <v>1179407267.1437509</v>
      </c>
      <c r="K96" s="31">
        <f t="shared" si="8"/>
        <v>1179.4072671437509</v>
      </c>
    </row>
    <row r="97" spans="1:11" x14ac:dyDescent="0.3">
      <c r="A97" s="11">
        <v>2048</v>
      </c>
      <c r="B97" s="19" t="s">
        <v>241</v>
      </c>
      <c r="C97" s="28" t="s">
        <v>151</v>
      </c>
      <c r="D97" s="29">
        <v>1293.8860180160971</v>
      </c>
      <c r="E97" s="30">
        <v>6186436.1166156139</v>
      </c>
      <c r="F97" s="28" t="s">
        <v>152</v>
      </c>
      <c r="G97" s="31">
        <f t="shared" si="6"/>
        <v>8004.5431926387437</v>
      </c>
      <c r="H97" s="20">
        <v>5412815740.1009054</v>
      </c>
      <c r="I97" s="31">
        <f t="shared" si="7"/>
        <v>5412.8157401009057</v>
      </c>
      <c r="J97" s="20">
        <v>1146957783.2567661</v>
      </c>
      <c r="K97" s="31">
        <f t="shared" si="8"/>
        <v>1146.9577832567661</v>
      </c>
    </row>
    <row r="98" spans="1:11" x14ac:dyDescent="0.3">
      <c r="A98" s="11">
        <v>2049</v>
      </c>
      <c r="B98" s="19" t="s">
        <v>242</v>
      </c>
      <c r="C98" s="28" t="s">
        <v>151</v>
      </c>
      <c r="D98" s="29">
        <v>1298.0273375361669</v>
      </c>
      <c r="E98" s="30">
        <v>6194924.9780059308</v>
      </c>
      <c r="F98" s="28" t="s">
        <v>152</v>
      </c>
      <c r="G98" s="31">
        <f t="shared" si="6"/>
        <v>8041.1819754373364</v>
      </c>
      <c r="H98" s="20">
        <v>5179172672.501482</v>
      </c>
      <c r="I98" s="31">
        <f t="shared" si="7"/>
        <v>5179.1726725014823</v>
      </c>
      <c r="J98" s="20">
        <v>1160648746.716886</v>
      </c>
      <c r="K98" s="31">
        <f t="shared" si="8"/>
        <v>1160.6487467168861</v>
      </c>
    </row>
    <row r="99" spans="1:11" x14ac:dyDescent="0.3">
      <c r="A99" s="11">
        <v>2049</v>
      </c>
      <c r="B99" s="19" t="s">
        <v>243</v>
      </c>
      <c r="C99" s="28" t="s">
        <v>151</v>
      </c>
      <c r="D99" s="29">
        <v>1312.6984513908151</v>
      </c>
      <c r="E99" s="30">
        <v>6203425.4875837257</v>
      </c>
      <c r="F99" s="28" t="s">
        <v>152</v>
      </c>
      <c r="G99" s="31">
        <f t="shared" si="6"/>
        <v>8143.2270308694688</v>
      </c>
      <c r="H99" s="20">
        <v>5515779354.7231665</v>
      </c>
      <c r="I99" s="31">
        <f t="shared" si="7"/>
        <v>5515.7793547231668</v>
      </c>
      <c r="J99" s="20">
        <v>1224252928.3870261</v>
      </c>
      <c r="K99" s="31">
        <f t="shared" si="8"/>
        <v>1224.252928387026</v>
      </c>
    </row>
    <row r="100" spans="1:11" x14ac:dyDescent="0.3">
      <c r="A100" s="11">
        <v>2049</v>
      </c>
      <c r="B100" s="19" t="s">
        <v>244</v>
      </c>
      <c r="C100" s="28" t="s">
        <v>151</v>
      </c>
      <c r="D100" s="29">
        <v>1294.1896075421951</v>
      </c>
      <c r="E100" s="30">
        <v>6211937.6613323279</v>
      </c>
      <c r="F100" s="28" t="s">
        <v>152</v>
      </c>
      <c r="G100" s="31">
        <f t="shared" si="6"/>
        <v>8039.4251639962667</v>
      </c>
      <c r="H100" s="20">
        <v>5506480942.1440468</v>
      </c>
      <c r="I100" s="31">
        <f t="shared" si="7"/>
        <v>5506.4809421440468</v>
      </c>
      <c r="J100" s="20">
        <v>1186713835.820097</v>
      </c>
      <c r="K100" s="31">
        <f t="shared" si="8"/>
        <v>1186.7138358200971</v>
      </c>
    </row>
    <row r="101" spans="1:11" x14ac:dyDescent="0.3">
      <c r="A101" s="11">
        <v>2049</v>
      </c>
      <c r="B101" s="19" t="s">
        <v>245</v>
      </c>
      <c r="C101" s="28" t="s">
        <v>151</v>
      </c>
      <c r="D101" s="29">
        <v>1285.174177941584</v>
      </c>
      <c r="E101" s="30">
        <v>6220461.5152569991</v>
      </c>
      <c r="F101" s="28" t="s">
        <v>152</v>
      </c>
      <c r="G101" s="31">
        <f t="shared" si="6"/>
        <v>7994.3765142876737</v>
      </c>
      <c r="H101" s="20">
        <v>5531263652.8338318</v>
      </c>
      <c r="I101" s="31">
        <f t="shared" si="7"/>
        <v>5531.2636528338317</v>
      </c>
      <c r="J101" s="20">
        <v>1154055383.252871</v>
      </c>
      <c r="K101" s="31">
        <f t="shared" si="8"/>
        <v>1154.055383252871</v>
      </c>
    </row>
    <row r="102" spans="1:11" x14ac:dyDescent="0.3">
      <c r="A102" s="11">
        <v>2050</v>
      </c>
      <c r="B102" s="19" t="s">
        <v>246</v>
      </c>
      <c r="C102" s="28" t="s">
        <v>151</v>
      </c>
      <c r="D102" s="29">
        <v>1289.287662568122</v>
      </c>
      <c r="E102" s="30">
        <v>6228997.0653849626</v>
      </c>
      <c r="F102" s="28" t="s">
        <v>152</v>
      </c>
      <c r="G102" s="31">
        <f t="shared" si="6"/>
        <v>8030.9690665738699</v>
      </c>
      <c r="H102" s="20">
        <v>5292508319.9020042</v>
      </c>
      <c r="I102" s="31">
        <f t="shared" ref="I102:I133" si="9">H102/1000000</f>
        <v>5292.5083199020046</v>
      </c>
      <c r="J102" s="20">
        <v>1167852080.811743</v>
      </c>
      <c r="K102" s="31">
        <f t="shared" ref="K102:K133" si="10">J102/1000000</f>
        <v>1167.852080811743</v>
      </c>
    </row>
    <row r="103" spans="1:11" x14ac:dyDescent="0.3">
      <c r="A103" s="11">
        <v>2050</v>
      </c>
      <c r="B103" s="19" t="s">
        <v>247</v>
      </c>
      <c r="C103" s="28" t="s">
        <v>151</v>
      </c>
      <c r="D103" s="29">
        <v>1303.8600446980611</v>
      </c>
      <c r="E103" s="30">
        <v>6237544.327765435</v>
      </c>
      <c r="F103" s="28" t="s">
        <v>152</v>
      </c>
      <c r="G103" s="31">
        <f t="shared" si="6"/>
        <v>8132.8848260063769</v>
      </c>
      <c r="H103" s="20">
        <v>5636481501.938324</v>
      </c>
      <c r="I103" s="31">
        <f t="shared" si="9"/>
        <v>5636.4815019383241</v>
      </c>
      <c r="J103" s="20">
        <v>1231903686.090631</v>
      </c>
      <c r="K103" s="31">
        <f t="shared" si="10"/>
        <v>1231.903686090631</v>
      </c>
    </row>
    <row r="104" spans="1:11" x14ac:dyDescent="0.3">
      <c r="A104" s="11">
        <v>2050</v>
      </c>
      <c r="B104" s="19" t="s">
        <v>248</v>
      </c>
      <c r="C104" s="28" t="s">
        <v>151</v>
      </c>
      <c r="D104" s="29">
        <v>1285.4758698637861</v>
      </c>
      <c r="E104" s="30">
        <v>6246103.3184696548</v>
      </c>
      <c r="F104" s="28" t="s">
        <v>152</v>
      </c>
      <c r="G104" s="31">
        <f t="shared" si="6"/>
        <v>8029.2150965688597</v>
      </c>
      <c r="H104" s="20">
        <v>5626980159.0745602</v>
      </c>
      <c r="I104" s="31">
        <f t="shared" si="9"/>
        <v>5626.9801590745601</v>
      </c>
      <c r="J104" s="20">
        <v>1194147081.754755</v>
      </c>
      <c r="K104" s="31">
        <f t="shared" si="10"/>
        <v>1194.1470817547549</v>
      </c>
    </row>
    <row r="105" spans="1:11" x14ac:dyDescent="0.3">
      <c r="A105" s="11">
        <v>2050</v>
      </c>
      <c r="B105" s="19" t="s">
        <v>249</v>
      </c>
      <c r="C105" s="28" t="s">
        <v>151</v>
      </c>
      <c r="D105" s="29">
        <v>1276.521189406498</v>
      </c>
      <c r="E105" s="30">
        <v>6254674.0535909114</v>
      </c>
      <c r="F105" s="28" t="s">
        <v>152</v>
      </c>
      <c r="G105" s="31">
        <f t="shared" si="6"/>
        <v>7984.2239622398329</v>
      </c>
      <c r="H105" s="20">
        <v>5652305744.146965</v>
      </c>
      <c r="I105" s="31">
        <f t="shared" si="9"/>
        <v>5652.3057441469655</v>
      </c>
      <c r="J105" s="20">
        <v>1161276105.9343779</v>
      </c>
      <c r="K105" s="31">
        <f t="shared" si="10"/>
        <v>1161.2761059343779</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32"/>
  <sheetViews>
    <sheetView showGridLines="0" workbookViewId="0">
      <pane xSplit="1" ySplit="5" topLeftCell="B6" activePane="bottomRight" state="frozen"/>
      <selection pane="topRight"/>
      <selection pane="bottomLeft"/>
      <selection pane="bottomRight"/>
    </sheetView>
  </sheetViews>
  <sheetFormatPr defaultRowHeight="14.4" x14ac:dyDescent="0.3"/>
  <cols>
    <col min="1" max="1" width="9" customWidth="1"/>
    <col min="2" max="21" width="14" customWidth="1"/>
    <col min="22" max="22" width="44" customWidth="1"/>
  </cols>
  <sheetData>
    <row r="1" spans="1:22" ht="17.399999999999999" x14ac:dyDescent="0.3">
      <c r="A1" s="1" t="s">
        <v>250</v>
      </c>
    </row>
    <row r="2" spans="1:22" x14ac:dyDescent="0.3">
      <c r="A2" s="2" t="s">
        <v>251</v>
      </c>
    </row>
    <row r="4" spans="1:22" x14ac:dyDescent="0.3">
      <c r="A4" s="3" t="s">
        <v>252</v>
      </c>
      <c r="B4" s="4"/>
      <c r="C4" s="4"/>
      <c r="D4" s="4"/>
      <c r="E4" s="4"/>
      <c r="F4" s="4"/>
      <c r="G4" s="4"/>
      <c r="H4" s="4"/>
      <c r="I4" s="4"/>
      <c r="J4" s="4"/>
      <c r="K4" s="4"/>
      <c r="L4" s="4"/>
      <c r="M4" s="4"/>
      <c r="N4" s="4"/>
      <c r="O4" s="4"/>
      <c r="P4" s="4"/>
      <c r="Q4" s="4"/>
      <c r="R4" s="4"/>
      <c r="S4" s="4"/>
      <c r="T4" s="4"/>
      <c r="U4" s="4"/>
      <c r="V4" s="4"/>
    </row>
    <row r="5" spans="1:22" ht="48" x14ac:dyDescent="0.3">
      <c r="A5" s="10" t="s">
        <v>34</v>
      </c>
      <c r="B5" s="10" t="s">
        <v>253</v>
      </c>
      <c r="C5" s="10" t="s">
        <v>254</v>
      </c>
      <c r="D5" s="10" t="s">
        <v>255</v>
      </c>
      <c r="E5" s="10" t="s">
        <v>256</v>
      </c>
      <c r="F5" s="10" t="s">
        <v>257</v>
      </c>
      <c r="G5" s="10" t="s">
        <v>258</v>
      </c>
      <c r="H5" s="10" t="s">
        <v>259</v>
      </c>
      <c r="I5" s="10" t="s">
        <v>260</v>
      </c>
      <c r="J5" s="10" t="s">
        <v>261</v>
      </c>
      <c r="K5" s="10" t="s">
        <v>262</v>
      </c>
      <c r="L5" s="10" t="s">
        <v>263</v>
      </c>
      <c r="M5" s="10" t="s">
        <v>264</v>
      </c>
      <c r="N5" s="10" t="s">
        <v>265</v>
      </c>
      <c r="O5" s="10" t="s">
        <v>266</v>
      </c>
      <c r="P5" s="10" t="s">
        <v>267</v>
      </c>
      <c r="Q5" s="10" t="s">
        <v>268</v>
      </c>
      <c r="R5" s="10" t="s">
        <v>269</v>
      </c>
      <c r="S5" s="10" t="s">
        <v>270</v>
      </c>
      <c r="T5" s="10" t="s">
        <v>271</v>
      </c>
      <c r="U5" s="10" t="s">
        <v>272</v>
      </c>
      <c r="V5" s="10" t="s">
        <v>273</v>
      </c>
    </row>
    <row r="6" spans="1:22" x14ac:dyDescent="0.3">
      <c r="A6" s="11">
        <v>2026</v>
      </c>
      <c r="B6" s="32">
        <f>SUM('4. Engine forecasts'!G6:G9)</f>
        <v>32943.023530451712</v>
      </c>
      <c r="C6" s="32">
        <f>SUM('4. Engine forecasts'!I6:I9)</f>
        <v>12958.324485147517</v>
      </c>
      <c r="D6" s="31">
        <f t="shared" ref="D6:D30" si="0">B6+C6</f>
        <v>45901.348015599229</v>
      </c>
      <c r="E6" s="33">
        <v>31834.730656902899</v>
      </c>
      <c r="F6" s="33">
        <v>12899.1247322853</v>
      </c>
      <c r="G6" s="33">
        <v>1209.37911079624</v>
      </c>
      <c r="H6" s="33">
        <v>633.39411052936998</v>
      </c>
      <c r="I6" s="31">
        <f t="shared" ref="I6:I30" si="1">SUM(E6:H6)</f>
        <v>46576.628610513806</v>
      </c>
      <c r="J6" s="14">
        <f t="shared" ref="J6:J30" si="2">E6/I6</f>
        <v>0.68349151938654484</v>
      </c>
      <c r="K6" s="14">
        <f t="shared" ref="K6:K30" si="3">F6/I6</f>
        <v>0.27694414810808277</v>
      </c>
      <c r="L6" s="14">
        <f t="shared" ref="L6:L30" si="4">G6/I6</f>
        <v>2.5965363893324926E-2</v>
      </c>
      <c r="M6" s="14">
        <f t="shared" ref="M6:M30" si="5">H6/I6</f>
        <v>1.3598968612047482E-2</v>
      </c>
      <c r="N6" s="31">
        <f t="shared" ref="N6:N30" si="6">D6*(L6+M6)</f>
        <v>1816.0561953339836</v>
      </c>
      <c r="O6" s="12">
        <v>0.332473863412722</v>
      </c>
      <c r="P6" s="31">
        <f t="shared" ref="P6:P30" si="7">D6*L6</f>
        <v>1191.845204419182</v>
      </c>
      <c r="Q6" s="31">
        <f t="shared" ref="Q6:Q30" si="8">D6*M6</f>
        <v>624.21099091480187</v>
      </c>
      <c r="R6" s="31">
        <f t="shared" ref="R6:R30" si="9">B6-(1-O6)*N6</f>
        <v>31730.758554555028</v>
      </c>
      <c r="S6" s="31">
        <f t="shared" ref="S6:S30" si="10">C6-O6*N6</f>
        <v>12354.533265710219</v>
      </c>
      <c r="T6" s="34">
        <f t="shared" ref="T6:T30" si="11">P6+Q6+R6+S6-D6</f>
        <v>0</v>
      </c>
      <c r="U6" s="23">
        <f t="shared" ref="U6:U30" si="12">MAX(ABS(R6/D6-J6),ABS(S6/D6-K6),ABS(P6/D6-L6),ABS(Q6/D6-M6))*100</f>
        <v>0.77901079802934481</v>
      </c>
      <c r="V6" s="28" t="s">
        <v>274</v>
      </c>
    </row>
    <row r="7" spans="1:22" x14ac:dyDescent="0.3">
      <c r="A7" s="11">
        <v>2027</v>
      </c>
      <c r="B7" s="32">
        <f>SUM('4. Engine forecasts'!G10:G13)</f>
        <v>32190.968992810023</v>
      </c>
      <c r="C7" s="32">
        <f>SUM('4. Engine forecasts'!I10:I13)</f>
        <v>12661.931159526841</v>
      </c>
      <c r="D7" s="31">
        <f t="shared" si="0"/>
        <v>44852.900152336864</v>
      </c>
      <c r="E7" s="33">
        <v>32115.243346983902</v>
      </c>
      <c r="F7" s="33">
        <v>12939.636710647001</v>
      </c>
      <c r="G7" s="33">
        <v>1572.1948004554499</v>
      </c>
      <c r="H7" s="33">
        <v>866.45343854561997</v>
      </c>
      <c r="I7" s="31">
        <f t="shared" si="1"/>
        <v>47493.528296631972</v>
      </c>
      <c r="J7" s="14">
        <f t="shared" si="2"/>
        <v>0.67620251640182671</v>
      </c>
      <c r="K7" s="14">
        <f t="shared" si="3"/>
        <v>0.2724505248342356</v>
      </c>
      <c r="L7" s="14">
        <f t="shared" si="4"/>
        <v>3.310334811589357E-2</v>
      </c>
      <c r="M7" s="14">
        <f t="shared" si="5"/>
        <v>1.8243610648044126E-2</v>
      </c>
      <c r="N7" s="31">
        <f t="shared" si="6"/>
        <v>2303.0600145650556</v>
      </c>
      <c r="O7" s="12">
        <v>0.3427045400323851</v>
      </c>
      <c r="P7" s="31">
        <f t="shared" si="7"/>
        <v>1484.7811677502229</v>
      </c>
      <c r="Q7" s="31">
        <f t="shared" si="8"/>
        <v>818.27884681483283</v>
      </c>
      <c r="R7" s="31">
        <f t="shared" si="9"/>
        <v>30677.178101203463</v>
      </c>
      <c r="S7" s="31">
        <f t="shared" si="10"/>
        <v>11872.662036568345</v>
      </c>
      <c r="T7" s="34">
        <f t="shared" si="11"/>
        <v>0</v>
      </c>
      <c r="U7" s="23">
        <f t="shared" si="12"/>
        <v>0.77483094536372477</v>
      </c>
      <c r="V7" s="28" t="s">
        <v>275</v>
      </c>
    </row>
    <row r="8" spans="1:22" x14ac:dyDescent="0.3">
      <c r="A8" s="11">
        <v>2028</v>
      </c>
      <c r="B8" s="32">
        <f>SUM('4. Engine forecasts'!G14:G17)</f>
        <v>32150.162716100651</v>
      </c>
      <c r="C8" s="32">
        <f>SUM('4. Engine forecasts'!I14:I17)</f>
        <v>13340.530889183421</v>
      </c>
      <c r="D8" s="31">
        <f t="shared" si="0"/>
        <v>45490.693605284076</v>
      </c>
      <c r="E8" s="33">
        <v>32346.452822245101</v>
      </c>
      <c r="F8" s="33">
        <v>13427.7171481819</v>
      </c>
      <c r="G8" s="33">
        <v>1989.37597979678</v>
      </c>
      <c r="H8" s="33">
        <v>1114.1399728797001</v>
      </c>
      <c r="I8" s="31">
        <f t="shared" si="1"/>
        <v>48877.685923103476</v>
      </c>
      <c r="J8" s="14">
        <f t="shared" si="2"/>
        <v>0.66178363830754927</v>
      </c>
      <c r="K8" s="14">
        <f t="shared" si="3"/>
        <v>0.2747208034624834</v>
      </c>
      <c r="L8" s="14">
        <f t="shared" si="4"/>
        <v>4.0701108127879741E-2</v>
      </c>
      <c r="M8" s="14">
        <f t="shared" si="5"/>
        <v>2.2794450102087773E-2</v>
      </c>
      <c r="N8" s="31">
        <f t="shared" si="6"/>
        <v>2888.4569847359257</v>
      </c>
      <c r="O8" s="12">
        <v>0.3529058556527328</v>
      </c>
      <c r="P8" s="31">
        <f t="shared" si="7"/>
        <v>1851.5216392409147</v>
      </c>
      <c r="Q8" s="31">
        <f t="shared" si="8"/>
        <v>1036.9353454950112</v>
      </c>
      <c r="R8" s="31">
        <f t="shared" si="9"/>
        <v>30281.059115079071</v>
      </c>
      <c r="S8" s="31">
        <f t="shared" si="10"/>
        <v>12321.177505469077</v>
      </c>
      <c r="T8" s="34">
        <f t="shared" si="11"/>
        <v>0</v>
      </c>
      <c r="U8" s="23">
        <f t="shared" si="12"/>
        <v>0.38702947325421344</v>
      </c>
      <c r="V8" s="28" t="s">
        <v>276</v>
      </c>
    </row>
    <row r="9" spans="1:22" x14ac:dyDescent="0.3">
      <c r="A9" s="11">
        <v>2029</v>
      </c>
      <c r="B9" s="32">
        <f>SUM('4. Engine forecasts'!G18:G21)</f>
        <v>32289.342790580224</v>
      </c>
      <c r="C9" s="32">
        <f>SUM('4. Engine forecasts'!I18:I21)</f>
        <v>13800.491456716831</v>
      </c>
      <c r="D9" s="31">
        <f t="shared" si="0"/>
        <v>46089.834247297054</v>
      </c>
      <c r="E9" s="33">
        <v>32608.440756083099</v>
      </c>
      <c r="F9" s="33">
        <v>13926.560565813699</v>
      </c>
      <c r="G9" s="33">
        <v>2502.1796443306298</v>
      </c>
      <c r="H9" s="33">
        <v>1394.20153006706</v>
      </c>
      <c r="I9" s="31">
        <f t="shared" si="1"/>
        <v>50431.382496294485</v>
      </c>
      <c r="J9" s="14">
        <f t="shared" si="2"/>
        <v>0.64659026070679404</v>
      </c>
      <c r="K9" s="14">
        <f t="shared" si="3"/>
        <v>0.27614869703080164</v>
      </c>
      <c r="L9" s="14">
        <f t="shared" si="4"/>
        <v>4.9615527484587217E-2</v>
      </c>
      <c r="M9" s="14">
        <f t="shared" si="5"/>
        <v>2.7645514777817185E-2</v>
      </c>
      <c r="N9" s="31">
        <f t="shared" si="6"/>
        <v>3560.9486316476318</v>
      </c>
      <c r="O9" s="12">
        <v>0.36301897316677378</v>
      </c>
      <c r="P9" s="31">
        <f t="shared" si="7"/>
        <v>2286.7714378568362</v>
      </c>
      <c r="Q9" s="31">
        <f t="shared" si="8"/>
        <v>1274.1771937907954</v>
      </c>
      <c r="R9" s="31">
        <f t="shared" si="9"/>
        <v>30021.086074692943</v>
      </c>
      <c r="S9" s="31">
        <f t="shared" si="10"/>
        <v>12507.799540956479</v>
      </c>
      <c r="T9" s="34">
        <f t="shared" si="11"/>
        <v>0</v>
      </c>
      <c r="U9" s="23">
        <f t="shared" si="12"/>
        <v>0.47699918298819699</v>
      </c>
      <c r="V9" s="28" t="s">
        <v>277</v>
      </c>
    </row>
    <row r="10" spans="1:22" x14ac:dyDescent="0.3">
      <c r="A10" s="11">
        <v>2030</v>
      </c>
      <c r="B10" s="32">
        <f>SUM('4. Engine forecasts'!G22:G25)</f>
        <v>32439.899727262535</v>
      </c>
      <c r="C10" s="32">
        <f>SUM('4. Engine forecasts'!I22:I25)</f>
        <v>14081.509316140993</v>
      </c>
      <c r="D10" s="31">
        <f t="shared" si="0"/>
        <v>46521.409043403532</v>
      </c>
      <c r="E10" s="33">
        <v>32869.872478472702</v>
      </c>
      <c r="F10" s="33">
        <v>14402.4384228319</v>
      </c>
      <c r="G10" s="33">
        <v>3074.1363759723199</v>
      </c>
      <c r="H10" s="33">
        <v>1688.9180183214301</v>
      </c>
      <c r="I10" s="31">
        <f t="shared" si="1"/>
        <v>52035.365295598349</v>
      </c>
      <c r="J10" s="14">
        <f t="shared" si="2"/>
        <v>0.63168332328884702</v>
      </c>
      <c r="K10" s="14">
        <f t="shared" si="3"/>
        <v>0.27678172990649103</v>
      </c>
      <c r="L10" s="14">
        <f t="shared" si="4"/>
        <v>5.9077828290606038E-2</v>
      </c>
      <c r="M10" s="14">
        <f t="shared" si="5"/>
        <v>3.2457118514055958E-2</v>
      </c>
      <c r="N10" s="31">
        <f t="shared" si="6"/>
        <v>4258.3347020658639</v>
      </c>
      <c r="O10" s="12">
        <v>0.37296539573143578</v>
      </c>
      <c r="P10" s="31">
        <f t="shared" si="7"/>
        <v>2748.3838153032407</v>
      </c>
      <c r="Q10" s="31">
        <f t="shared" si="8"/>
        <v>1509.950886762623</v>
      </c>
      <c r="R10" s="31">
        <f t="shared" si="9"/>
        <v>29769.776512509572</v>
      </c>
      <c r="S10" s="31">
        <f t="shared" si="10"/>
        <v>12493.297828828092</v>
      </c>
      <c r="T10" s="34">
        <f t="shared" si="11"/>
        <v>0</v>
      </c>
      <c r="U10" s="23">
        <f t="shared" si="12"/>
        <v>0.82323010366109339</v>
      </c>
      <c r="V10" s="28" t="s">
        <v>278</v>
      </c>
    </row>
    <row r="11" spans="1:22" x14ac:dyDescent="0.3">
      <c r="A11" s="11">
        <v>2031</v>
      </c>
      <c r="B11" s="32">
        <f>SUM('4. Engine forecasts'!G26:G29)</f>
        <v>32565.839317617574</v>
      </c>
      <c r="C11" s="32">
        <f>SUM('4. Engine forecasts'!I26:I29)</f>
        <v>14432.072431448822</v>
      </c>
      <c r="D11" s="31">
        <f t="shared" si="0"/>
        <v>46997.911749066392</v>
      </c>
      <c r="E11" s="33">
        <v>32608.005646946898</v>
      </c>
      <c r="F11" s="33">
        <v>14246.1931200422</v>
      </c>
      <c r="G11" s="33">
        <v>3699.2720382694201</v>
      </c>
      <c r="H11" s="33">
        <v>1982.3012365112099</v>
      </c>
      <c r="I11" s="31">
        <f t="shared" si="1"/>
        <v>52535.77204176972</v>
      </c>
      <c r="J11" s="14">
        <f t="shared" si="2"/>
        <v>0.62068195402213155</v>
      </c>
      <c r="K11" s="14">
        <f t="shared" si="3"/>
        <v>0.27117129084379787</v>
      </c>
      <c r="L11" s="14">
        <f t="shared" si="4"/>
        <v>7.0414346158808372E-2</v>
      </c>
      <c r="M11" s="14">
        <f t="shared" si="5"/>
        <v>3.7732408975262373E-2</v>
      </c>
      <c r="N11" s="31">
        <f t="shared" si="6"/>
        <v>5082.6716537389493</v>
      </c>
      <c r="O11" s="12">
        <v>0.38263714372589719</v>
      </c>
      <c r="P11" s="31">
        <f t="shared" si="7"/>
        <v>3309.3272266398881</v>
      </c>
      <c r="Q11" s="31">
        <f t="shared" si="8"/>
        <v>1773.3444270990617</v>
      </c>
      <c r="R11" s="31">
        <f t="shared" si="9"/>
        <v>29427.98662796188</v>
      </c>
      <c r="S11" s="31">
        <f t="shared" si="10"/>
        <v>12487.253467365568</v>
      </c>
      <c r="T11" s="34">
        <f t="shared" si="11"/>
        <v>0</v>
      </c>
      <c r="U11" s="23">
        <f t="shared" si="12"/>
        <v>0.54732416615674295</v>
      </c>
      <c r="V11" s="28" t="s">
        <v>279</v>
      </c>
    </row>
    <row r="12" spans="1:22" x14ac:dyDescent="0.3">
      <c r="A12" s="11">
        <v>2032</v>
      </c>
      <c r="B12" s="32">
        <f>SUM('4. Engine forecasts'!G30:G33)</f>
        <v>32591.686117277797</v>
      </c>
      <c r="C12" s="32">
        <f>SUM('4. Engine forecasts'!I30:I33)</f>
        <v>14788.609655277314</v>
      </c>
      <c r="D12" s="31">
        <f t="shared" si="0"/>
        <v>47380.29577255511</v>
      </c>
      <c r="E12" s="33">
        <v>32257.301563319601</v>
      </c>
      <c r="F12" s="33">
        <v>14040.9690145148</v>
      </c>
      <c r="G12" s="33">
        <v>4398.0270700766196</v>
      </c>
      <c r="H12" s="33">
        <v>2294.2384444694499</v>
      </c>
      <c r="I12" s="31">
        <f t="shared" si="1"/>
        <v>52990.536092380469</v>
      </c>
      <c r="J12" s="14">
        <f t="shared" si="2"/>
        <v>0.608737030081828</v>
      </c>
      <c r="K12" s="14">
        <f t="shared" si="3"/>
        <v>0.26497125807590682</v>
      </c>
      <c r="L12" s="14">
        <f t="shared" si="4"/>
        <v>8.299646303651971E-2</v>
      </c>
      <c r="M12" s="14">
        <f t="shared" si="5"/>
        <v>4.3295248805745513E-2</v>
      </c>
      <c r="N12" s="31">
        <f t="shared" si="6"/>
        <v>5983.7386607088274</v>
      </c>
      <c r="O12" s="12">
        <v>0.39186595405542018</v>
      </c>
      <c r="P12" s="31">
        <f t="shared" si="7"/>
        <v>3932.3969667462411</v>
      </c>
      <c r="Q12" s="31">
        <f t="shared" si="8"/>
        <v>2051.3416939625859</v>
      </c>
      <c r="R12" s="31">
        <f t="shared" si="9"/>
        <v>28952.770915665937</v>
      </c>
      <c r="S12" s="31">
        <f t="shared" si="10"/>
        <v>12443.786196180346</v>
      </c>
      <c r="T12" s="34">
        <f t="shared" si="11"/>
        <v>0</v>
      </c>
      <c r="U12" s="23">
        <f t="shared" si="12"/>
        <v>0.23349449571446468</v>
      </c>
      <c r="V12" s="28" t="s">
        <v>280</v>
      </c>
    </row>
    <row r="13" spans="1:22" x14ac:dyDescent="0.3">
      <c r="A13" s="11">
        <v>2033</v>
      </c>
      <c r="B13" s="32">
        <f>SUM('4. Engine forecasts'!G34:G37)</f>
        <v>32592.494288753081</v>
      </c>
      <c r="C13" s="32">
        <f>SUM('4. Engine forecasts'!I34:I37)</f>
        <v>15152.560046001963</v>
      </c>
      <c r="D13" s="31">
        <f t="shared" si="0"/>
        <v>47745.054334755041</v>
      </c>
      <c r="E13" s="33">
        <v>31744.932775170801</v>
      </c>
      <c r="F13" s="33">
        <v>13782.702264485701</v>
      </c>
      <c r="G13" s="33">
        <v>5198.2507989036703</v>
      </c>
      <c r="H13" s="33">
        <v>2610.7523794235699</v>
      </c>
      <c r="I13" s="31">
        <f t="shared" si="1"/>
        <v>53336.638217983738</v>
      </c>
      <c r="J13" s="14">
        <f t="shared" si="2"/>
        <v>0.59518060822339625</v>
      </c>
      <c r="K13" s="14">
        <f t="shared" si="3"/>
        <v>0.25840965469470717</v>
      </c>
      <c r="L13" s="14">
        <f t="shared" si="4"/>
        <v>9.7461163143779728E-2</v>
      </c>
      <c r="M13" s="14">
        <f t="shared" si="5"/>
        <v>4.8948573938116927E-2</v>
      </c>
      <c r="N13" s="31">
        <f t="shared" si="6"/>
        <v>6990.3408521123547</v>
      </c>
      <c r="O13" s="12">
        <v>0.40043621054390099</v>
      </c>
      <c r="P13" s="31">
        <f t="shared" si="7"/>
        <v>4653.288529828189</v>
      </c>
      <c r="Q13" s="31">
        <f t="shared" si="8"/>
        <v>2337.0523222841671</v>
      </c>
      <c r="R13" s="31">
        <f t="shared" si="9"/>
        <v>28401.339037870821</v>
      </c>
      <c r="S13" s="31">
        <f t="shared" si="10"/>
        <v>12353.374444771867</v>
      </c>
      <c r="T13" s="34">
        <f t="shared" si="11"/>
        <v>0</v>
      </c>
      <c r="U13" s="23">
        <f t="shared" si="12"/>
        <v>3.2655614209731176E-2</v>
      </c>
      <c r="V13" s="28" t="s">
        <v>281</v>
      </c>
    </row>
    <row r="14" spans="1:22" x14ac:dyDescent="0.3">
      <c r="A14" s="11">
        <v>2034</v>
      </c>
      <c r="B14" s="32">
        <f>SUM('4. Engine forecasts'!G38:G41)</f>
        <v>32590.096709470905</v>
      </c>
      <c r="C14" s="32">
        <f>SUM('4. Engine forecasts'!I38:I41)</f>
        <v>15525.473104397173</v>
      </c>
      <c r="D14" s="31">
        <f t="shared" si="0"/>
        <v>48115.569813868075</v>
      </c>
      <c r="E14" s="33">
        <v>31150.871440720301</v>
      </c>
      <c r="F14" s="33">
        <v>13486.528100703201</v>
      </c>
      <c r="G14" s="33">
        <v>6169.9696243665303</v>
      </c>
      <c r="H14" s="33">
        <v>2923.8213822621001</v>
      </c>
      <c r="I14" s="31">
        <f t="shared" si="1"/>
        <v>53731.190548052138</v>
      </c>
      <c r="J14" s="14">
        <f t="shared" si="2"/>
        <v>0.57975397758703828</v>
      </c>
      <c r="K14" s="14">
        <f t="shared" si="3"/>
        <v>0.25099998647232868</v>
      </c>
      <c r="L14" s="14">
        <f t="shared" si="4"/>
        <v>0.11483031664538845</v>
      </c>
      <c r="M14" s="14">
        <f t="shared" si="5"/>
        <v>5.4415719295244511E-2</v>
      </c>
      <c r="N14" s="31">
        <f t="shared" si="6"/>
        <v>8143.3694580219517</v>
      </c>
      <c r="O14" s="12">
        <v>0.40810870626390539</v>
      </c>
      <c r="P14" s="31">
        <f t="shared" si="7"/>
        <v>5525.1261172997656</v>
      </c>
      <c r="Q14" s="31">
        <f t="shared" si="8"/>
        <v>2618.2433407221852</v>
      </c>
      <c r="R14" s="31">
        <f t="shared" si="9"/>
        <v>27770.107225591291</v>
      </c>
      <c r="S14" s="31">
        <f t="shared" si="10"/>
        <v>12202.093130254834</v>
      </c>
      <c r="T14" s="34">
        <f t="shared" si="11"/>
        <v>0</v>
      </c>
      <c r="U14" s="23">
        <f t="shared" si="12"/>
        <v>0.25996939940532426</v>
      </c>
      <c r="V14" s="28" t="s">
        <v>282</v>
      </c>
    </row>
    <row r="15" spans="1:22" x14ac:dyDescent="0.3">
      <c r="A15" s="11">
        <v>2035</v>
      </c>
      <c r="B15" s="32">
        <f>SUM('4. Engine forecasts'!G42:G45)</f>
        <v>32591.864251210547</v>
      </c>
      <c r="C15" s="32">
        <f>SUM('4. Engine forecasts'!I42:I45)</f>
        <v>15907.569703615438</v>
      </c>
      <c r="D15" s="31">
        <f t="shared" si="0"/>
        <v>48499.433954825989</v>
      </c>
      <c r="E15" s="33">
        <v>30425.364325564002</v>
      </c>
      <c r="F15" s="33">
        <v>13152.780803866301</v>
      </c>
      <c r="G15" s="33">
        <v>7342.70646637953</v>
      </c>
      <c r="H15" s="33">
        <v>3221.1002083776898</v>
      </c>
      <c r="I15" s="31">
        <f t="shared" si="1"/>
        <v>54141.951804187527</v>
      </c>
      <c r="J15" s="14">
        <f t="shared" si="2"/>
        <v>0.56195543957487692</v>
      </c>
      <c r="K15" s="14">
        <f t="shared" si="3"/>
        <v>0.24293141206721364</v>
      </c>
      <c r="L15" s="14">
        <f t="shared" si="4"/>
        <v>0.13561953756184347</v>
      </c>
      <c r="M15" s="14">
        <f t="shared" si="5"/>
        <v>5.9493610796065882E-2</v>
      </c>
      <c r="N15" s="31">
        <f t="shared" si="6"/>
        <v>9462.8772525025888</v>
      </c>
      <c r="O15" s="12">
        <v>0.4146480591518944</v>
      </c>
      <c r="P15" s="31">
        <f t="shared" si="7"/>
        <v>6577.4708049646697</v>
      </c>
      <c r="Q15" s="31">
        <f t="shared" si="8"/>
        <v>2885.4064475379196</v>
      </c>
      <c r="R15" s="31">
        <f t="shared" si="9"/>
        <v>27052.750685450766</v>
      </c>
      <c r="S15" s="31">
        <f t="shared" si="10"/>
        <v>11983.806016872628</v>
      </c>
      <c r="T15" s="34">
        <f t="shared" si="11"/>
        <v>0</v>
      </c>
      <c r="U15" s="23">
        <f t="shared" si="12"/>
        <v>0.41602556012121372</v>
      </c>
      <c r="V15" s="28" t="s">
        <v>283</v>
      </c>
    </row>
    <row r="16" spans="1:22" x14ac:dyDescent="0.3">
      <c r="A16" s="11">
        <v>2036</v>
      </c>
      <c r="B16" s="32">
        <f>SUM('4. Engine forecasts'!G46:G49)</f>
        <v>32594.219585395636</v>
      </c>
      <c r="C16" s="32">
        <f>SUM('4. Engine forecasts'!I46:I49)</f>
        <v>16294.926424368336</v>
      </c>
      <c r="D16" s="31">
        <f t="shared" si="0"/>
        <v>48889.146009763972</v>
      </c>
      <c r="E16" s="33">
        <v>29533.961650427202</v>
      </c>
      <c r="F16" s="33">
        <v>12784.935876122699</v>
      </c>
      <c r="G16" s="33">
        <v>8722.4254487753205</v>
      </c>
      <c r="H16" s="33">
        <v>3458.9885477007001</v>
      </c>
      <c r="I16" s="31">
        <f t="shared" si="1"/>
        <v>54500.311523025921</v>
      </c>
      <c r="J16" s="14">
        <f t="shared" si="2"/>
        <v>0.54190445568277812</v>
      </c>
      <c r="K16" s="14">
        <f t="shared" si="3"/>
        <v>0.23458463848818867</v>
      </c>
      <c r="L16" s="14">
        <f t="shared" si="4"/>
        <v>0.1600435888350871</v>
      </c>
      <c r="M16" s="14">
        <f t="shared" si="5"/>
        <v>6.3467316993946116E-2</v>
      </c>
      <c r="N16" s="31">
        <f t="shared" si="6"/>
        <v>10927.257309850211</v>
      </c>
      <c r="O16" s="12">
        <v>0.41985408616025688</v>
      </c>
      <c r="P16" s="31">
        <f t="shared" si="7"/>
        <v>7824.394382485204</v>
      </c>
      <c r="Q16" s="31">
        <f t="shared" si="8"/>
        <v>3102.8629273650058</v>
      </c>
      <c r="R16" s="31">
        <f t="shared" si="9"/>
        <v>26254.815907610573</v>
      </c>
      <c r="S16" s="31">
        <f t="shared" si="10"/>
        <v>11707.072792303188</v>
      </c>
      <c r="T16" s="34">
        <f t="shared" si="11"/>
        <v>0</v>
      </c>
      <c r="U16" s="23">
        <f t="shared" si="12"/>
        <v>0.48769546835368827</v>
      </c>
      <c r="V16" s="28" t="s">
        <v>284</v>
      </c>
    </row>
    <row r="17" spans="1:22" x14ac:dyDescent="0.3">
      <c r="A17" s="11">
        <v>2037</v>
      </c>
      <c r="B17" s="32">
        <f>SUM('4. Engine forecasts'!G50:G53)</f>
        <v>32588.181903557881</v>
      </c>
      <c r="C17" s="32">
        <f>SUM('4. Engine forecasts'!I50:I53)</f>
        <v>16675.021546277254</v>
      </c>
      <c r="D17" s="31">
        <f t="shared" si="0"/>
        <v>49263.203449835135</v>
      </c>
      <c r="E17" s="33">
        <v>28482.9245882982</v>
      </c>
      <c r="F17" s="33">
        <v>12371.4019487283</v>
      </c>
      <c r="G17" s="33">
        <v>10347.766723573401</v>
      </c>
      <c r="H17" s="33">
        <v>3633.92319725474</v>
      </c>
      <c r="I17" s="31">
        <f t="shared" si="1"/>
        <v>54836.016457854639</v>
      </c>
      <c r="J17" s="14">
        <f t="shared" si="2"/>
        <v>0.51942001677290583</v>
      </c>
      <c r="K17" s="14">
        <f t="shared" si="3"/>
        <v>0.22560723312636319</v>
      </c>
      <c r="L17" s="14">
        <f t="shared" si="4"/>
        <v>0.18870383722213652</v>
      </c>
      <c r="M17" s="14">
        <f t="shared" si="5"/>
        <v>6.6268912878594446E-2</v>
      </c>
      <c r="N17" s="31">
        <f t="shared" si="6"/>
        <v>12560.774462376281</v>
      </c>
      <c r="O17" s="12">
        <v>0.42359154187026171</v>
      </c>
      <c r="P17" s="31">
        <f t="shared" si="7"/>
        <v>9296.155524838683</v>
      </c>
      <c r="Q17" s="31">
        <f t="shared" si="8"/>
        <v>3264.618937537598</v>
      </c>
      <c r="R17" s="31">
        <f t="shared" si="9"/>
        <v>25348.045262784177</v>
      </c>
      <c r="S17" s="31">
        <f t="shared" si="10"/>
        <v>11354.383724674677</v>
      </c>
      <c r="T17" s="34">
        <f t="shared" si="11"/>
        <v>0</v>
      </c>
      <c r="U17" s="23">
        <f t="shared" si="12"/>
        <v>0.48768387476244568</v>
      </c>
      <c r="V17" s="28" t="s">
        <v>285</v>
      </c>
    </row>
    <row r="18" spans="1:22" x14ac:dyDescent="0.3">
      <c r="A18" s="11">
        <v>2038</v>
      </c>
      <c r="B18" s="32">
        <f>SUM('4. Engine forecasts'!G54:G57)</f>
        <v>32579.217570388173</v>
      </c>
      <c r="C18" s="32">
        <f>SUM('4. Engine forecasts'!I54:I57)</f>
        <v>17062.63274556055</v>
      </c>
      <c r="D18" s="31">
        <f t="shared" si="0"/>
        <v>49641.850315948723</v>
      </c>
      <c r="E18" s="33">
        <v>27247.3604877293</v>
      </c>
      <c r="F18" s="33">
        <v>11896.568676347801</v>
      </c>
      <c r="G18" s="33">
        <v>12209.6897667792</v>
      </c>
      <c r="H18" s="33">
        <v>3757.9993103224501</v>
      </c>
      <c r="I18" s="31">
        <f t="shared" si="1"/>
        <v>55111.618241178745</v>
      </c>
      <c r="J18" s="14">
        <f t="shared" si="2"/>
        <v>0.49440320130847465</v>
      </c>
      <c r="K18" s="14">
        <f t="shared" si="3"/>
        <v>0.21586317107013972</v>
      </c>
      <c r="L18" s="14">
        <f t="shared" si="4"/>
        <v>0.22154475147776129</v>
      </c>
      <c r="M18" s="14">
        <f t="shared" si="5"/>
        <v>6.8188876143624427E-2</v>
      </c>
      <c r="N18" s="31">
        <f t="shared" si="6"/>
        <v>14382.913373877656</v>
      </c>
      <c r="O18" s="12">
        <v>0.42581238505110408</v>
      </c>
      <c r="P18" s="31">
        <f t="shared" si="7"/>
        <v>10997.891391143085</v>
      </c>
      <c r="Q18" s="31">
        <f t="shared" si="8"/>
        <v>3385.0219827345704</v>
      </c>
      <c r="R18" s="31">
        <f t="shared" si="9"/>
        <v>24320.726844224784</v>
      </c>
      <c r="S18" s="31">
        <f t="shared" si="10"/>
        <v>10938.210097846282</v>
      </c>
      <c r="T18" s="34">
        <f t="shared" si="11"/>
        <v>0</v>
      </c>
      <c r="U18" s="23">
        <f t="shared" si="12"/>
        <v>0.44793429221742231</v>
      </c>
      <c r="V18" s="28" t="s">
        <v>286</v>
      </c>
    </row>
    <row r="19" spans="1:22" x14ac:dyDescent="0.3">
      <c r="A19" s="11">
        <v>2039</v>
      </c>
      <c r="B19" s="32">
        <f>SUM('4. Engine forecasts'!G58:G61)</f>
        <v>32570.03107003916</v>
      </c>
      <c r="C19" s="32">
        <f>SUM('4. Engine forecasts'!I58:I61)</f>
        <v>17459.260563444612</v>
      </c>
      <c r="D19" s="31">
        <f t="shared" si="0"/>
        <v>50029.291633483772</v>
      </c>
      <c r="E19" s="33">
        <v>25851.548226369399</v>
      </c>
      <c r="F19" s="33">
        <v>11374.939247235599</v>
      </c>
      <c r="G19" s="33">
        <v>14357.698974118201</v>
      </c>
      <c r="H19" s="33">
        <v>3866.7540546171599</v>
      </c>
      <c r="I19" s="31">
        <f t="shared" si="1"/>
        <v>55450.94050234036</v>
      </c>
      <c r="J19" s="14">
        <f t="shared" si="2"/>
        <v>0.46620576661415347</v>
      </c>
      <c r="K19" s="14">
        <f t="shared" si="3"/>
        <v>0.20513519057004109</v>
      </c>
      <c r="L19" s="14">
        <f t="shared" si="4"/>
        <v>0.25892615786223178</v>
      </c>
      <c r="M19" s="14">
        <f t="shared" si="5"/>
        <v>6.9732884953573687E-2</v>
      </c>
      <c r="N19" s="31">
        <f t="shared" si="6"/>
        <v>16442.579101013562</v>
      </c>
      <c r="O19" s="12">
        <v>0.42656805133401748</v>
      </c>
      <c r="P19" s="31">
        <f t="shared" si="7"/>
        <v>12953.892263227051</v>
      </c>
      <c r="Q19" s="31">
        <f t="shared" si="8"/>
        <v>3488.6868377865103</v>
      </c>
      <c r="R19" s="31">
        <f t="shared" si="9"/>
        <v>23141.330895050396</v>
      </c>
      <c r="S19" s="31">
        <f t="shared" si="10"/>
        <v>10445.381637419816</v>
      </c>
      <c r="T19" s="34">
        <f t="shared" si="11"/>
        <v>0</v>
      </c>
      <c r="U19" s="23">
        <f t="shared" si="12"/>
        <v>0.36501289172509721</v>
      </c>
      <c r="V19" s="28" t="s">
        <v>287</v>
      </c>
    </row>
    <row r="20" spans="1:22" x14ac:dyDescent="0.3">
      <c r="A20" s="11">
        <v>2040</v>
      </c>
      <c r="B20" s="32">
        <f>SUM('4. Engine forecasts'!G62:G65)</f>
        <v>32560.83497350484</v>
      </c>
      <c r="C20" s="32">
        <f>SUM('4. Engine forecasts'!I62:I65)</f>
        <v>17865.114915668506</v>
      </c>
      <c r="D20" s="31">
        <f t="shared" si="0"/>
        <v>50425.949889173346</v>
      </c>
      <c r="E20" s="33">
        <v>24332.99593682</v>
      </c>
      <c r="F20" s="33">
        <v>10822.476079640501</v>
      </c>
      <c r="G20" s="33">
        <v>16789.705813226501</v>
      </c>
      <c r="H20" s="33">
        <v>3908.902347702</v>
      </c>
      <c r="I20" s="31">
        <f t="shared" si="1"/>
        <v>55854.080177389005</v>
      </c>
      <c r="J20" s="14">
        <f t="shared" si="2"/>
        <v>0.4356529703745895</v>
      </c>
      <c r="K20" s="14">
        <f t="shared" si="3"/>
        <v>0.19376339284917066</v>
      </c>
      <c r="L20" s="14">
        <f t="shared" si="4"/>
        <v>0.30059945056660969</v>
      </c>
      <c r="M20" s="14">
        <f t="shared" si="5"/>
        <v>6.9984186209630067E-2</v>
      </c>
      <c r="N20" s="31">
        <f t="shared" si="6"/>
        <v>18687.03189782628</v>
      </c>
      <c r="O20" s="12">
        <v>0.42601380163513858</v>
      </c>
      <c r="P20" s="31">
        <f t="shared" si="7"/>
        <v>15158.012830984901</v>
      </c>
      <c r="Q20" s="31">
        <f t="shared" si="8"/>
        <v>3529.019066841382</v>
      </c>
      <c r="R20" s="31">
        <f t="shared" si="9"/>
        <v>21834.736575748633</v>
      </c>
      <c r="S20" s="31">
        <f t="shared" si="10"/>
        <v>9904.1814155984339</v>
      </c>
      <c r="T20" s="34">
        <f t="shared" si="11"/>
        <v>0</v>
      </c>
      <c r="U20" s="23">
        <f t="shared" si="12"/>
        <v>0.26470156283283641</v>
      </c>
      <c r="V20" s="28" t="s">
        <v>288</v>
      </c>
    </row>
    <row r="21" spans="1:22" x14ac:dyDescent="0.3">
      <c r="A21" s="11">
        <v>2041</v>
      </c>
      <c r="B21" s="32">
        <f>SUM('4. Engine forecasts'!G66:G69)</f>
        <v>32545.625465797151</v>
      </c>
      <c r="C21" s="32">
        <f>SUM('4. Engine forecasts'!I66:I69)</f>
        <v>18275.753617389055</v>
      </c>
      <c r="D21" s="31">
        <f t="shared" si="0"/>
        <v>50821.379083186206</v>
      </c>
      <c r="E21" s="33">
        <v>22722.0600487019</v>
      </c>
      <c r="F21" s="33">
        <v>10279.1712987887</v>
      </c>
      <c r="G21" s="33">
        <v>19398.230700063301</v>
      </c>
      <c r="H21" s="33">
        <v>3858.4033211450001</v>
      </c>
      <c r="I21" s="31">
        <f t="shared" si="1"/>
        <v>56257.865368698898</v>
      </c>
      <c r="J21" s="14">
        <f t="shared" si="2"/>
        <v>0.40389125857846964</v>
      </c>
      <c r="K21" s="14">
        <f t="shared" si="3"/>
        <v>0.1827152742362651</v>
      </c>
      <c r="L21" s="14">
        <f t="shared" si="4"/>
        <v>0.34480922041624795</v>
      </c>
      <c r="M21" s="14">
        <f t="shared" si="5"/>
        <v>6.8584246769017337E-2</v>
      </c>
      <c r="N21" s="31">
        <f t="shared" si="6"/>
        <v>21009.226106335063</v>
      </c>
      <c r="O21" s="12">
        <v>0.42440086868362931</v>
      </c>
      <c r="P21" s="31">
        <f t="shared" si="7"/>
        <v>17523.680102152044</v>
      </c>
      <c r="Q21" s="31">
        <f t="shared" si="8"/>
        <v>3485.5460041830188</v>
      </c>
      <c r="R21" s="31">
        <f t="shared" si="9"/>
        <v>20452.733169361472</v>
      </c>
      <c r="S21" s="31">
        <f t="shared" si="10"/>
        <v>9359.4198074896703</v>
      </c>
      <c r="T21" s="34">
        <f t="shared" si="11"/>
        <v>0</v>
      </c>
      <c r="U21" s="23">
        <f t="shared" si="12"/>
        <v>0.1447768489707485</v>
      </c>
      <c r="V21" s="28" t="s">
        <v>289</v>
      </c>
    </row>
    <row r="22" spans="1:22" x14ac:dyDescent="0.3">
      <c r="A22" s="11">
        <v>2042</v>
      </c>
      <c r="B22" s="32">
        <f>SUM('4. Engine forecasts'!G70:G73)</f>
        <v>32506.23597004779</v>
      </c>
      <c r="C22" s="32">
        <f>SUM('4. Engine forecasts'!I70:I73)</f>
        <v>18677.113396364992</v>
      </c>
      <c r="D22" s="31">
        <f t="shared" si="0"/>
        <v>51183.349366412782</v>
      </c>
      <c r="E22" s="33">
        <v>20913.516404337799</v>
      </c>
      <c r="F22" s="33">
        <v>9708.6542319462096</v>
      </c>
      <c r="G22" s="33">
        <v>22141.1732104773</v>
      </c>
      <c r="H22" s="33">
        <v>3783.3597190836999</v>
      </c>
      <c r="I22" s="31">
        <f t="shared" si="1"/>
        <v>56546.703565845011</v>
      </c>
      <c r="J22" s="14">
        <f t="shared" si="2"/>
        <v>0.36984501457251789</v>
      </c>
      <c r="K22" s="14">
        <f t="shared" si="3"/>
        <v>0.17169266499577829</v>
      </c>
      <c r="L22" s="14">
        <f t="shared" si="4"/>
        <v>0.39155550746995044</v>
      </c>
      <c r="M22" s="14">
        <f t="shared" si="5"/>
        <v>6.6906812961753284E-2</v>
      </c>
      <c r="N22" s="31">
        <f t="shared" si="6"/>
        <v>23465.637117992177</v>
      </c>
      <c r="O22" s="12">
        <v>0.42205896044586272</v>
      </c>
      <c r="P22" s="31">
        <f t="shared" si="7"/>
        <v>20041.122335177522</v>
      </c>
      <c r="Q22" s="31">
        <f t="shared" si="8"/>
        <v>3424.5147828146532</v>
      </c>
      <c r="R22" s="31">
        <f t="shared" si="9"/>
        <v>18944.481260275243</v>
      </c>
      <c r="S22" s="31">
        <f t="shared" si="10"/>
        <v>8773.2309881453639</v>
      </c>
      <c r="T22" s="34">
        <f t="shared" si="11"/>
        <v>0</v>
      </c>
      <c r="U22" s="23">
        <f t="shared" si="12"/>
        <v>2.8475408828160242E-2</v>
      </c>
      <c r="V22" s="28" t="s">
        <v>290</v>
      </c>
    </row>
    <row r="23" spans="1:22" x14ac:dyDescent="0.3">
      <c r="A23" s="11">
        <v>2043</v>
      </c>
      <c r="B23" s="32">
        <f>SUM('4. Engine forecasts'!G74:G77)</f>
        <v>32464.915487713042</v>
      </c>
      <c r="C23" s="32">
        <f>SUM('4. Engine forecasts'!I74:I77)</f>
        <v>19085.775311661404</v>
      </c>
      <c r="D23" s="31">
        <f t="shared" si="0"/>
        <v>51550.690799374446</v>
      </c>
      <c r="E23" s="33">
        <v>19088.973019316902</v>
      </c>
      <c r="F23" s="33">
        <v>9162.1241436623804</v>
      </c>
      <c r="G23" s="33">
        <v>24856.285644060401</v>
      </c>
      <c r="H23" s="33">
        <v>3690.8605134776599</v>
      </c>
      <c r="I23" s="31">
        <f t="shared" si="1"/>
        <v>56798.243320517344</v>
      </c>
      <c r="J23" s="14">
        <f t="shared" si="2"/>
        <v>0.33608386286871927</v>
      </c>
      <c r="K23" s="14">
        <f t="shared" si="3"/>
        <v>0.16130999143687827</v>
      </c>
      <c r="L23" s="14">
        <f t="shared" si="4"/>
        <v>0.43762419735051056</v>
      </c>
      <c r="M23" s="14">
        <f t="shared" si="5"/>
        <v>6.4981948343891871E-2</v>
      </c>
      <c r="N23" s="31">
        <f t="shared" si="6"/>
        <v>25909.694010557483</v>
      </c>
      <c r="O23" s="12">
        <v>0.41936566471408732</v>
      </c>
      <c r="P23" s="31">
        <f t="shared" si="7"/>
        <v>22559.829683940592</v>
      </c>
      <c r="Q23" s="31">
        <f t="shared" si="8"/>
        <v>3349.8643266168924</v>
      </c>
      <c r="R23" s="31">
        <f t="shared" si="9"/>
        <v>17420.857528431603</v>
      </c>
      <c r="S23" s="31">
        <f t="shared" si="10"/>
        <v>8220.1392603853583</v>
      </c>
      <c r="T23" s="34">
        <f t="shared" si="11"/>
        <v>0</v>
      </c>
      <c r="U23" s="23">
        <f t="shared" si="12"/>
        <v>0.18525887732245838</v>
      </c>
      <c r="V23" s="28" t="s">
        <v>291</v>
      </c>
    </row>
    <row r="24" spans="1:22" x14ac:dyDescent="0.3">
      <c r="A24" s="11">
        <v>2044</v>
      </c>
      <c r="B24" s="32">
        <f>SUM('4. Engine forecasts'!G78:G81)</f>
        <v>32423.654830551819</v>
      </c>
      <c r="C24" s="32">
        <f>SUM('4. Engine forecasts'!I78:I81)</f>
        <v>19503.386354605118</v>
      </c>
      <c r="D24" s="31">
        <f t="shared" si="0"/>
        <v>51927.041185156937</v>
      </c>
      <c r="E24" s="33">
        <v>17355.3467715605</v>
      </c>
      <c r="F24" s="33">
        <v>8641.1713970580895</v>
      </c>
      <c r="G24" s="33">
        <v>27364.060338626299</v>
      </c>
      <c r="H24" s="33">
        <v>3587.8426257001502</v>
      </c>
      <c r="I24" s="31">
        <f t="shared" si="1"/>
        <v>56948.421132945041</v>
      </c>
      <c r="J24" s="14">
        <f t="shared" si="2"/>
        <v>0.3047555388944807</v>
      </c>
      <c r="K24" s="14">
        <f t="shared" si="3"/>
        <v>0.15173680367512621</v>
      </c>
      <c r="L24" s="14">
        <f t="shared" si="4"/>
        <v>0.48050604027713789</v>
      </c>
      <c r="M24" s="14">
        <f t="shared" si="5"/>
        <v>6.3001617153255182E-2</v>
      </c>
      <c r="N24" s="31">
        <f t="shared" si="6"/>
        <v>28222.74451183619</v>
      </c>
      <c r="O24" s="12">
        <v>0.41668812534206379</v>
      </c>
      <c r="P24" s="31">
        <f t="shared" si="7"/>
        <v>24951.256943187618</v>
      </c>
      <c r="Q24" s="31">
        <f t="shared" si="8"/>
        <v>3271.4875686485716</v>
      </c>
      <c r="R24" s="31">
        <f t="shared" si="9"/>
        <v>15960.992821360669</v>
      </c>
      <c r="S24" s="31">
        <f t="shared" si="10"/>
        <v>7743.3038519600759</v>
      </c>
      <c r="T24" s="34">
        <f t="shared" si="11"/>
        <v>0</v>
      </c>
      <c r="U24" s="23">
        <f t="shared" si="12"/>
        <v>0.26178923096649154</v>
      </c>
      <c r="V24" s="28" t="s">
        <v>292</v>
      </c>
    </row>
    <row r="25" spans="1:22" x14ac:dyDescent="0.3">
      <c r="A25" s="11">
        <v>2045</v>
      </c>
      <c r="B25" s="32">
        <f>SUM('4. Engine forecasts'!G82:G85)</f>
        <v>32382.451677317753</v>
      </c>
      <c r="C25" s="32">
        <f>SUM('4. Engine forecasts'!I82:I85)</f>
        <v>19930.142682147296</v>
      </c>
      <c r="D25" s="31">
        <f t="shared" si="0"/>
        <v>52312.594359465045</v>
      </c>
      <c r="E25" s="33">
        <v>15742.7368402457</v>
      </c>
      <c r="F25" s="33">
        <v>8152.9591985856296</v>
      </c>
      <c r="G25" s="33">
        <v>29735.4698936684</v>
      </c>
      <c r="H25" s="33">
        <v>3475.4087542345901</v>
      </c>
      <c r="I25" s="31">
        <f t="shared" si="1"/>
        <v>57106.574686734319</v>
      </c>
      <c r="J25" s="14">
        <f t="shared" si="2"/>
        <v>0.27567293129739556</v>
      </c>
      <c r="K25" s="14">
        <f t="shared" si="3"/>
        <v>0.14276743515628046</v>
      </c>
      <c r="L25" s="14">
        <f t="shared" si="4"/>
        <v>0.52070133880006386</v>
      </c>
      <c r="M25" s="14">
        <f t="shared" si="5"/>
        <v>6.0858294746260047E-2</v>
      </c>
      <c r="N25" s="31">
        <f t="shared" si="6"/>
        <v>30422.893205547982</v>
      </c>
      <c r="O25" s="12">
        <v>0.41431899636654879</v>
      </c>
      <c r="P25" s="31">
        <f t="shared" si="7"/>
        <v>27239.237919078118</v>
      </c>
      <c r="Q25" s="31">
        <f t="shared" si="8"/>
        <v>3183.6552864698647</v>
      </c>
      <c r="R25" s="31">
        <f t="shared" si="9"/>
        <v>14564.341051259107</v>
      </c>
      <c r="S25" s="31">
        <f t="shared" si="10"/>
        <v>7325.3601026579599</v>
      </c>
      <c r="T25" s="34">
        <f t="shared" si="11"/>
        <v>0</v>
      </c>
      <c r="U25" s="23">
        <f t="shared" si="12"/>
        <v>0.27369091930320444</v>
      </c>
      <c r="V25" s="28" t="s">
        <v>293</v>
      </c>
    </row>
    <row r="26" spans="1:22" x14ac:dyDescent="0.3">
      <c r="A26" s="11">
        <v>2046</v>
      </c>
      <c r="B26" s="32">
        <f>SUM('4. Engine forecasts'!G86:G89)</f>
        <v>32341.305770178969</v>
      </c>
      <c r="C26" s="32">
        <f>SUM('4. Engine forecasts'!I86:I89)</f>
        <v>20366.244755370586</v>
      </c>
      <c r="D26" s="31">
        <f t="shared" si="0"/>
        <v>52707.550525549552</v>
      </c>
      <c r="E26" s="33">
        <v>14266.194140765199</v>
      </c>
      <c r="F26" s="33">
        <v>7688.0731540928</v>
      </c>
      <c r="G26" s="33">
        <v>32156.359215134798</v>
      </c>
      <c r="H26" s="33">
        <v>3358.80797409963</v>
      </c>
      <c r="I26" s="31">
        <f t="shared" si="1"/>
        <v>57469.434484092431</v>
      </c>
      <c r="J26" s="14">
        <f t="shared" si="2"/>
        <v>0.24823968199502797</v>
      </c>
      <c r="K26" s="14">
        <f t="shared" si="3"/>
        <v>0.13377673232926734</v>
      </c>
      <c r="L26" s="14">
        <f t="shared" si="4"/>
        <v>0.55953846603511814</v>
      </c>
      <c r="M26" s="14">
        <f t="shared" si="5"/>
        <v>5.8445119640586504E-2</v>
      </c>
      <c r="N26" s="31">
        <f t="shared" si="6"/>
        <v>32572.401065962484</v>
      </c>
      <c r="O26" s="12">
        <v>0.41243710424630098</v>
      </c>
      <c r="P26" s="31">
        <f t="shared" si="7"/>
        <v>29491.90196953448</v>
      </c>
      <c r="Q26" s="31">
        <f t="shared" si="8"/>
        <v>3080.4990964280018</v>
      </c>
      <c r="R26" s="31">
        <f t="shared" si="9"/>
        <v>13202.971478211181</v>
      </c>
      <c r="S26" s="31">
        <f t="shared" si="10"/>
        <v>6932.1779813758912</v>
      </c>
      <c r="T26" s="34">
        <f t="shared" si="11"/>
        <v>0</v>
      </c>
      <c r="U26" s="23">
        <f t="shared" si="12"/>
        <v>0.22551967569479914</v>
      </c>
      <c r="V26" s="28" t="s">
        <v>294</v>
      </c>
    </row>
    <row r="27" spans="1:22" x14ac:dyDescent="0.3">
      <c r="A27" s="11">
        <v>2047</v>
      </c>
      <c r="B27" s="32">
        <f>SUM('4. Engine forecasts'!G90:G93)</f>
        <v>32300.217019412859</v>
      </c>
      <c r="C27" s="32">
        <f>SUM('4. Engine forecasts'!I90:I93)</f>
        <v>20811.897434044789</v>
      </c>
      <c r="D27" s="31">
        <f t="shared" si="0"/>
        <v>53112.114453457645</v>
      </c>
      <c r="E27" s="33">
        <v>12918.019953791199</v>
      </c>
      <c r="F27" s="33">
        <v>7243.4553505835802</v>
      </c>
      <c r="G27" s="33">
        <v>34537.073453696998</v>
      </c>
      <c r="H27" s="33">
        <v>3243.2277748326401</v>
      </c>
      <c r="I27" s="31">
        <f t="shared" si="1"/>
        <v>57941.776532904412</v>
      </c>
      <c r="J27" s="14">
        <f t="shared" si="2"/>
        <v>0.22294828924437995</v>
      </c>
      <c r="K27" s="14">
        <f t="shared" si="3"/>
        <v>0.1250126555313697</v>
      </c>
      <c r="L27" s="14">
        <f t="shared" si="4"/>
        <v>0.59606514539787758</v>
      </c>
      <c r="M27" s="14">
        <f t="shared" si="5"/>
        <v>5.5973909826372882E-2</v>
      </c>
      <c r="N27" s="31">
        <f t="shared" si="6"/>
        <v>34631.172929194778</v>
      </c>
      <c r="O27" s="12">
        <v>0.41109394135091848</v>
      </c>
      <c r="P27" s="31">
        <f t="shared" si="7"/>
        <v>31658.280224088947</v>
      </c>
      <c r="Q27" s="31">
        <f t="shared" si="8"/>
        <v>2972.892705105834</v>
      </c>
      <c r="R27" s="31">
        <f t="shared" si="9"/>
        <v>11905.709463285995</v>
      </c>
      <c r="S27" s="31">
        <f t="shared" si="10"/>
        <v>6575.2320609768758</v>
      </c>
      <c r="T27" s="34">
        <f t="shared" si="11"/>
        <v>0</v>
      </c>
      <c r="U27" s="23">
        <f t="shared" si="12"/>
        <v>0.12135537889832737</v>
      </c>
      <c r="V27" s="28" t="s">
        <v>295</v>
      </c>
    </row>
    <row r="28" spans="1:22" x14ac:dyDescent="0.3">
      <c r="A28" s="11">
        <v>2048</v>
      </c>
      <c r="B28" s="32">
        <f>SUM('4. Engine forecasts'!G94:G97)</f>
        <v>32259.185349108808</v>
      </c>
      <c r="C28" s="32">
        <f>SUM('4. Engine forecasts'!I94:I97)</f>
        <v>21267.310073262717</v>
      </c>
      <c r="D28" s="31">
        <f t="shared" si="0"/>
        <v>53526.495422371525</v>
      </c>
      <c r="E28" s="33">
        <v>11705.987140547</v>
      </c>
      <c r="F28" s="33">
        <v>6815.9425115956101</v>
      </c>
      <c r="G28" s="33">
        <v>36975.108256259002</v>
      </c>
      <c r="H28" s="33">
        <v>3136.52315345323</v>
      </c>
      <c r="I28" s="31">
        <f t="shared" si="1"/>
        <v>58633.561061854845</v>
      </c>
      <c r="J28" s="14">
        <f t="shared" si="2"/>
        <v>0.19964653226840332</v>
      </c>
      <c r="K28" s="14">
        <f t="shared" si="3"/>
        <v>0.11624643613928215</v>
      </c>
      <c r="L28" s="14">
        <f t="shared" si="4"/>
        <v>0.63061338227866648</v>
      </c>
      <c r="M28" s="14">
        <f t="shared" si="5"/>
        <v>5.3493649313648008E-2</v>
      </c>
      <c r="N28" s="31">
        <f t="shared" si="6"/>
        <v>36617.851894938191</v>
      </c>
      <c r="O28" s="12">
        <v>0.41022950606724101</v>
      </c>
      <c r="P28" s="31">
        <f t="shared" si="7"/>
        <v>33754.524319825265</v>
      </c>
      <c r="Q28" s="31">
        <f t="shared" si="8"/>
        <v>2863.3275751129277</v>
      </c>
      <c r="R28" s="31">
        <f t="shared" si="9"/>
        <v>10663.056750274496</v>
      </c>
      <c r="S28" s="31">
        <f t="shared" si="10"/>
        <v>6245.5867771588382</v>
      </c>
      <c r="T28" s="34">
        <f t="shared" si="11"/>
        <v>0</v>
      </c>
      <c r="U28" s="23">
        <f t="shared" si="12"/>
        <v>4.35717771143318E-2</v>
      </c>
      <c r="V28" s="28" t="s">
        <v>296</v>
      </c>
    </row>
    <row r="29" spans="1:22" x14ac:dyDescent="0.3">
      <c r="A29" s="11">
        <v>2049</v>
      </c>
      <c r="B29" s="32">
        <f>SUM('4. Engine forecasts'!G98:G101)</f>
        <v>32218.210684590744</v>
      </c>
      <c r="C29" s="32">
        <f>SUM('4. Engine forecasts'!I98:I101)</f>
        <v>21732.696622202529</v>
      </c>
      <c r="D29" s="31">
        <f t="shared" si="0"/>
        <v>53950.907306793277</v>
      </c>
      <c r="E29" s="33">
        <v>10602.9228996206</v>
      </c>
      <c r="F29" s="33">
        <v>6401.3158104673003</v>
      </c>
      <c r="G29" s="33">
        <v>39221.4923959718</v>
      </c>
      <c r="H29" s="33">
        <v>3026.86315331079</v>
      </c>
      <c r="I29" s="31">
        <f t="shared" si="1"/>
        <v>59252.594259370489</v>
      </c>
      <c r="J29" s="14">
        <f t="shared" si="2"/>
        <v>0.17894445014859081</v>
      </c>
      <c r="K29" s="14">
        <f t="shared" si="3"/>
        <v>0.10803435512791856</v>
      </c>
      <c r="L29" s="14">
        <f t="shared" si="4"/>
        <v>0.66193713349131755</v>
      </c>
      <c r="M29" s="14">
        <f t="shared" si="5"/>
        <v>5.1084061232173093E-2</v>
      </c>
      <c r="N29" s="31">
        <f t="shared" si="6"/>
        <v>38468.140384306047</v>
      </c>
      <c r="O29" s="12">
        <v>0.40972049400838212</v>
      </c>
      <c r="P29" s="31">
        <f t="shared" si="7"/>
        <v>35712.108931914518</v>
      </c>
      <c r="Q29" s="31">
        <f t="shared" si="8"/>
        <v>2756.0314523915226</v>
      </c>
      <c r="R29" s="31">
        <f t="shared" si="9"/>
        <v>9511.2557821263617</v>
      </c>
      <c r="S29" s="31">
        <f t="shared" si="10"/>
        <v>5971.5111403608607</v>
      </c>
      <c r="T29" s="34">
        <f t="shared" si="11"/>
        <v>0</v>
      </c>
      <c r="U29" s="23">
        <f t="shared" si="12"/>
        <v>0.26498101337278368</v>
      </c>
      <c r="V29" s="28" t="s">
        <v>297</v>
      </c>
    </row>
    <row r="30" spans="1:22" x14ac:dyDescent="0.3">
      <c r="A30" s="11">
        <v>2050</v>
      </c>
      <c r="B30" s="32">
        <f>SUM('4. Engine forecasts'!G102:G105)</f>
        <v>32177.292951388939</v>
      </c>
      <c r="C30" s="32">
        <f>SUM('4. Engine forecasts'!I102:I105)</f>
        <v>22208.275725061852</v>
      </c>
      <c r="D30" s="31">
        <f t="shared" si="0"/>
        <v>54385.568676450792</v>
      </c>
      <c r="E30" s="33">
        <v>9598.8588956376498</v>
      </c>
      <c r="F30" s="33">
        <v>6001.2038873623096</v>
      </c>
      <c r="G30" s="33">
        <v>41168.800698925501</v>
      </c>
      <c r="H30" s="33">
        <v>2910.0432607989301</v>
      </c>
      <c r="I30" s="31">
        <f t="shared" si="1"/>
        <v>59678.906742724386</v>
      </c>
      <c r="J30" s="14">
        <f t="shared" si="2"/>
        <v>0.16084173486988135</v>
      </c>
      <c r="K30" s="14">
        <f t="shared" si="3"/>
        <v>0.10055820749588266</v>
      </c>
      <c r="L30" s="14">
        <f t="shared" si="4"/>
        <v>0.68983838588739732</v>
      </c>
      <c r="M30" s="14">
        <f t="shared" si="5"/>
        <v>4.8761671746838778E-2</v>
      </c>
      <c r="N30" s="31">
        <f t="shared" si="6"/>
        <v>40169.18415889726</v>
      </c>
      <c r="O30" s="12">
        <v>0.4094674469783286</v>
      </c>
      <c r="P30" s="31">
        <f t="shared" si="7"/>
        <v>37517.252911331008</v>
      </c>
      <c r="Q30" s="31">
        <f t="shared" si="8"/>
        <v>2651.9312475662505</v>
      </c>
      <c r="R30" s="31">
        <f t="shared" si="9"/>
        <v>8456.082077237661</v>
      </c>
      <c r="S30" s="31">
        <f t="shared" si="10"/>
        <v>5760.3024403158706</v>
      </c>
      <c r="T30" s="34">
        <f t="shared" si="11"/>
        <v>0</v>
      </c>
      <c r="U30" s="23">
        <f t="shared" si="12"/>
        <v>0.535780258732374</v>
      </c>
      <c r="V30" s="28" t="s">
        <v>298</v>
      </c>
    </row>
    <row r="32" spans="1:22" x14ac:dyDescent="0.3">
      <c r="A32" s="2" t="s">
        <v>299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Y32"/>
  <sheetViews>
    <sheetView showGridLines="0" workbookViewId="0">
      <pane xSplit="1" ySplit="5" topLeftCell="B6" activePane="bottomRight" state="frozen"/>
      <selection pane="topRight"/>
      <selection pane="bottomLeft"/>
      <selection pane="bottomRight" activeCell="G6" sqref="G6"/>
    </sheetView>
  </sheetViews>
  <sheetFormatPr defaultRowHeight="14.4" x14ac:dyDescent="0.3"/>
  <cols>
    <col min="1" max="1" width="9" customWidth="1"/>
    <col min="2" max="24" width="14" customWidth="1"/>
    <col min="25" max="25" width="52" customWidth="1"/>
  </cols>
  <sheetData>
    <row r="1" spans="1:25" ht="17.399999999999999" x14ac:dyDescent="0.3">
      <c r="A1" s="1" t="s">
        <v>300</v>
      </c>
    </row>
    <row r="2" spans="1:25" x14ac:dyDescent="0.3">
      <c r="A2" s="2" t="s">
        <v>301</v>
      </c>
    </row>
    <row r="4" spans="1:25" x14ac:dyDescent="0.3">
      <c r="A4" s="3" t="s">
        <v>302</v>
      </c>
      <c r="B4" s="4"/>
      <c r="C4" s="4"/>
      <c r="D4" s="4"/>
      <c r="E4" s="4"/>
      <c r="F4" s="4"/>
      <c r="G4" s="4"/>
      <c r="H4" s="4"/>
      <c r="I4" s="4"/>
      <c r="J4" s="4"/>
      <c r="K4" s="4"/>
      <c r="L4" s="4"/>
      <c r="M4" s="4"/>
      <c r="N4" s="4"/>
      <c r="O4" s="4"/>
      <c r="P4" s="4"/>
      <c r="Q4" s="4"/>
      <c r="R4" s="4"/>
      <c r="S4" s="4"/>
      <c r="T4" s="4"/>
      <c r="U4" s="4"/>
      <c r="V4" s="4"/>
      <c r="W4" s="4"/>
      <c r="X4" s="4"/>
      <c r="Y4" s="4"/>
    </row>
    <row r="5" spans="1:25" ht="48" x14ac:dyDescent="0.3">
      <c r="A5" s="10" t="s">
        <v>34</v>
      </c>
      <c r="B5" s="10" t="s">
        <v>303</v>
      </c>
      <c r="C5" s="10" t="s">
        <v>256</v>
      </c>
      <c r="D5" s="10" t="s">
        <v>304</v>
      </c>
      <c r="E5" s="10" t="s">
        <v>305</v>
      </c>
      <c r="F5" s="10" t="s">
        <v>306</v>
      </c>
      <c r="G5" s="10" t="s">
        <v>307</v>
      </c>
      <c r="H5" s="10" t="s">
        <v>308</v>
      </c>
      <c r="I5" s="10" t="s">
        <v>309</v>
      </c>
      <c r="J5" s="10" t="s">
        <v>310</v>
      </c>
      <c r="K5" s="10" t="s">
        <v>311</v>
      </c>
      <c r="L5" s="10" t="s">
        <v>312</v>
      </c>
      <c r="M5" s="10" t="s">
        <v>313</v>
      </c>
      <c r="N5" s="10" t="s">
        <v>314</v>
      </c>
      <c r="O5" s="10" t="s">
        <v>315</v>
      </c>
      <c r="P5" s="10" t="s">
        <v>316</v>
      </c>
      <c r="Q5" s="10" t="s">
        <v>317</v>
      </c>
      <c r="R5" s="10" t="s">
        <v>318</v>
      </c>
      <c r="S5" s="10" t="s">
        <v>319</v>
      </c>
      <c r="T5" s="10" t="s">
        <v>320</v>
      </c>
      <c r="U5" s="10" t="s">
        <v>321</v>
      </c>
      <c r="V5" s="10" t="s">
        <v>322</v>
      </c>
      <c r="W5" s="10" t="s">
        <v>323</v>
      </c>
      <c r="X5" s="10" t="s">
        <v>324</v>
      </c>
      <c r="Y5" s="10" t="s">
        <v>325</v>
      </c>
    </row>
    <row r="6" spans="1:25" x14ac:dyDescent="0.3">
      <c r="A6" s="11">
        <v>2026</v>
      </c>
      <c r="B6" s="33">
        <v>2945.8252696751101</v>
      </c>
      <c r="C6" s="32">
        <f>'5. Light fleet split'!E6</f>
        <v>31834.730656902899</v>
      </c>
      <c r="D6" s="15">
        <f t="shared" ref="D6:D30" si="0">B6/C6*100</f>
        <v>9.2534951887094117</v>
      </c>
      <c r="E6" s="33">
        <v>2062.7846868372999</v>
      </c>
      <c r="F6" s="35">
        <f t="shared" ref="F6:F30" si="1">E6/B6</f>
        <v>0.70024000000000031</v>
      </c>
      <c r="G6" s="32">
        <f>'5. Light fleet split'!R6</f>
        <v>31730.758554555028</v>
      </c>
      <c r="H6" s="31">
        <f t="shared" ref="H6:H30" si="2">G6*D6/100</f>
        <v>2936.2042161867494</v>
      </c>
      <c r="I6" s="31">
        <f t="shared" ref="I6:I30" si="3">H6*F6</f>
        <v>2056.0476403426101</v>
      </c>
      <c r="J6" s="33">
        <v>873.81597434688695</v>
      </c>
      <c r="K6" s="36">
        <f>J6/'5. Light fleet split'!F6</f>
        <v>6.7742268757182228E-2</v>
      </c>
      <c r="L6" s="32">
        <f>'5. Light fleet split'!S6</f>
        <v>12354.533265710219</v>
      </c>
      <c r="M6" s="31">
        <f t="shared" ref="M6:M30" si="4">L6*K6</f>
        <v>836.92411285528988</v>
      </c>
      <c r="N6" s="33">
        <v>81.4648074039889</v>
      </c>
      <c r="O6" s="36">
        <f>N6/'5. Light fleet split'!G6</f>
        <v>6.7360852090750517E-2</v>
      </c>
      <c r="P6" s="32">
        <f>'5. Light fleet split'!P6</f>
        <v>1191.845204419182</v>
      </c>
      <c r="Q6" s="31">
        <f t="shared" ref="Q6:Q30" si="5">P6*O6</f>
        <v>80.283708529950829</v>
      </c>
      <c r="R6" s="33">
        <v>21.8403214998817</v>
      </c>
      <c r="S6" s="36">
        <f>R6/'5. Light fleet split'!H6</f>
        <v>3.44814091839728E-2</v>
      </c>
      <c r="T6" s="32">
        <f>'5. Light fleet split'!Q6</f>
        <v>624.21099091480187</v>
      </c>
      <c r="U6" s="31">
        <f t="shared" ref="U6:U30" si="6">T6*S6</f>
        <v>21.52367459486641</v>
      </c>
      <c r="V6" s="33">
        <v>1146.5048086003001</v>
      </c>
      <c r="W6" s="33">
        <v>4106.6570802809601</v>
      </c>
      <c r="X6" s="32">
        <f>SUM('4. Engine forecasts'!K6:K9)</f>
        <v>4045.1128369875341</v>
      </c>
      <c r="Y6" s="31">
        <f t="shared" ref="Y6:Y30" si="7">X6*V6/W6</f>
        <v>1129.322762595925</v>
      </c>
    </row>
    <row r="7" spans="1:25" x14ac:dyDescent="0.3">
      <c r="A7" s="11">
        <v>2027</v>
      </c>
      <c r="B7" s="33">
        <v>2896.4894318868601</v>
      </c>
      <c r="C7" s="32">
        <f>'5. Light fleet split'!E7</f>
        <v>32115.243346983902</v>
      </c>
      <c r="D7" s="15">
        <f t="shared" si="0"/>
        <v>9.0190486822479077</v>
      </c>
      <c r="E7" s="33">
        <v>2200.8778955297098</v>
      </c>
      <c r="F7" s="35">
        <f t="shared" si="1"/>
        <v>0.75984323343309834</v>
      </c>
      <c r="G7" s="32">
        <f>'5. Light fleet split'!R7</f>
        <v>30677.178101203463</v>
      </c>
      <c r="H7" s="31">
        <f t="shared" si="2"/>
        <v>2766.7896272874345</v>
      </c>
      <c r="I7" s="31">
        <f t="shared" si="3"/>
        <v>2102.3263766272412</v>
      </c>
      <c r="J7" s="33">
        <v>943.71698871266597</v>
      </c>
      <c r="K7" s="36">
        <f>J7/'5. Light fleet split'!F7</f>
        <v>7.2932263077846393E-2</v>
      </c>
      <c r="L7" s="32">
        <f>'5. Light fleet split'!S7</f>
        <v>11872.662036568345</v>
      </c>
      <c r="M7" s="31">
        <f t="shared" si="4"/>
        <v>865.90011108536203</v>
      </c>
      <c r="N7" s="33">
        <v>114.634116955081</v>
      </c>
      <c r="O7" s="36">
        <f>N7/'5. Light fleet split'!G7</f>
        <v>7.2913430906826934E-2</v>
      </c>
      <c r="P7" s="32">
        <f>'5. Light fleet split'!P7</f>
        <v>1484.7811677502229</v>
      </c>
      <c r="Q7" s="31">
        <f t="shared" si="5"/>
        <v>108.26048908651369</v>
      </c>
      <c r="R7" s="33">
        <v>31.708186257126901</v>
      </c>
      <c r="S7" s="36">
        <f>R7/'5. Light fleet split'!H7</f>
        <v>3.6595372407258811E-2</v>
      </c>
      <c r="T7" s="32">
        <f>'5. Light fleet split'!Q7</f>
        <v>818.27884681483283</v>
      </c>
      <c r="U7" s="31">
        <f t="shared" si="6"/>
        <v>29.945219132171093</v>
      </c>
      <c r="V7" s="33">
        <v>1278.2182592137001</v>
      </c>
      <c r="W7" s="33">
        <v>4256.1426564804497</v>
      </c>
      <c r="X7" s="32">
        <f>SUM('4. Engine forecasts'!K10:K13)</f>
        <v>4100.2700921001251</v>
      </c>
      <c r="Y7" s="31">
        <f t="shared" si="7"/>
        <v>1231.4061163927749</v>
      </c>
    </row>
    <row r="8" spans="1:25" x14ac:dyDescent="0.3">
      <c r="A8" s="11">
        <v>2028</v>
      </c>
      <c r="B8" s="33">
        <v>2889.1388516799898</v>
      </c>
      <c r="C8" s="32">
        <f>'5. Light fleet split'!E8</f>
        <v>32346.452822245101</v>
      </c>
      <c r="D8" s="15">
        <f t="shared" si="0"/>
        <v>8.9318568176758131</v>
      </c>
      <c r="E8" s="33">
        <v>2456.0263536061302</v>
      </c>
      <c r="F8" s="35">
        <f t="shared" si="1"/>
        <v>0.85008941407505867</v>
      </c>
      <c r="G8" s="32">
        <f>'5. Light fleet split'!R8</f>
        <v>30281.059115079071</v>
      </c>
      <c r="H8" s="31">
        <f t="shared" si="2"/>
        <v>2704.6608430346332</v>
      </c>
      <c r="I8" s="31">
        <f t="shared" si="3"/>
        <v>2299.2035513270657</v>
      </c>
      <c r="J8" s="33">
        <v>1091.83652480716</v>
      </c>
      <c r="K8" s="36">
        <f>J8/'5. Light fleet split'!F8</f>
        <v>8.1312148056007685E-2</v>
      </c>
      <c r="L8" s="32">
        <f>'5. Light fleet split'!S8</f>
        <v>12321.177505469077</v>
      </c>
      <c r="M8" s="31">
        <f t="shared" si="4"/>
        <v>1001.8614095490531</v>
      </c>
      <c r="N8" s="33">
        <v>161.835735956468</v>
      </c>
      <c r="O8" s="36">
        <f>N8/'5. Light fleet split'!G8</f>
        <v>8.1349999999999978E-2</v>
      </c>
      <c r="P8" s="32">
        <f>'5. Light fleet split'!P8</f>
        <v>1851.5216392409147</v>
      </c>
      <c r="Q8" s="31">
        <f t="shared" si="5"/>
        <v>150.62128535224838</v>
      </c>
      <c r="R8" s="33">
        <v>44.693725012069301</v>
      </c>
      <c r="S8" s="36">
        <f>R8/'5. Light fleet split'!H8</f>
        <v>4.0115000000000123E-2</v>
      </c>
      <c r="T8" s="32">
        <f>'5. Light fleet split'!Q8</f>
        <v>1036.9353454950112</v>
      </c>
      <c r="U8" s="31">
        <f t="shared" si="6"/>
        <v>41.596661384532503</v>
      </c>
      <c r="V8" s="33">
        <v>1443.31242551064</v>
      </c>
      <c r="W8" s="33">
        <v>4323.4200543438201</v>
      </c>
      <c r="X8" s="32">
        <f>SUM('4. Engine forecasts'!K14:K17)</f>
        <v>4134.1183135092297</v>
      </c>
      <c r="Y8" s="31">
        <f t="shared" si="7"/>
        <v>1380.1167259757665</v>
      </c>
    </row>
    <row r="9" spans="1:25" x14ac:dyDescent="0.3">
      <c r="A9" s="11">
        <v>2029</v>
      </c>
      <c r="B9" s="33">
        <v>2884.1151947783201</v>
      </c>
      <c r="C9" s="32">
        <f>'5. Light fleet split'!E9</f>
        <v>32608.440756083099</v>
      </c>
      <c r="D9" s="15">
        <f t="shared" si="0"/>
        <v>8.8446890679379973</v>
      </c>
      <c r="E9" s="33">
        <v>2596.0229547814301</v>
      </c>
      <c r="F9" s="35">
        <f t="shared" si="1"/>
        <v>0.90011070274915517</v>
      </c>
      <c r="G9" s="32">
        <f>'5. Light fleet split'!R9</f>
        <v>30021.086074692943</v>
      </c>
      <c r="H9" s="31">
        <f t="shared" si="2"/>
        <v>2655.2717181246235</v>
      </c>
      <c r="I9" s="31">
        <f t="shared" si="3"/>
        <v>2390.0384921911113</v>
      </c>
      <c r="J9" s="33">
        <v>1199.40927936719</v>
      </c>
      <c r="K9" s="36">
        <f>J9/'5. Light fleet split'!F9</f>
        <v>8.6123869113199886E-2</v>
      </c>
      <c r="L9" s="32">
        <f>'5. Light fleet split'!S9</f>
        <v>12507.799540956479</v>
      </c>
      <c r="M9" s="31">
        <f t="shared" si="4"/>
        <v>1077.2200905594775</v>
      </c>
      <c r="N9" s="33">
        <v>215.52524366441801</v>
      </c>
      <c r="O9" s="36">
        <f>N9/'5. Light fleet split'!G9</f>
        <v>8.6134999999999684E-2</v>
      </c>
      <c r="P9" s="32">
        <f>'5. Light fleet split'!P9</f>
        <v>2286.7714378568362</v>
      </c>
      <c r="Q9" s="31">
        <f t="shared" si="5"/>
        <v>196.97105779979788</v>
      </c>
      <c r="R9" s="33">
        <v>59.218709989598302</v>
      </c>
      <c r="S9" s="36">
        <f>R9/'5. Light fleet split'!H9</f>
        <v>4.247499999999995E-2</v>
      </c>
      <c r="T9" s="32">
        <f>'5. Light fleet split'!Q9</f>
        <v>1274.1771937907954</v>
      </c>
      <c r="U9" s="31">
        <f t="shared" si="6"/>
        <v>54.120676306263974</v>
      </c>
      <c r="V9" s="33">
        <v>1555.6696500917601</v>
      </c>
      <c r="W9" s="33">
        <v>4400.6752180314197</v>
      </c>
      <c r="X9" s="32">
        <f>SUM('4. Engine forecasts'!K18:K21)</f>
        <v>4171.7860513357464</v>
      </c>
      <c r="Y9" s="31">
        <f t="shared" si="7"/>
        <v>1474.7557193376203</v>
      </c>
    </row>
    <row r="10" spans="1:25" x14ac:dyDescent="0.3">
      <c r="A10" s="11">
        <v>2030</v>
      </c>
      <c r="B10" s="33">
        <v>2878.5933067155602</v>
      </c>
      <c r="C10" s="32">
        <f>'5. Light fleet split'!E10</f>
        <v>32869.872478472702</v>
      </c>
      <c r="D10" s="15">
        <f t="shared" si="0"/>
        <v>8.757543274926979</v>
      </c>
      <c r="E10" s="33">
        <v>2706.1634540168702</v>
      </c>
      <c r="F10" s="35">
        <f t="shared" si="1"/>
        <v>0.94009926574329794</v>
      </c>
      <c r="G10" s="32">
        <f>'5. Light fleet split'!R10</f>
        <v>29769.776512509572</v>
      </c>
      <c r="H10" s="31">
        <f t="shared" si="2"/>
        <v>2607.1010609320733</v>
      </c>
      <c r="I10" s="31">
        <f t="shared" si="3"/>
        <v>2450.9337931008154</v>
      </c>
      <c r="J10" s="33">
        <v>1295.5590453638399</v>
      </c>
      <c r="K10" s="36">
        <f>J10/'5. Light fleet split'!F10</f>
        <v>8.9954145772289218E-2</v>
      </c>
      <c r="L10" s="32">
        <f>'5. Light fleet split'!S10</f>
        <v>12493.297828828092</v>
      </c>
      <c r="M10" s="31">
        <f t="shared" si="4"/>
        <v>1123.8239340710265</v>
      </c>
      <c r="N10" s="33">
        <v>276.56467906435</v>
      </c>
      <c r="O10" s="36">
        <f>N10/'5. Light fleet split'!G10</f>
        <v>8.9965000000000073E-2</v>
      </c>
      <c r="P10" s="32">
        <f>'5. Light fleet split'!P10</f>
        <v>2748.3838153032407</v>
      </c>
      <c r="Q10" s="31">
        <f t="shared" si="5"/>
        <v>247.25834994375626</v>
      </c>
      <c r="R10" s="33">
        <v>74.928847882829999</v>
      </c>
      <c r="S10" s="36">
        <f>R10/'5. Light fleet split'!H10</f>
        <v>4.4364999999999856E-2</v>
      </c>
      <c r="T10" s="32">
        <f>'5. Light fleet split'!Q10</f>
        <v>1509.950886762623</v>
      </c>
      <c r="U10" s="31">
        <f t="shared" si="6"/>
        <v>66.988971091223547</v>
      </c>
      <c r="V10" s="33">
        <v>1652.1229555063801</v>
      </c>
      <c r="W10" s="33">
        <v>4474.7037334399502</v>
      </c>
      <c r="X10" s="32">
        <f>SUM('4. Engine forecasts'!K22:K25)</f>
        <v>4205.391266929526</v>
      </c>
      <c r="Y10" s="31">
        <f t="shared" si="7"/>
        <v>1552.6890410773979</v>
      </c>
    </row>
    <row r="11" spans="1:25" x14ac:dyDescent="0.3">
      <c r="A11" s="11">
        <v>2031</v>
      </c>
      <c r="B11" s="33">
        <v>2827.2564080439902</v>
      </c>
      <c r="C11" s="32">
        <f>'5. Light fleet split'!E11</f>
        <v>32608.005646946898</v>
      </c>
      <c r="D11" s="15">
        <f t="shared" si="0"/>
        <v>8.6704364524933997</v>
      </c>
      <c r="E11" s="33">
        <v>2771.0709098628799</v>
      </c>
      <c r="F11" s="35">
        <f t="shared" si="1"/>
        <v>0.98012720104860185</v>
      </c>
      <c r="G11" s="32">
        <f>'5. Light fleet split'!R11</f>
        <v>29427.98662796188</v>
      </c>
      <c r="H11" s="31">
        <f t="shared" si="2"/>
        <v>2551.53487982569</v>
      </c>
      <c r="I11" s="31">
        <f t="shared" si="3"/>
        <v>2500.8287401414341</v>
      </c>
      <c r="J11" s="33">
        <v>1336.15045272876</v>
      </c>
      <c r="K11" s="36">
        <f>J11/'5. Light fleet split'!F11</f>
        <v>9.3790000000000137E-2</v>
      </c>
      <c r="L11" s="32">
        <f>'5. Light fleet split'!S11</f>
        <v>12487.253467365568</v>
      </c>
      <c r="M11" s="31">
        <f t="shared" si="4"/>
        <v>1171.1795027042183</v>
      </c>
      <c r="N11" s="33">
        <v>346.95472446928898</v>
      </c>
      <c r="O11" s="36">
        <f>N11/'5. Light fleet split'!G11</f>
        <v>9.3790000000000012E-2</v>
      </c>
      <c r="P11" s="32">
        <f>'5. Light fleet split'!P11</f>
        <v>3309.3272266398881</v>
      </c>
      <c r="Q11" s="31">
        <f t="shared" si="5"/>
        <v>310.38180058655513</v>
      </c>
      <c r="R11" s="33">
        <v>91.691343694826202</v>
      </c>
      <c r="S11" s="36">
        <f>R11/'5. Light fleet split'!H11</f>
        <v>4.6255000000000095E-2</v>
      </c>
      <c r="T11" s="32">
        <f>'5. Light fleet split'!Q11</f>
        <v>1773.3444270990617</v>
      </c>
      <c r="U11" s="31">
        <f t="shared" si="6"/>
        <v>82.026046475467268</v>
      </c>
      <c r="V11" s="33">
        <v>1724.9351850988301</v>
      </c>
      <c r="W11" s="33">
        <v>4480.7584718060898</v>
      </c>
      <c r="X11" s="32">
        <f>SUM('4. Engine forecasts'!K26:K29)</f>
        <v>4243.0779538182924</v>
      </c>
      <c r="Y11" s="31">
        <f t="shared" si="7"/>
        <v>1633.4365044916576</v>
      </c>
    </row>
    <row r="12" spans="1:25" x14ac:dyDescent="0.3">
      <c r="A12" s="11">
        <v>2032</v>
      </c>
      <c r="B12" s="33">
        <v>2768.73980830655</v>
      </c>
      <c r="C12" s="32">
        <f>'5. Light fleet split'!E12</f>
        <v>32257.301563319601</v>
      </c>
      <c r="D12" s="15">
        <f t="shared" si="0"/>
        <v>8.5832964139038133</v>
      </c>
      <c r="E12" s="33">
        <v>2824.5047469583401</v>
      </c>
      <c r="F12" s="35">
        <f t="shared" si="1"/>
        <v>1.0201409097685845</v>
      </c>
      <c r="G12" s="32">
        <f>'5. Light fleet split'!R12</f>
        <v>28952.770915665937</v>
      </c>
      <c r="H12" s="31">
        <f t="shared" si="2"/>
        <v>2485.1021477301406</v>
      </c>
      <c r="I12" s="31">
        <f t="shared" si="3"/>
        <v>2535.1543658532887</v>
      </c>
      <c r="J12" s="33">
        <v>1370.60919035186</v>
      </c>
      <c r="K12" s="36">
        <f>J12/'5. Light fleet split'!F12</f>
        <v>9.7614999999999841E-2</v>
      </c>
      <c r="L12" s="32">
        <f>'5. Light fleet split'!S12</f>
        <v>12443.786196180346</v>
      </c>
      <c r="M12" s="31">
        <f t="shared" si="4"/>
        <v>1214.7001895401424</v>
      </c>
      <c r="N12" s="33">
        <v>429.31341244552902</v>
      </c>
      <c r="O12" s="36">
        <f>N12/'5. Light fleet split'!G12</f>
        <v>9.7614999999999952E-2</v>
      </c>
      <c r="P12" s="32">
        <f>'5. Light fleet split'!P12</f>
        <v>3932.3969667462411</v>
      </c>
      <c r="Q12" s="31">
        <f t="shared" si="5"/>
        <v>383.86092990893411</v>
      </c>
      <c r="R12" s="33">
        <v>110.444638716759</v>
      </c>
      <c r="S12" s="36">
        <f>R12/'5. Light fleet split'!H12</f>
        <v>4.8139999999999863E-2</v>
      </c>
      <c r="T12" s="32">
        <f>'5. Light fleet split'!Q12</f>
        <v>2051.3416939625859</v>
      </c>
      <c r="U12" s="31">
        <f t="shared" si="6"/>
        <v>98.751589147358601</v>
      </c>
      <c r="V12" s="33">
        <v>1795.7546379045</v>
      </c>
      <c r="W12" s="33">
        <v>4481.8235175753498</v>
      </c>
      <c r="X12" s="32">
        <f>SUM('4. Engine forecasts'!K30:K33)</f>
        <v>4274.3563271378671</v>
      </c>
      <c r="Y12" s="31">
        <f t="shared" si="7"/>
        <v>1712.6277213759618</v>
      </c>
    </row>
    <row r="13" spans="1:25" x14ac:dyDescent="0.3">
      <c r="A13" s="11">
        <v>2033</v>
      </c>
      <c r="B13" s="33">
        <v>2697.10434120833</v>
      </c>
      <c r="C13" s="32">
        <f>'5. Light fleet split'!E13</f>
        <v>31744.932775170801</v>
      </c>
      <c r="D13" s="15">
        <f t="shared" si="0"/>
        <v>8.4961727917655612</v>
      </c>
      <c r="E13" s="33">
        <v>2859.3269619481998</v>
      </c>
      <c r="F13" s="35">
        <f t="shared" si="1"/>
        <v>1.0601469577062015</v>
      </c>
      <c r="G13" s="32">
        <f>'5. Light fleet split'!R13</f>
        <v>28401.339037870821</v>
      </c>
      <c r="H13" s="31">
        <f t="shared" si="2"/>
        <v>2413.0268398326716</v>
      </c>
      <c r="I13" s="31">
        <f t="shared" si="3"/>
        <v>2558.1630631120165</v>
      </c>
      <c r="J13" s="33">
        <v>1398.18623122075</v>
      </c>
      <c r="K13" s="36">
        <f>J13/'5. Light fleet split'!F13</f>
        <v>0.10144499999999985</v>
      </c>
      <c r="L13" s="32">
        <f>'5. Light fleet split'!S13</f>
        <v>12353.374444771867</v>
      </c>
      <c r="M13" s="31">
        <f t="shared" si="4"/>
        <v>1253.1880705498802</v>
      </c>
      <c r="N13" s="33">
        <v>527.33655229478302</v>
      </c>
      <c r="O13" s="36">
        <f>N13/'5. Light fleet split'!G13</f>
        <v>0.10144500000000004</v>
      </c>
      <c r="P13" s="32">
        <f>'5. Light fleet split'!P13</f>
        <v>4653.288529828189</v>
      </c>
      <c r="Q13" s="31">
        <f t="shared" si="5"/>
        <v>472.05285490842078</v>
      </c>
      <c r="R13" s="33">
        <v>130.60288778066399</v>
      </c>
      <c r="S13" s="36">
        <f>R13/'5. Light fleet split'!H13</f>
        <v>5.0024999999999965E-2</v>
      </c>
      <c r="T13" s="32">
        <f>'5. Light fleet split'!Q13</f>
        <v>2337.0523222841671</v>
      </c>
      <c r="U13" s="31">
        <f t="shared" si="6"/>
        <v>116.91104242226538</v>
      </c>
      <c r="V13" s="33">
        <v>1864.48336002065</v>
      </c>
      <c r="W13" s="33">
        <v>4477.8408185327198</v>
      </c>
      <c r="X13" s="32">
        <f>SUM('4. Engine forecasts'!K34:K37)</f>
        <v>4301.483346366771</v>
      </c>
      <c r="Y13" s="31">
        <f t="shared" si="7"/>
        <v>1791.0516357601923</v>
      </c>
    </row>
    <row r="14" spans="1:25" x14ac:dyDescent="0.3">
      <c r="A14" s="11">
        <v>2034</v>
      </c>
      <c r="B14" s="33">
        <v>2619.4887904514999</v>
      </c>
      <c r="C14" s="32">
        <f>'5. Light fleet split'!E14</f>
        <v>31150.871440720301</v>
      </c>
      <c r="D14" s="15">
        <f t="shared" si="0"/>
        <v>8.4090385575130782</v>
      </c>
      <c r="E14" s="33">
        <v>2881.8095398236201</v>
      </c>
      <c r="F14" s="35">
        <f t="shared" si="1"/>
        <v>1.1001419629388474</v>
      </c>
      <c r="G14" s="32">
        <f>'5. Light fleet split'!R14</f>
        <v>27770.107225591291</v>
      </c>
      <c r="H14" s="31">
        <f t="shared" si="2"/>
        <v>2335.1990240626969</v>
      </c>
      <c r="I14" s="31">
        <f t="shared" si="3"/>
        <v>2569.0504381852161</v>
      </c>
      <c r="J14" s="33">
        <v>1419.79424580153</v>
      </c>
      <c r="K14" s="36">
        <f>J14/'5. Light fleet split'!F14</f>
        <v>0.10527500000000004</v>
      </c>
      <c r="L14" s="32">
        <f>'5. Light fleet split'!S14</f>
        <v>12202.093130254834</v>
      </c>
      <c r="M14" s="31">
        <f t="shared" si="4"/>
        <v>1284.5753542875782</v>
      </c>
      <c r="N14" s="33">
        <v>649.54355220518596</v>
      </c>
      <c r="O14" s="36">
        <f>N14/'5. Light fleet split'!G14</f>
        <v>0.10527499999999991</v>
      </c>
      <c r="P14" s="32">
        <f>'5. Light fleet split'!P14</f>
        <v>5525.1261172997656</v>
      </c>
      <c r="Q14" s="31">
        <f t="shared" si="5"/>
        <v>581.65765199873238</v>
      </c>
      <c r="R14" s="33">
        <v>151.79018706013699</v>
      </c>
      <c r="S14" s="36">
        <f>R14/'5. Light fleet split'!H14</f>
        <v>5.1915000000000024E-2</v>
      </c>
      <c r="T14" s="32">
        <f>'5. Light fleet split'!Q14</f>
        <v>2618.2433407221852</v>
      </c>
      <c r="U14" s="31">
        <f t="shared" si="6"/>
        <v>135.92610303359231</v>
      </c>
      <c r="V14" s="33">
        <v>1927.23338463957</v>
      </c>
      <c r="W14" s="33">
        <v>4460.3107829236696</v>
      </c>
      <c r="X14" s="32">
        <f>SUM('4. Engine forecasts'!K38:K41)</f>
        <v>4330.4495317579422</v>
      </c>
      <c r="Y14" s="31">
        <f t="shared" si="7"/>
        <v>1871.1222859296267</v>
      </c>
    </row>
    <row r="15" spans="1:25" x14ac:dyDescent="0.3">
      <c r="A15" s="11">
        <v>2035</v>
      </c>
      <c r="B15" s="33">
        <v>2531.97518270616</v>
      </c>
      <c r="C15" s="32">
        <f>'5. Light fleet split'!E15</f>
        <v>30425.364325564002</v>
      </c>
      <c r="D15" s="15">
        <f t="shared" si="0"/>
        <v>8.3219223132810392</v>
      </c>
      <c r="E15" s="33">
        <v>2886.6932460619601</v>
      </c>
      <c r="F15" s="35">
        <f t="shared" si="1"/>
        <v>1.1400953950017312</v>
      </c>
      <c r="G15" s="32">
        <f>'5. Light fleet split'!R15</f>
        <v>27052.750685450766</v>
      </c>
      <c r="H15" s="31">
        <f t="shared" si="2"/>
        <v>2251.3088956488164</v>
      </c>
      <c r="I15" s="31">
        <f t="shared" si="3"/>
        <v>2566.7069046556485</v>
      </c>
      <c r="J15" s="33">
        <v>1434.9683857018099</v>
      </c>
      <c r="K15" s="36">
        <f>J15/'5. Light fleet split'!F15</f>
        <v>0.10909999999999974</v>
      </c>
      <c r="L15" s="32">
        <f>'5. Light fleet split'!S15</f>
        <v>11983.806016872628</v>
      </c>
      <c r="M15" s="31">
        <f t="shared" si="4"/>
        <v>1307.4332364408006</v>
      </c>
      <c r="N15" s="33">
        <v>801.089275482007</v>
      </c>
      <c r="O15" s="36">
        <f>N15/'5. Light fleet split'!G15</f>
        <v>0.10910000000000004</v>
      </c>
      <c r="P15" s="32">
        <f>'5. Light fleet split'!P15</f>
        <v>6577.4708049646697</v>
      </c>
      <c r="Q15" s="31">
        <f t="shared" si="5"/>
        <v>717.60206482164574</v>
      </c>
      <c r="R15" s="33">
        <v>173.295191210719</v>
      </c>
      <c r="S15" s="36">
        <f>R15/'5. Light fleet split'!H15</f>
        <v>5.3799999999999779E-2</v>
      </c>
      <c r="T15" s="32">
        <f>'5. Light fleet split'!Q15</f>
        <v>2885.4064475379196</v>
      </c>
      <c r="U15" s="31">
        <f t="shared" si="6"/>
        <v>155.23486687753945</v>
      </c>
      <c r="V15" s="33">
        <v>1984.3156178667</v>
      </c>
      <c r="W15" s="33">
        <v>4431.3036498100701</v>
      </c>
      <c r="X15" s="32">
        <f>SUM('4. Engine forecasts'!K42:K45)</f>
        <v>4358.3596597433416</v>
      </c>
      <c r="Y15" s="31">
        <f t="shared" si="7"/>
        <v>1951.6516638347694</v>
      </c>
    </row>
    <row r="16" spans="1:25" x14ac:dyDescent="0.3">
      <c r="A16" s="11">
        <v>2036</v>
      </c>
      <c r="B16" s="33">
        <v>2432.0654698747398</v>
      </c>
      <c r="C16" s="32">
        <f>'5. Light fleet split'!E16</f>
        <v>29533.961650427202</v>
      </c>
      <c r="D16" s="15">
        <f t="shared" si="0"/>
        <v>8.2348094666790512</v>
      </c>
      <c r="E16" s="33">
        <v>2870.0202267988998</v>
      </c>
      <c r="F16" s="35">
        <f t="shared" si="1"/>
        <v>1.1800752333146345</v>
      </c>
      <c r="G16" s="32">
        <f>'5. Light fleet split'!R16</f>
        <v>26254.815907610573</v>
      </c>
      <c r="H16" s="31">
        <f t="shared" si="2"/>
        <v>2162.034065819073</v>
      </c>
      <c r="I16" s="31">
        <f t="shared" si="3"/>
        <v>2551.3628546556306</v>
      </c>
      <c r="J16" s="33">
        <v>1443.7388838111499</v>
      </c>
      <c r="K16" s="36">
        <f>J16/'5. Light fleet split'!F16</f>
        <v>0.11292499999999954</v>
      </c>
      <c r="L16" s="32">
        <f>'5. Light fleet split'!S16</f>
        <v>11707.072792303188</v>
      </c>
      <c r="M16" s="31">
        <f t="shared" si="4"/>
        <v>1322.0211950708322</v>
      </c>
      <c r="N16" s="33">
        <v>984.97989380295303</v>
      </c>
      <c r="O16" s="36">
        <f>N16/'5. Light fleet split'!G16</f>
        <v>0.112925</v>
      </c>
      <c r="P16" s="32">
        <f>'5. Light fleet split'!P16</f>
        <v>7824.394382485204</v>
      </c>
      <c r="Q16" s="31">
        <f t="shared" si="5"/>
        <v>883.56973564214161</v>
      </c>
      <c r="R16" s="33">
        <v>192.613777278713</v>
      </c>
      <c r="S16" s="36">
        <f>R16/'5. Light fleet split'!H16</f>
        <v>5.568499999999986E-2</v>
      </c>
      <c r="T16" s="32">
        <f>'5. Light fleet split'!Q16</f>
        <v>3102.8629273650058</v>
      </c>
      <c r="U16" s="31">
        <f t="shared" si="6"/>
        <v>172.7829221103199</v>
      </c>
      <c r="V16" s="33">
        <v>2039.8779029334301</v>
      </c>
      <c r="W16" s="33">
        <v>4400.9835987387996</v>
      </c>
      <c r="X16" s="32">
        <f>SUM('4. Engine forecasts'!K46:K49)</f>
        <v>4383.2874292041161</v>
      </c>
      <c r="Y16" s="31">
        <f t="shared" si="7"/>
        <v>2031.6756398732564</v>
      </c>
    </row>
    <row r="17" spans="1:25" x14ac:dyDescent="0.3">
      <c r="A17" s="11">
        <v>2037</v>
      </c>
      <c r="B17" s="33">
        <v>2320.7042953914702</v>
      </c>
      <c r="C17" s="32">
        <f>'5. Light fleet split'!E17</f>
        <v>28482.9245882982</v>
      </c>
      <c r="D17" s="15">
        <f t="shared" si="0"/>
        <v>8.1477036818926187</v>
      </c>
      <c r="E17" s="33">
        <v>2831.3485151131899</v>
      </c>
      <c r="F17" s="35">
        <f t="shared" si="1"/>
        <v>1.2200384688112886</v>
      </c>
      <c r="G17" s="32">
        <f>'5. Light fleet split'!R17</f>
        <v>25348.045262784177</v>
      </c>
      <c r="H17" s="31">
        <f t="shared" si="2"/>
        <v>2065.2836171636741</v>
      </c>
      <c r="I17" s="31">
        <f t="shared" si="3"/>
        <v>2519.7254619454084</v>
      </c>
      <c r="J17" s="33">
        <v>1444.42303452378</v>
      </c>
      <c r="K17" s="36">
        <f>J17/'5. Light fleet split'!F17</f>
        <v>0.11675500000000058</v>
      </c>
      <c r="L17" s="32">
        <f>'5. Light fleet split'!S17</f>
        <v>11354.383724674677</v>
      </c>
      <c r="M17" s="31">
        <f t="shared" si="4"/>
        <v>1325.6810717743986</v>
      </c>
      <c r="N17" s="33">
        <v>1208.15350381081</v>
      </c>
      <c r="O17" s="36">
        <f>N17/'5. Light fleet split'!G17</f>
        <v>0.11675499999999976</v>
      </c>
      <c r="P17" s="32">
        <f>'5. Light fleet split'!P17</f>
        <v>9296.155524838683</v>
      </c>
      <c r="Q17" s="31">
        <f t="shared" si="5"/>
        <v>1085.3726383025382</v>
      </c>
      <c r="R17" s="33">
        <v>209.22312808194201</v>
      </c>
      <c r="S17" s="36">
        <f>R17/'5. Light fleet split'!H17</f>
        <v>5.7575000000000098E-2</v>
      </c>
      <c r="T17" s="32">
        <f>'5. Light fleet split'!Q17</f>
        <v>3264.618937537598</v>
      </c>
      <c r="U17" s="31">
        <f t="shared" si="6"/>
        <v>187.96043532872753</v>
      </c>
      <c r="V17" s="33">
        <v>2092.9457389076601</v>
      </c>
      <c r="W17" s="33">
        <v>4367.4462170584402</v>
      </c>
      <c r="X17" s="32">
        <f>SUM('4. Engine forecasts'!K50:K53)</f>
        <v>4406.8169704452757</v>
      </c>
      <c r="Y17" s="31">
        <f t="shared" si="7"/>
        <v>2111.8127944919324</v>
      </c>
    </row>
    <row r="18" spans="1:25" x14ac:dyDescent="0.3">
      <c r="A18" s="11">
        <v>2038</v>
      </c>
      <c r="B18" s="33">
        <v>2196.30215452424</v>
      </c>
      <c r="C18" s="32">
        <f>'5. Light fleet split'!E18</f>
        <v>27247.3604877293</v>
      </c>
      <c r="D18" s="15">
        <f t="shared" si="0"/>
        <v>8.0606051933482963</v>
      </c>
      <c r="E18" s="33">
        <v>2767.364948166</v>
      </c>
      <c r="F18" s="35">
        <f t="shared" si="1"/>
        <v>1.2600110337575401</v>
      </c>
      <c r="G18" s="32">
        <f>'5. Light fleet split'!R18</f>
        <v>24320.726844224784</v>
      </c>
      <c r="H18" s="31">
        <f t="shared" si="2"/>
        <v>1960.3977710656361</v>
      </c>
      <c r="I18" s="31">
        <f t="shared" si="3"/>
        <v>2470.1228220963894</v>
      </c>
      <c r="J18" s="33">
        <v>1434.5477338374001</v>
      </c>
      <c r="K18" s="36">
        <f>J18/'5. Light fleet split'!F18</f>
        <v>0.12058500000000004</v>
      </c>
      <c r="L18" s="32">
        <f>'5. Light fleet split'!S18</f>
        <v>10938.210097846282</v>
      </c>
      <c r="M18" s="31">
        <f t="shared" si="4"/>
        <v>1318.9840646487944</v>
      </c>
      <c r="N18" s="33">
        <v>1472.30544052707</v>
      </c>
      <c r="O18" s="36">
        <f>N18/'5. Light fleet split'!G18</f>
        <v>0.12058500000000001</v>
      </c>
      <c r="P18" s="32">
        <f>'5. Light fleet split'!P18</f>
        <v>10997.891391143085</v>
      </c>
      <c r="Q18" s="31">
        <f t="shared" si="5"/>
        <v>1326.1807334009891</v>
      </c>
      <c r="R18" s="33">
        <v>223.46942898832401</v>
      </c>
      <c r="S18" s="36">
        <f>R18/'5. Light fleet split'!H18</f>
        <v>5.9464999999999872E-2</v>
      </c>
      <c r="T18" s="32">
        <f>'5. Light fleet split'!Q18</f>
        <v>3385.0219827345704</v>
      </c>
      <c r="U18" s="31">
        <f t="shared" si="6"/>
        <v>201.29033220331081</v>
      </c>
      <c r="V18" s="33">
        <v>2143.7937061842199</v>
      </c>
      <c r="W18" s="33">
        <v>4331.5526719891304</v>
      </c>
      <c r="X18" s="32">
        <f>SUM('4. Engine forecasts'!K54:K57)</f>
        <v>4431.5454970426717</v>
      </c>
      <c r="Y18" s="31">
        <f t="shared" si="7"/>
        <v>2193.2826551238441</v>
      </c>
    </row>
    <row r="19" spans="1:25" x14ac:dyDescent="0.3">
      <c r="A19" s="11">
        <v>2039</v>
      </c>
      <c r="B19" s="33">
        <v>2061.2747297237602</v>
      </c>
      <c r="C19" s="32">
        <f>'5. Light fleet split'!E19</f>
        <v>25851.548226369399</v>
      </c>
      <c r="D19" s="15">
        <f t="shared" si="0"/>
        <v>7.9735059257348251</v>
      </c>
      <c r="E19" s="33">
        <v>2679.6032829404899</v>
      </c>
      <c r="F19" s="35">
        <f t="shared" si="1"/>
        <v>1.2999738677723927</v>
      </c>
      <c r="G19" s="32">
        <f>'5. Light fleet split'!R19</f>
        <v>23141.330895050396</v>
      </c>
      <c r="H19" s="31">
        <f t="shared" si="2"/>
        <v>1845.1753902107471</v>
      </c>
      <c r="I19" s="31">
        <f t="shared" si="3"/>
        <v>2398.6797887306989</v>
      </c>
      <c r="J19" s="33">
        <v>1415.1561917485801</v>
      </c>
      <c r="K19" s="36">
        <f>J19/'5. Light fleet split'!F19</f>
        <v>0.12440999999999992</v>
      </c>
      <c r="L19" s="32">
        <f>'5. Light fleet split'!S19</f>
        <v>10445.381637419816</v>
      </c>
      <c r="M19" s="31">
        <f t="shared" si="4"/>
        <v>1299.5099295113985</v>
      </c>
      <c r="N19" s="33">
        <v>1786.2413293700399</v>
      </c>
      <c r="O19" s="36">
        <f>N19/'5. Light fleet split'!G19</f>
        <v>0.12440999999999962</v>
      </c>
      <c r="P19" s="32">
        <f>'5. Light fleet split'!P19</f>
        <v>12953.892263227051</v>
      </c>
      <c r="Q19" s="31">
        <f t="shared" si="5"/>
        <v>1611.5937364680726</v>
      </c>
      <c r="R19" s="33">
        <v>237.225361250763</v>
      </c>
      <c r="S19" s="36">
        <f>R19/'5. Light fleet split'!H19</f>
        <v>6.1350000000000064E-2</v>
      </c>
      <c r="T19" s="32">
        <f>'5. Light fleet split'!Q19</f>
        <v>3488.6868377865103</v>
      </c>
      <c r="U19" s="31">
        <f t="shared" si="6"/>
        <v>214.03093749820263</v>
      </c>
      <c r="V19" s="33">
        <v>2191.7264461454902</v>
      </c>
      <c r="W19" s="33">
        <v>4292.15867722638</v>
      </c>
      <c r="X19" s="32">
        <f>SUM('4. Engine forecasts'!K58:K61)</f>
        <v>4456.8073441344477</v>
      </c>
      <c r="Y19" s="31">
        <f t="shared" si="7"/>
        <v>2275.8018181720913</v>
      </c>
    </row>
    <row r="20" spans="1:25" x14ac:dyDescent="0.3">
      <c r="A20" s="11">
        <v>2040</v>
      </c>
      <c r="B20" s="33">
        <v>1918.99711721876</v>
      </c>
      <c r="C20" s="32">
        <f>'5. Light fleet split'!E20</f>
        <v>24332.99593682</v>
      </c>
      <c r="D20" s="15">
        <f t="shared" si="0"/>
        <v>7.8863988725489733</v>
      </c>
      <c r="E20" s="33">
        <v>2571.2888788277601</v>
      </c>
      <c r="F20" s="35">
        <f t="shared" si="1"/>
        <v>1.3399128408042527</v>
      </c>
      <c r="G20" s="32">
        <f>'5. Light fleet split'!R20</f>
        <v>21834.736575748633</v>
      </c>
      <c r="H20" s="31">
        <f t="shared" si="2"/>
        <v>1721.9744191338787</v>
      </c>
      <c r="I20" s="31">
        <f t="shared" si="3"/>
        <v>2307.2956357339281</v>
      </c>
      <c r="J20" s="33">
        <v>1387.8202200727001</v>
      </c>
      <c r="K20" s="36">
        <f>J20/'5. Light fleet split'!F20</f>
        <v>0.12823500000000004</v>
      </c>
      <c r="L20" s="32">
        <f>'5. Light fleet split'!S20</f>
        <v>9904.1814155984339</v>
      </c>
      <c r="M20" s="31">
        <f t="shared" si="4"/>
        <v>1270.0627038292655</v>
      </c>
      <c r="N20" s="33">
        <v>2153.0279249590999</v>
      </c>
      <c r="O20" s="36">
        <f>N20/'5. Light fleet split'!G20</f>
        <v>0.12823499999999996</v>
      </c>
      <c r="P20" s="32">
        <f>'5. Light fleet split'!P20</f>
        <v>15158.012830984901</v>
      </c>
      <c r="Q20" s="31">
        <f t="shared" si="5"/>
        <v>1943.7877753813482</v>
      </c>
      <c r="R20" s="33">
        <v>247.17943995693599</v>
      </c>
      <c r="S20" s="36">
        <f>R20/'5. Light fleet split'!H20</f>
        <v>6.3235E-2</v>
      </c>
      <c r="T20" s="32">
        <f>'5. Light fleet split'!Q20</f>
        <v>3529.019066841382</v>
      </c>
      <c r="U20" s="31">
        <f t="shared" si="6"/>
        <v>223.15752069171478</v>
      </c>
      <c r="V20" s="33">
        <v>2237.0045526857498</v>
      </c>
      <c r="W20" s="33">
        <v>4250.0727710641204</v>
      </c>
      <c r="X20" s="32">
        <f>SUM('4. Engine forecasts'!K62:K65)</f>
        <v>4482.5071809885185</v>
      </c>
      <c r="Y20" s="31">
        <f t="shared" si="7"/>
        <v>2359.3452421774073</v>
      </c>
    </row>
    <row r="21" spans="1:25" x14ac:dyDescent="0.3">
      <c r="A21" s="11">
        <v>2041</v>
      </c>
      <c r="B21" s="33">
        <v>1772.1667512000599</v>
      </c>
      <c r="C21" s="32">
        <f>'5. Light fleet split'!E21</f>
        <v>22722.0600487019</v>
      </c>
      <c r="D21" s="15">
        <f t="shared" si="0"/>
        <v>7.7993225411852691</v>
      </c>
      <c r="E21" s="33">
        <v>2445.32935020591</v>
      </c>
      <c r="F21" s="35">
        <f t="shared" si="1"/>
        <v>1.3798528544506345</v>
      </c>
      <c r="G21" s="32">
        <f>'5. Light fleet split'!R21</f>
        <v>20452.733169361472</v>
      </c>
      <c r="H21" s="31">
        <f t="shared" si="2"/>
        <v>1595.1746283664856</v>
      </c>
      <c r="I21" s="31">
        <f t="shared" si="3"/>
        <v>2201.1062642987254</v>
      </c>
      <c r="J21" s="33">
        <v>1357.5187575745299</v>
      </c>
      <c r="K21" s="36">
        <f>J21/'5. Light fleet split'!F21</f>
        <v>0.13206500000000002</v>
      </c>
      <c r="L21" s="32">
        <f>'5. Light fleet split'!S21</f>
        <v>9359.4198074896703</v>
      </c>
      <c r="M21" s="31">
        <f t="shared" si="4"/>
        <v>1236.0517768761235</v>
      </c>
      <c r="N21" s="33">
        <v>2561.8273374038599</v>
      </c>
      <c r="O21" s="36">
        <f>N21/'5. Light fleet split'!G21</f>
        <v>0.13206500000000002</v>
      </c>
      <c r="P21" s="32">
        <f>'5. Light fleet split'!P21</f>
        <v>17523.680102152044</v>
      </c>
      <c r="Q21" s="31">
        <f t="shared" si="5"/>
        <v>2314.2648126907102</v>
      </c>
      <c r="R21" s="33">
        <v>251.27851628956799</v>
      </c>
      <c r="S21" s="36">
        <f>R21/'5. Light fleet split'!H21</f>
        <v>6.5124999999999961E-2</v>
      </c>
      <c r="T21" s="32">
        <f>'5. Light fleet split'!Q21</f>
        <v>3485.5460041830188</v>
      </c>
      <c r="U21" s="31">
        <f t="shared" si="6"/>
        <v>226.99618352241896</v>
      </c>
      <c r="V21" s="33">
        <v>2280.0980437102598</v>
      </c>
      <c r="W21" s="33">
        <v>4206.3961105612198</v>
      </c>
      <c r="X21" s="32">
        <f>SUM('4. Engine forecasts'!K66:K69)</f>
        <v>4508.1071971771908</v>
      </c>
      <c r="Y21" s="31">
        <f t="shared" si="7"/>
        <v>2443.64204676588</v>
      </c>
    </row>
    <row r="22" spans="1:25" x14ac:dyDescent="0.3">
      <c r="A22" s="11">
        <v>2042</v>
      </c>
      <c r="B22" s="33">
        <v>1612.9036275763999</v>
      </c>
      <c r="C22" s="32">
        <f>'5. Light fleet split'!E22</f>
        <v>20913.516404337799</v>
      </c>
      <c r="D22" s="15">
        <f t="shared" si="0"/>
        <v>7.712254584034743</v>
      </c>
      <c r="E22" s="33">
        <v>2290.0128273682199</v>
      </c>
      <c r="F22" s="35">
        <f t="shared" si="1"/>
        <v>1.4198075992979604</v>
      </c>
      <c r="G22" s="32">
        <f>'5. Light fleet split'!R22</f>
        <v>18944.481260275243</v>
      </c>
      <c r="H22" s="31">
        <f t="shared" si="2"/>
        <v>1461.0466244171801</v>
      </c>
      <c r="I22" s="31">
        <f t="shared" si="3"/>
        <v>2074.4051002761453</v>
      </c>
      <c r="J22" s="33">
        <v>1319.3090235791699</v>
      </c>
      <c r="K22" s="36">
        <f>J22/'5. Light fleet split'!F22</f>
        <v>0.13588999999999996</v>
      </c>
      <c r="L22" s="32">
        <f>'5. Light fleet split'!S22</f>
        <v>8773.2309881453639</v>
      </c>
      <c r="M22" s="31">
        <f t="shared" si="4"/>
        <v>1192.1943589790731</v>
      </c>
      <c r="N22" s="33">
        <v>3008.7640275717599</v>
      </c>
      <c r="O22" s="36">
        <f>N22/'5. Light fleet split'!G22</f>
        <v>0.13588999999999998</v>
      </c>
      <c r="P22" s="32">
        <f>'5. Light fleet split'!P22</f>
        <v>20041.122335177522</v>
      </c>
      <c r="Q22" s="31">
        <f t="shared" si="5"/>
        <v>2723.3881141272732</v>
      </c>
      <c r="R22" s="33">
        <v>253.541851574394</v>
      </c>
      <c r="S22" s="36">
        <f>R22/'5. Light fleet split'!H22</f>
        <v>6.7014999999999963E-2</v>
      </c>
      <c r="T22" s="32">
        <f>'5. Light fleet split'!Q22</f>
        <v>3424.5147828146532</v>
      </c>
      <c r="U22" s="31">
        <f t="shared" si="6"/>
        <v>229.49385817032388</v>
      </c>
      <c r="V22" s="33">
        <v>2321.4524711286999</v>
      </c>
      <c r="W22" s="33">
        <v>4162.0992382542599</v>
      </c>
      <c r="X22" s="32">
        <f>SUM('4. Engine forecasts'!K70:K73)</f>
        <v>4532.8050908410687</v>
      </c>
      <c r="Y22" s="31">
        <f t="shared" si="7"/>
        <v>2528.2173674675187</v>
      </c>
    </row>
    <row r="23" spans="1:25" x14ac:dyDescent="0.3">
      <c r="A23" s="11">
        <v>2043</v>
      </c>
      <c r="B23" s="33">
        <v>1455.5600453980501</v>
      </c>
      <c r="C23" s="32">
        <f>'5. Light fleet split'!E23</f>
        <v>19088.973019316902</v>
      </c>
      <c r="D23" s="15">
        <f t="shared" si="0"/>
        <v>7.625135432509178</v>
      </c>
      <c r="E23" s="33">
        <v>2124.8629356203501</v>
      </c>
      <c r="F23" s="35">
        <f t="shared" si="1"/>
        <v>1.4598249947423272</v>
      </c>
      <c r="G23" s="32">
        <f>'5. Light fleet split'!R23</f>
        <v>17420.857528431603</v>
      </c>
      <c r="H23" s="31">
        <f t="shared" si="2"/>
        <v>1328.3639800473809</v>
      </c>
      <c r="I23" s="31">
        <f t="shared" si="3"/>
        <v>1939.1789401885646</v>
      </c>
      <c r="J23" s="33">
        <v>1280.0861747317899</v>
      </c>
      <c r="K23" s="36">
        <f>J23/'5. Light fleet split'!F23</f>
        <v>0.13971500000000006</v>
      </c>
      <c r="L23" s="32">
        <f>'5. Light fleet split'!S23</f>
        <v>8220.1392603853583</v>
      </c>
      <c r="M23" s="31">
        <f t="shared" si="4"/>
        <v>1148.4767567647409</v>
      </c>
      <c r="N23" s="33">
        <v>3472.7959487599001</v>
      </c>
      <c r="O23" s="36">
        <f>N23/'5. Light fleet split'!G23</f>
        <v>0.13971500000000003</v>
      </c>
      <c r="P23" s="32">
        <f>'5. Light fleet split'!P23</f>
        <v>22559.829683940592</v>
      </c>
      <c r="Q23" s="31">
        <f t="shared" si="5"/>
        <v>3151.9466042917607</v>
      </c>
      <c r="R23" s="33">
        <v>254.30028937861101</v>
      </c>
      <c r="S23" s="36">
        <f>R23/'5. Light fleet split'!H23</f>
        <v>6.8900000000000072E-2</v>
      </c>
      <c r="T23" s="32">
        <f>'5. Light fleet split'!Q23</f>
        <v>3349.8643266168924</v>
      </c>
      <c r="U23" s="31">
        <f t="shared" si="6"/>
        <v>230.80565210390412</v>
      </c>
      <c r="V23" s="33">
        <v>2359.10129003576</v>
      </c>
      <c r="W23" s="33">
        <v>4113.7668210540496</v>
      </c>
      <c r="X23" s="32">
        <f>SUM('4. Engine forecasts'!K74:K77)</f>
        <v>4558.856019389018</v>
      </c>
      <c r="Y23" s="31">
        <f t="shared" si="7"/>
        <v>2614.3443671589225</v>
      </c>
    </row>
    <row r="24" spans="1:25" x14ac:dyDescent="0.3">
      <c r="A24" s="11">
        <v>2044</v>
      </c>
      <c r="B24" s="33">
        <v>1308.2460841552299</v>
      </c>
      <c r="C24" s="32">
        <f>'5. Light fleet split'!E24</f>
        <v>17355.3467715605</v>
      </c>
      <c r="D24" s="15">
        <f t="shared" si="0"/>
        <v>7.5380002564915589</v>
      </c>
      <c r="E24" s="33">
        <v>1962.1284224220601</v>
      </c>
      <c r="F24" s="35">
        <f t="shared" si="1"/>
        <v>1.4998160102952343</v>
      </c>
      <c r="G24" s="32">
        <f>'5. Light fleet split'!R24</f>
        <v>15960.992821360669</v>
      </c>
      <c r="H24" s="31">
        <f t="shared" si="2"/>
        <v>1203.1396798127666</v>
      </c>
      <c r="I24" s="31">
        <f t="shared" si="3"/>
        <v>1804.4881544046693</v>
      </c>
      <c r="J24" s="33">
        <v>1240.3969481907</v>
      </c>
      <c r="K24" s="36">
        <f>J24/'5. Light fleet split'!F24</f>
        <v>0.14354499999999959</v>
      </c>
      <c r="L24" s="32">
        <f>'5. Light fleet split'!S24</f>
        <v>7743.3038519600759</v>
      </c>
      <c r="M24" s="31">
        <f t="shared" si="4"/>
        <v>1111.512551429606</v>
      </c>
      <c r="N24" s="33">
        <v>3927.9740413081199</v>
      </c>
      <c r="O24" s="36">
        <f>N24/'5. Light fleet split'!G24</f>
        <v>0.14354500000000028</v>
      </c>
      <c r="P24" s="32">
        <f>'5. Light fleet split'!P24</f>
        <v>24951.256943187618</v>
      </c>
      <c r="Q24" s="31">
        <f t="shared" si="5"/>
        <v>3581.6281779098736</v>
      </c>
      <c r="R24" s="33">
        <v>253.96544026018501</v>
      </c>
      <c r="S24" s="36">
        <f>R24/'5. Light fleet split'!H24</f>
        <v>7.0784999999999959E-2</v>
      </c>
      <c r="T24" s="32">
        <f>'5. Light fleet split'!Q24</f>
        <v>3271.4875686485716</v>
      </c>
      <c r="U24" s="31">
        <f t="shared" si="6"/>
        <v>231.57224754678901</v>
      </c>
      <c r="V24" s="33">
        <v>2393.8529215993999</v>
      </c>
      <c r="W24" s="33">
        <v>4063.0592295996998</v>
      </c>
      <c r="X24" s="32">
        <f>SUM('4. Engine forecasts'!K78:K81)</f>
        <v>4585.4829872280152</v>
      </c>
      <c r="Y24" s="31">
        <f t="shared" si="7"/>
        <v>2701.6519390000622</v>
      </c>
    </row>
    <row r="25" spans="1:25" x14ac:dyDescent="0.3">
      <c r="A25" s="11">
        <v>2045</v>
      </c>
      <c r="B25" s="33">
        <v>1172.9685228603801</v>
      </c>
      <c r="C25" s="32">
        <f>'5. Light fleet split'!E25</f>
        <v>15742.7368402457</v>
      </c>
      <c r="D25" s="15">
        <f t="shared" si="0"/>
        <v>7.4508551769837839</v>
      </c>
      <c r="E25" s="33">
        <v>1806.11937901037</v>
      </c>
      <c r="F25" s="35">
        <f t="shared" si="1"/>
        <v>1.5397850358388132</v>
      </c>
      <c r="G25" s="32">
        <f>'5. Light fleet split'!R25</f>
        <v>14564.341051259107</v>
      </c>
      <c r="H25" s="31">
        <f t="shared" si="2"/>
        <v>1085.1679592113135</v>
      </c>
      <c r="I25" s="31">
        <f t="shared" si="3"/>
        <v>1670.9253849653242</v>
      </c>
      <c r="J25" s="33">
        <v>1201.5423618915599</v>
      </c>
      <c r="K25" s="36">
        <f>J25/'5. Light fleet split'!F25</f>
        <v>0.14737500000000034</v>
      </c>
      <c r="L25" s="32">
        <f>'5. Light fleet split'!S25</f>
        <v>7325.3601026579599</v>
      </c>
      <c r="M25" s="31">
        <f t="shared" si="4"/>
        <v>1079.5749451292193</v>
      </c>
      <c r="N25" s="33">
        <v>4382.2648755793698</v>
      </c>
      <c r="O25" s="36">
        <f>N25/'5. Light fleet split'!G25</f>
        <v>0.14737499999999965</v>
      </c>
      <c r="P25" s="32">
        <f>'5. Light fleet split'!P25</f>
        <v>27239.237919078118</v>
      </c>
      <c r="Q25" s="31">
        <f t="shared" si="5"/>
        <v>4014.3826883241277</v>
      </c>
      <c r="R25" s="33">
        <v>252.57533121399899</v>
      </c>
      <c r="S25" s="36">
        <f>R25/'5. Light fleet split'!H25</f>
        <v>7.2675000000000045E-2</v>
      </c>
      <c r="T25" s="32">
        <f>'5. Light fleet split'!Q25</f>
        <v>3183.6552864698647</v>
      </c>
      <c r="U25" s="31">
        <f t="shared" si="6"/>
        <v>231.37214794419756</v>
      </c>
      <c r="V25" s="33">
        <v>2425.7699303977602</v>
      </c>
      <c r="W25" s="33">
        <v>4010.2993633463502</v>
      </c>
      <c r="X25" s="32">
        <f>SUM('4. Engine forecasts'!K82:K85)</f>
        <v>4612.5710518084679</v>
      </c>
      <c r="Y25" s="31">
        <f t="shared" si="7"/>
        <v>2790.0750406731686</v>
      </c>
    </row>
    <row r="26" spans="1:25" x14ac:dyDescent="0.3">
      <c r="A26" s="11">
        <v>2046</v>
      </c>
      <c r="B26" s="33">
        <v>1050.52058396656</v>
      </c>
      <c r="C26" s="32">
        <f>'5. Light fleet split'!E26</f>
        <v>14266.194140765199</v>
      </c>
      <c r="D26" s="15">
        <f t="shared" si="0"/>
        <v>7.3637059302644055</v>
      </c>
      <c r="E26" s="33">
        <v>1659.55467711814</v>
      </c>
      <c r="F26" s="35">
        <f t="shared" si="1"/>
        <v>1.5797450354109071</v>
      </c>
      <c r="G26" s="32">
        <f>'5. Light fleet split'!R26</f>
        <v>13202.971478211181</v>
      </c>
      <c r="H26" s="31">
        <f t="shared" si="2"/>
        <v>972.22799371215467</v>
      </c>
      <c r="I26" s="31">
        <f t="shared" si="3"/>
        <v>1535.8723463542829</v>
      </c>
      <c r="J26" s="33">
        <v>1162.43666089883</v>
      </c>
      <c r="K26" s="36">
        <f>J26/'5. Light fleet split'!F26</f>
        <v>0.15119999999999983</v>
      </c>
      <c r="L26" s="32">
        <f>'5. Light fleet split'!S26</f>
        <v>6932.1779813758912</v>
      </c>
      <c r="M26" s="31">
        <f t="shared" si="4"/>
        <v>1048.1453107840337</v>
      </c>
      <c r="N26" s="33">
        <v>4862.0415133283796</v>
      </c>
      <c r="O26" s="36">
        <f>N26/'5. Light fleet split'!G26</f>
        <v>0.15119999999999995</v>
      </c>
      <c r="P26" s="32">
        <f>'5. Light fleet split'!P26</f>
        <v>29491.90196953448</v>
      </c>
      <c r="Q26" s="31">
        <f t="shared" si="5"/>
        <v>4459.1755777936114</v>
      </c>
      <c r="R26" s="33">
        <v>250.44951658873899</v>
      </c>
      <c r="S26" s="36">
        <f>R26/'5. Light fleet split'!H26</f>
        <v>7.456500000000002E-2</v>
      </c>
      <c r="T26" s="32">
        <f>'5. Light fleet split'!Q26</f>
        <v>3080.4990964280018</v>
      </c>
      <c r="U26" s="31">
        <f t="shared" si="6"/>
        <v>229.69741512515401</v>
      </c>
      <c r="V26" s="33">
        <v>2453.0084264417801</v>
      </c>
      <c r="W26" s="33">
        <v>3952.6719139564202</v>
      </c>
      <c r="X26" s="32">
        <f>SUM('4. Engine forecasts'!K86:K89)</f>
        <v>4640.124917236295</v>
      </c>
      <c r="Y26" s="31">
        <f t="shared" si="7"/>
        <v>2879.6383230122533</v>
      </c>
    </row>
    <row r="27" spans="1:25" x14ac:dyDescent="0.3">
      <c r="A27" s="11">
        <v>2047</v>
      </c>
      <c r="B27" s="33">
        <v>939.986215553904</v>
      </c>
      <c r="C27" s="32">
        <f>'5. Light fleet split'!E27</f>
        <v>12918.019953791199</v>
      </c>
      <c r="D27" s="15">
        <f t="shared" si="0"/>
        <v>7.2765502678917553</v>
      </c>
      <c r="E27" s="33">
        <v>1522.5137119982701</v>
      </c>
      <c r="F27" s="35">
        <f t="shared" si="1"/>
        <v>1.6197191903512129</v>
      </c>
      <c r="G27" s="32">
        <f>'5. Light fleet split'!R27</f>
        <v>11905.709463285995</v>
      </c>
      <c r="H27" s="31">
        <f t="shared" si="2"/>
        <v>866.32493384515112</v>
      </c>
      <c r="I27" s="31">
        <f t="shared" si="3"/>
        <v>1403.2031204287364</v>
      </c>
      <c r="J27" s="33">
        <v>1122.9166657242199</v>
      </c>
      <c r="K27" s="36">
        <f>J27/'5. Light fleet split'!F27</f>
        <v>0.15502500000000005</v>
      </c>
      <c r="L27" s="32">
        <f>'5. Light fleet split'!S27</f>
        <v>6575.2320609768758</v>
      </c>
      <c r="M27" s="31">
        <f t="shared" si="4"/>
        <v>1019.3253502529406</v>
      </c>
      <c r="N27" s="33">
        <v>5354.1098121593704</v>
      </c>
      <c r="O27" s="36">
        <f>N27/'5. Light fleet split'!G27</f>
        <v>0.1550249999999998</v>
      </c>
      <c r="P27" s="32">
        <f>'5. Light fleet split'!P27</f>
        <v>31658.280224088947</v>
      </c>
      <c r="Q27" s="31">
        <f t="shared" si="5"/>
        <v>4907.824891739383</v>
      </c>
      <c r="R27" s="33">
        <v>247.94476338595501</v>
      </c>
      <c r="S27" s="36">
        <f>R27/'5. Light fleet split'!H27</f>
        <v>7.6449999999999907E-2</v>
      </c>
      <c r="T27" s="32">
        <f>'5. Light fleet split'!Q27</f>
        <v>2972.892705105834</v>
      </c>
      <c r="U27" s="31">
        <f t="shared" si="6"/>
        <v>227.27764730534074</v>
      </c>
      <c r="V27" s="33">
        <v>2476.3115484485902</v>
      </c>
      <c r="W27" s="33">
        <v>3891.7053118372301</v>
      </c>
      <c r="X27" s="32">
        <f>SUM('4. Engine forecasts'!K90:K93)</f>
        <v>4668.1533753969907</v>
      </c>
      <c r="Y27" s="31">
        <f t="shared" si="7"/>
        <v>2970.369333531984</v>
      </c>
    </row>
    <row r="28" spans="1:25" x14ac:dyDescent="0.3">
      <c r="A28" s="11">
        <v>2048</v>
      </c>
      <c r="B28" s="33">
        <v>841.589280474823</v>
      </c>
      <c r="C28" s="32">
        <f>'5. Light fleet split'!E28</f>
        <v>11705.987140547</v>
      </c>
      <c r="D28" s="15">
        <f t="shared" si="0"/>
        <v>7.1893918075455616</v>
      </c>
      <c r="E28" s="33">
        <v>1396.8153856835199</v>
      </c>
      <c r="F28" s="35">
        <f t="shared" si="1"/>
        <v>1.6597352391364104</v>
      </c>
      <c r="G28" s="32">
        <f>'5. Light fleet split'!R28</f>
        <v>10663.056750274496</v>
      </c>
      <c r="H28" s="31">
        <f t="shared" si="2"/>
        <v>766.60892843816862</v>
      </c>
      <c r="I28" s="31">
        <f t="shared" si="3"/>
        <v>1272.3678531654311</v>
      </c>
      <c r="J28" s="33">
        <v>1082.7465476795201</v>
      </c>
      <c r="K28" s="36">
        <f>J28/'5. Light fleet split'!F28</f>
        <v>0.15885499999999991</v>
      </c>
      <c r="L28" s="32">
        <f>'5. Light fleet split'!S28</f>
        <v>6245.5867771588382</v>
      </c>
      <c r="M28" s="31">
        <f t="shared" si="4"/>
        <v>992.14268748556674</v>
      </c>
      <c r="N28" s="33">
        <v>5873.6808220480298</v>
      </c>
      <c r="O28" s="36">
        <f>N28/'5. Light fleet split'!G28</f>
        <v>0.15885500000000016</v>
      </c>
      <c r="P28" s="32">
        <f>'5. Light fleet split'!P28</f>
        <v>33754.524319825265</v>
      </c>
      <c r="Q28" s="31">
        <f t="shared" si="5"/>
        <v>5362.0749608258475</v>
      </c>
      <c r="R28" s="33">
        <v>245.69954122575899</v>
      </c>
      <c r="S28" s="36">
        <f>R28/'5. Light fleet split'!H28</f>
        <v>7.8335000000000071E-2</v>
      </c>
      <c r="T28" s="32">
        <f>'5. Light fleet split'!Q28</f>
        <v>2863.3275751129277</v>
      </c>
      <c r="U28" s="31">
        <f t="shared" si="6"/>
        <v>224.29876559647138</v>
      </c>
      <c r="V28" s="33">
        <v>2495.5950940248799</v>
      </c>
      <c r="W28" s="33">
        <v>3827.5117812088301</v>
      </c>
      <c r="X28" s="32">
        <f>SUM('4. Engine forecasts'!K94:K97)</f>
        <v>4696.6655738106219</v>
      </c>
      <c r="Y28" s="31">
        <f t="shared" si="7"/>
        <v>3062.2964041081382</v>
      </c>
    </row>
    <row r="29" spans="1:25" x14ac:dyDescent="0.3">
      <c r="A29" s="11">
        <v>2049</v>
      </c>
      <c r="B29" s="33">
        <v>753.04526715335601</v>
      </c>
      <c r="C29" s="32">
        <f>'5. Light fleet split'!E29</f>
        <v>10602.9228996206</v>
      </c>
      <c r="D29" s="15">
        <f t="shared" si="0"/>
        <v>7.1022422239843124</v>
      </c>
      <c r="E29" s="33">
        <v>1279.97935442894</v>
      </c>
      <c r="F29" s="35">
        <f t="shared" si="1"/>
        <v>1.6997375991319723</v>
      </c>
      <c r="G29" s="32">
        <f>'5. Light fleet split'!R29</f>
        <v>9511.2557821263617</v>
      </c>
      <c r="H29" s="31">
        <f t="shared" si="2"/>
        <v>675.51242418932782</v>
      </c>
      <c r="I29" s="31">
        <f t="shared" si="3"/>
        <v>1148.1938660753865</v>
      </c>
      <c r="J29" s="33">
        <v>1041.3980626258699</v>
      </c>
      <c r="K29" s="36">
        <f>J29/'5. Light fleet split'!F29</f>
        <v>0.16268499999999955</v>
      </c>
      <c r="L29" s="32">
        <f>'5. Light fleet split'!S29</f>
        <v>5971.5111403608607</v>
      </c>
      <c r="M29" s="31">
        <f t="shared" si="4"/>
        <v>971.4752898696039</v>
      </c>
      <c r="N29" s="33">
        <v>6380.7484904386702</v>
      </c>
      <c r="O29" s="36">
        <f>N29/'5. Light fleet split'!G29</f>
        <v>0.16268499999999994</v>
      </c>
      <c r="P29" s="32">
        <f>'5. Light fleet split'!P29</f>
        <v>35712.108931914518</v>
      </c>
      <c r="Q29" s="31">
        <f t="shared" si="5"/>
        <v>5809.824441588511</v>
      </c>
      <c r="R29" s="33">
        <v>242.83009647435799</v>
      </c>
      <c r="S29" s="36">
        <f>R29/'5. Light fleet split'!H29</f>
        <v>8.0224999999999949E-2</v>
      </c>
      <c r="T29" s="32">
        <f>'5. Light fleet split'!Q29</f>
        <v>2756.0314523915226</v>
      </c>
      <c r="U29" s="31">
        <f t="shared" si="6"/>
        <v>221.10262326810977</v>
      </c>
      <c r="V29" s="33">
        <v>2510.7118566817899</v>
      </c>
      <c r="W29" s="33">
        <v>3760.09862845001</v>
      </c>
      <c r="X29" s="32">
        <f>SUM('4. Engine forecasts'!K98:K101)</f>
        <v>4725.6708941768802</v>
      </c>
      <c r="Y29" s="31">
        <f t="shared" si="7"/>
        <v>3155.4485978142657</v>
      </c>
    </row>
    <row r="30" spans="1:25" x14ac:dyDescent="0.3">
      <c r="A30" s="11">
        <v>2050</v>
      </c>
      <c r="B30" s="33">
        <v>673.36812670659401</v>
      </c>
      <c r="C30" s="32">
        <f>'5. Light fleet split'!E30</f>
        <v>9598.8588956376498</v>
      </c>
      <c r="D30" s="15">
        <f t="shared" si="0"/>
        <v>7.015085168223659</v>
      </c>
      <c r="E30" s="33">
        <v>1171.50816887837</v>
      </c>
      <c r="F30" s="35">
        <f t="shared" si="1"/>
        <v>1.7397737172505494</v>
      </c>
      <c r="G30" s="32">
        <f>'5. Light fleet split'!R30</f>
        <v>8456.082077237661</v>
      </c>
      <c r="H30" s="31">
        <f t="shared" si="2"/>
        <v>593.20135961311826</v>
      </c>
      <c r="I30" s="31">
        <f t="shared" si="3"/>
        <v>1032.0361344921946</v>
      </c>
      <c r="J30" s="33">
        <v>999.26045928469898</v>
      </c>
      <c r="K30" s="36">
        <f>J30/'5. Light fleet split'!F30</f>
        <v>0.16651000000000013</v>
      </c>
      <c r="L30" s="32">
        <f>'5. Light fleet split'!S30</f>
        <v>5760.3024403158706</v>
      </c>
      <c r="M30" s="31">
        <f t="shared" si="4"/>
        <v>959.14795933699634</v>
      </c>
      <c r="N30" s="33">
        <v>6855.0170043780799</v>
      </c>
      <c r="O30" s="36">
        <f>N30/'5. Light fleet split'!G30</f>
        <v>0.16650999999999988</v>
      </c>
      <c r="P30" s="32">
        <f>'5. Light fleet split'!P30</f>
        <v>37517.252911331008</v>
      </c>
      <c r="Q30" s="31">
        <f t="shared" si="5"/>
        <v>6246.997782265722</v>
      </c>
      <c r="R30" s="33">
        <v>238.9436521442</v>
      </c>
      <c r="S30" s="36">
        <f>R30/'5. Light fleet split'!H30</f>
        <v>8.2109999999999947E-2</v>
      </c>
      <c r="T30" s="32">
        <f>'5. Light fleet split'!Q30</f>
        <v>2651.9312475662505</v>
      </c>
      <c r="U30" s="31">
        <f t="shared" si="6"/>
        <v>217.75007473766468</v>
      </c>
      <c r="V30" s="33">
        <v>2523.1049950359602</v>
      </c>
      <c r="W30" s="33">
        <v>3691.7995054920498</v>
      </c>
      <c r="X30" s="32">
        <f>SUM('4. Engine forecasts'!K102:K105)</f>
        <v>4755.1789545915071</v>
      </c>
      <c r="Y30" s="31">
        <f t="shared" si="7"/>
        <v>3249.8557288312481</v>
      </c>
    </row>
    <row r="32" spans="1:25" x14ac:dyDescent="0.3">
      <c r="A32" s="2" t="s">
        <v>326</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32"/>
  <sheetViews>
    <sheetView showGridLines="0" workbookViewId="0">
      <pane xSplit="1" ySplit="5" topLeftCell="B6" activePane="bottomRight" state="frozen"/>
      <selection pane="topRight"/>
      <selection pane="bottomLeft"/>
      <selection pane="bottomRight" activeCell="B23" sqref="B23"/>
    </sheetView>
  </sheetViews>
  <sheetFormatPr defaultRowHeight="14.4" x14ac:dyDescent="0.3"/>
  <cols>
    <col min="1" max="1" width="9" customWidth="1"/>
    <col min="2" max="24" width="14" customWidth="1"/>
  </cols>
  <sheetData>
    <row r="1" spans="1:24" ht="17.399999999999999" x14ac:dyDescent="0.3">
      <c r="A1" s="1" t="s">
        <v>327</v>
      </c>
    </row>
    <row r="2" spans="1:24" x14ac:dyDescent="0.3">
      <c r="A2" s="2" t="s">
        <v>328</v>
      </c>
    </row>
    <row r="4" spans="1:24" x14ac:dyDescent="0.3">
      <c r="A4" s="3" t="s">
        <v>329</v>
      </c>
      <c r="B4" s="4"/>
      <c r="C4" s="4"/>
      <c r="D4" s="4"/>
      <c r="E4" s="4"/>
      <c r="F4" s="4"/>
      <c r="G4" s="4"/>
      <c r="H4" s="4"/>
      <c r="I4" s="4"/>
      <c r="J4" s="4"/>
      <c r="K4" s="4"/>
      <c r="L4" s="4"/>
      <c r="M4" s="4"/>
      <c r="N4" s="4"/>
      <c r="O4" s="4"/>
      <c r="P4" s="4"/>
      <c r="Q4" s="4"/>
      <c r="R4" s="4"/>
      <c r="S4" s="4"/>
      <c r="T4" s="4"/>
      <c r="U4" s="4"/>
      <c r="V4" s="4"/>
      <c r="W4" s="4"/>
      <c r="X4" s="4"/>
    </row>
    <row r="5" spans="1:24" ht="48" x14ac:dyDescent="0.3">
      <c r="A5" s="10" t="s">
        <v>34</v>
      </c>
      <c r="B5" s="10" t="s">
        <v>330</v>
      </c>
      <c r="C5" s="10" t="s">
        <v>331</v>
      </c>
      <c r="D5" s="10" t="s">
        <v>332</v>
      </c>
      <c r="E5" s="10" t="s">
        <v>333</v>
      </c>
      <c r="F5" s="10" t="s">
        <v>334</v>
      </c>
      <c r="G5" s="10" t="s">
        <v>335</v>
      </c>
      <c r="H5" s="10" t="s">
        <v>336</v>
      </c>
      <c r="I5" s="10" t="s">
        <v>337</v>
      </c>
      <c r="J5" s="10" t="s">
        <v>338</v>
      </c>
      <c r="K5" s="10" t="s">
        <v>339</v>
      </c>
      <c r="L5" s="10" t="s">
        <v>340</v>
      </c>
      <c r="M5" s="10" t="s">
        <v>341</v>
      </c>
      <c r="N5" s="10" t="s">
        <v>342</v>
      </c>
      <c r="O5" s="10" t="s">
        <v>343</v>
      </c>
      <c r="P5" s="10" t="s">
        <v>344</v>
      </c>
      <c r="Q5" s="10" t="s">
        <v>345</v>
      </c>
      <c r="R5" s="10" t="s">
        <v>346</v>
      </c>
      <c r="S5" s="10" t="s">
        <v>347</v>
      </c>
      <c r="T5" s="10" t="s">
        <v>348</v>
      </c>
      <c r="U5" s="10" t="s">
        <v>349</v>
      </c>
      <c r="V5" s="10" t="s">
        <v>350</v>
      </c>
      <c r="W5" s="10" t="s">
        <v>351</v>
      </c>
      <c r="X5" s="10" t="s">
        <v>352</v>
      </c>
    </row>
    <row r="6" spans="1:24" x14ac:dyDescent="0.3">
      <c r="A6" s="11">
        <v>2026</v>
      </c>
      <c r="B6" s="32">
        <f>'6. Rates &amp; revenue'!I6</f>
        <v>2056.0476403426101</v>
      </c>
      <c r="C6" s="33">
        <v>42.045162640190597</v>
      </c>
      <c r="D6" s="33">
        <v>0</v>
      </c>
      <c r="E6" s="31">
        <f t="shared" ref="E6:E30" si="0">B6+C6+D6</f>
        <v>2098.0928029828005</v>
      </c>
      <c r="F6" s="33">
        <v>73.2675246956005</v>
      </c>
      <c r="G6" s="31">
        <f t="shared" ref="G6:G30" si="1">E6-F6</f>
        <v>2024.8252782872</v>
      </c>
      <c r="H6" s="32">
        <f>'6. Rates &amp; revenue'!M6</f>
        <v>836.92411285528988</v>
      </c>
      <c r="I6" s="32">
        <f>'6. Rates &amp; revenue'!Q6</f>
        <v>80.283708529950829</v>
      </c>
      <c r="J6" s="32">
        <f>'6. Rates &amp; revenue'!U6</f>
        <v>21.52367459486641</v>
      </c>
      <c r="K6" s="32">
        <f>'6. Rates &amp; revenue'!Y6</f>
        <v>1129.322762595925</v>
      </c>
      <c r="L6" s="33">
        <v>0</v>
      </c>
      <c r="M6" s="33">
        <v>67.885034003113205</v>
      </c>
      <c r="N6" s="31">
        <f t="shared" ref="N6:N30" si="2">SUM(H6:M6)</f>
        <v>2135.9392925791453</v>
      </c>
      <c r="O6" s="33">
        <v>34.57087120608</v>
      </c>
      <c r="P6" s="31">
        <f t="shared" ref="P6:P30" si="3">N6-O6-M6</f>
        <v>2033.4833873699522</v>
      </c>
      <c r="Q6" s="33">
        <v>499.55653063562841</v>
      </c>
      <c r="R6" s="33">
        <v>72.710567419272493</v>
      </c>
      <c r="S6" s="33">
        <v>1.7167696877640199</v>
      </c>
      <c r="T6" s="31">
        <f t="shared" ref="T6:T30" si="4">Q6-R6-S6</f>
        <v>425.12919352859188</v>
      </c>
      <c r="U6" s="33">
        <v>0</v>
      </c>
      <c r="V6" s="33">
        <v>17.4060774864124</v>
      </c>
      <c r="W6" s="31">
        <f t="shared" ref="W6:W30" si="5">G6+P6+T6+V6</f>
        <v>4500.8439366721559</v>
      </c>
      <c r="X6" s="34">
        <f t="shared" ref="X6:X30" si="6">(E6+N6+Q6+U6+V6)-(O6+R6+U6)-(F6+M6+S6)-W6</f>
        <v>0</v>
      </c>
    </row>
    <row r="7" spans="1:24" x14ac:dyDescent="0.3">
      <c r="A7" s="11">
        <v>2027</v>
      </c>
      <c r="B7" s="32">
        <f>'6. Rates &amp; revenue'!I7</f>
        <v>2102.3263766272412</v>
      </c>
      <c r="C7" s="33">
        <v>42.632689820341199</v>
      </c>
      <c r="D7" s="33">
        <v>0</v>
      </c>
      <c r="E7" s="31">
        <f t="shared" si="0"/>
        <v>2144.9590664475822</v>
      </c>
      <c r="F7" s="33">
        <v>82.104961903956493</v>
      </c>
      <c r="G7" s="31">
        <f t="shared" si="1"/>
        <v>2062.8541045436259</v>
      </c>
      <c r="H7" s="32">
        <f>'6. Rates &amp; revenue'!M7</f>
        <v>865.90011108536203</v>
      </c>
      <c r="I7" s="32">
        <f>'6. Rates &amp; revenue'!Q7</f>
        <v>108.26048908651369</v>
      </c>
      <c r="J7" s="32">
        <f>'6. Rates &amp; revenue'!U7</f>
        <v>29.945219132171093</v>
      </c>
      <c r="K7" s="32">
        <f>'6. Rates &amp; revenue'!Y7</f>
        <v>1231.4061163927749</v>
      </c>
      <c r="L7" s="33">
        <v>0</v>
      </c>
      <c r="M7" s="33">
        <v>79.515851257727803</v>
      </c>
      <c r="N7" s="31">
        <f t="shared" si="2"/>
        <v>2315.0277869545494</v>
      </c>
      <c r="O7" s="33">
        <v>35.737875766899599</v>
      </c>
      <c r="P7" s="31">
        <f t="shared" si="3"/>
        <v>2199.7740599299223</v>
      </c>
      <c r="Q7" s="33">
        <v>570.34399555003688</v>
      </c>
      <c r="R7" s="33">
        <v>72.258476741195906</v>
      </c>
      <c r="S7" s="33">
        <v>1.9357666583914599</v>
      </c>
      <c r="T7" s="31">
        <f t="shared" si="4"/>
        <v>496.1497521504495</v>
      </c>
      <c r="U7" s="33">
        <v>0</v>
      </c>
      <c r="V7" s="33">
        <v>17.557899692824801</v>
      </c>
      <c r="W7" s="31">
        <f t="shared" si="5"/>
        <v>4776.3358163168232</v>
      </c>
      <c r="X7" s="34">
        <f t="shared" si="6"/>
        <v>0</v>
      </c>
    </row>
    <row r="8" spans="1:24" x14ac:dyDescent="0.3">
      <c r="A8" s="11">
        <v>2028</v>
      </c>
      <c r="B8" s="32">
        <f>'6. Rates &amp; revenue'!I8</f>
        <v>2299.2035513270657</v>
      </c>
      <c r="C8" s="33">
        <v>42.853376862187297</v>
      </c>
      <c r="D8" s="33">
        <v>0</v>
      </c>
      <c r="E8" s="31">
        <f t="shared" si="0"/>
        <v>2342.0569281892531</v>
      </c>
      <c r="F8" s="33">
        <v>92.111715001453504</v>
      </c>
      <c r="G8" s="31">
        <f t="shared" si="1"/>
        <v>2249.9452131877997</v>
      </c>
      <c r="H8" s="32">
        <f>'6. Rates &amp; revenue'!M8</f>
        <v>1001.8614095490531</v>
      </c>
      <c r="I8" s="32">
        <f>'6. Rates &amp; revenue'!Q8</f>
        <v>150.62128535224838</v>
      </c>
      <c r="J8" s="32">
        <f>'6. Rates &amp; revenue'!U8</f>
        <v>41.596661384532503</v>
      </c>
      <c r="K8" s="32">
        <f>'6. Rates &amp; revenue'!Y8</f>
        <v>1380.1167259757665</v>
      </c>
      <c r="L8" s="33">
        <v>20.203036313505901</v>
      </c>
      <c r="M8" s="33">
        <v>92.546741723969106</v>
      </c>
      <c r="N8" s="31">
        <f t="shared" si="2"/>
        <v>2686.9458602990753</v>
      </c>
      <c r="O8" s="33">
        <v>37.789816848121802</v>
      </c>
      <c r="P8" s="31">
        <f t="shared" si="3"/>
        <v>2556.6093017269841</v>
      </c>
      <c r="Q8" s="33">
        <v>564.07590781801809</v>
      </c>
      <c r="R8" s="33">
        <v>71.886173511859297</v>
      </c>
      <c r="S8" s="33">
        <v>1.93922402957318</v>
      </c>
      <c r="T8" s="31">
        <f t="shared" si="4"/>
        <v>490.25051027658566</v>
      </c>
      <c r="U8" s="33">
        <v>0</v>
      </c>
      <c r="V8" s="33">
        <v>17.557899692824801</v>
      </c>
      <c r="W8" s="31">
        <f t="shared" si="5"/>
        <v>5314.3629248841944</v>
      </c>
      <c r="X8" s="34">
        <f t="shared" si="6"/>
        <v>0</v>
      </c>
    </row>
    <row r="9" spans="1:24" x14ac:dyDescent="0.3">
      <c r="A9" s="11">
        <v>2029</v>
      </c>
      <c r="B9" s="32">
        <f>'6. Rates &amp; revenue'!I9</f>
        <v>2390.0384921911113</v>
      </c>
      <c r="C9" s="33">
        <v>43.056546656110697</v>
      </c>
      <c r="D9" s="33">
        <v>0</v>
      </c>
      <c r="E9" s="31">
        <f t="shared" si="0"/>
        <v>2433.095038847222</v>
      </c>
      <c r="F9" s="33">
        <v>97.830516794701794</v>
      </c>
      <c r="G9" s="31">
        <f t="shared" si="1"/>
        <v>2335.2645220525201</v>
      </c>
      <c r="H9" s="32">
        <f>'6. Rates &amp; revenue'!M9</f>
        <v>1077.2200905594775</v>
      </c>
      <c r="I9" s="32">
        <f>'6. Rates &amp; revenue'!Q9</f>
        <v>196.97105779979788</v>
      </c>
      <c r="J9" s="32">
        <f>'6. Rates &amp; revenue'!U9</f>
        <v>54.120676306263974</v>
      </c>
      <c r="K9" s="32">
        <f>'6. Rates &amp; revenue'!Y9</f>
        <v>1474.7557193376203</v>
      </c>
      <c r="L9" s="33">
        <v>26.083900232665702</v>
      </c>
      <c r="M9" s="33">
        <v>102.088910316411</v>
      </c>
      <c r="N9" s="31">
        <f t="shared" si="2"/>
        <v>2931.2403545522361</v>
      </c>
      <c r="O9" s="33">
        <v>40.091877371520603</v>
      </c>
      <c r="P9" s="31">
        <f t="shared" si="3"/>
        <v>2789.0595668643045</v>
      </c>
      <c r="Q9" s="33">
        <v>558.30784286593814</v>
      </c>
      <c r="R9" s="33">
        <v>71.520570563023895</v>
      </c>
      <c r="S9" s="33">
        <v>1.9441623092184801</v>
      </c>
      <c r="T9" s="31">
        <f t="shared" si="4"/>
        <v>484.84310999369575</v>
      </c>
      <c r="U9" s="33">
        <v>0</v>
      </c>
      <c r="V9" s="33">
        <v>17.557899692824801</v>
      </c>
      <c r="W9" s="31">
        <f t="shared" si="5"/>
        <v>5626.7250986033459</v>
      </c>
      <c r="X9" s="34">
        <f t="shared" si="6"/>
        <v>0</v>
      </c>
    </row>
    <row r="10" spans="1:24" x14ac:dyDescent="0.3">
      <c r="A10" s="11">
        <v>2030</v>
      </c>
      <c r="B10" s="32">
        <f>'6. Rates &amp; revenue'!I10</f>
        <v>2450.9337931008154</v>
      </c>
      <c r="C10" s="33">
        <v>43.244777847093602</v>
      </c>
      <c r="D10" s="33">
        <v>0</v>
      </c>
      <c r="E10" s="31">
        <f t="shared" si="0"/>
        <v>2494.1785709479091</v>
      </c>
      <c r="F10" s="33">
        <v>102.41299239051401</v>
      </c>
      <c r="G10" s="31">
        <f t="shared" si="1"/>
        <v>2391.7655785573952</v>
      </c>
      <c r="H10" s="32">
        <f>'6. Rates &amp; revenue'!M10</f>
        <v>1123.8239340710265</v>
      </c>
      <c r="I10" s="32">
        <f>'6. Rates &amp; revenue'!Q10</f>
        <v>247.25834994375626</v>
      </c>
      <c r="J10" s="32">
        <f>'6. Rates &amp; revenue'!U10</f>
        <v>66.988971091223547</v>
      </c>
      <c r="K10" s="32">
        <f>'6. Rates &amp; revenue'!Y10</f>
        <v>1552.6890410773979</v>
      </c>
      <c r="L10" s="33">
        <v>32.847768605662701</v>
      </c>
      <c r="M10" s="33">
        <v>110.930625671315</v>
      </c>
      <c r="N10" s="31">
        <f t="shared" si="2"/>
        <v>3134.5386904603815</v>
      </c>
      <c r="O10" s="33">
        <v>42.474008988511301</v>
      </c>
      <c r="P10" s="31">
        <f t="shared" si="3"/>
        <v>2981.1340558005554</v>
      </c>
      <c r="Q10" s="33">
        <v>553.00317676759062</v>
      </c>
      <c r="R10" s="33">
        <v>71.168945206726207</v>
      </c>
      <c r="S10" s="33">
        <v>1.9505132720049201</v>
      </c>
      <c r="T10" s="31">
        <f t="shared" si="4"/>
        <v>479.88371828885948</v>
      </c>
      <c r="U10" s="33">
        <v>0</v>
      </c>
      <c r="V10" s="33">
        <v>17.557899692824801</v>
      </c>
      <c r="W10" s="31">
        <f t="shared" si="5"/>
        <v>5870.3412523396355</v>
      </c>
      <c r="X10" s="34">
        <f t="shared" si="6"/>
        <v>0</v>
      </c>
    </row>
    <row r="11" spans="1:24" x14ac:dyDescent="0.3">
      <c r="A11" s="11">
        <v>2031</v>
      </c>
      <c r="B11" s="32">
        <f>'6. Rates &amp; revenue'!I11</f>
        <v>2500.8287401414341</v>
      </c>
      <c r="C11" s="33">
        <v>43.420118325279901</v>
      </c>
      <c r="D11" s="33">
        <v>0</v>
      </c>
      <c r="E11" s="31">
        <f t="shared" si="0"/>
        <v>2544.248858466714</v>
      </c>
      <c r="F11" s="33">
        <v>105.362124293893</v>
      </c>
      <c r="G11" s="31">
        <f t="shared" si="1"/>
        <v>2438.886734172821</v>
      </c>
      <c r="H11" s="32">
        <f>'6. Rates &amp; revenue'!M11</f>
        <v>1171.1795027042183</v>
      </c>
      <c r="I11" s="32">
        <f>'6. Rates &amp; revenue'!Q11</f>
        <v>310.38180058655513</v>
      </c>
      <c r="J11" s="32">
        <f>'6. Rates &amp; revenue'!U11</f>
        <v>82.026046475467268</v>
      </c>
      <c r="K11" s="32">
        <f>'6. Rates &amp; revenue'!Y11</f>
        <v>1633.4365044916576</v>
      </c>
      <c r="L11" s="33">
        <v>41.011746786900602</v>
      </c>
      <c r="M11" s="33">
        <v>117.89131972869799</v>
      </c>
      <c r="N11" s="31">
        <f t="shared" si="2"/>
        <v>3355.9269207734965</v>
      </c>
      <c r="O11" s="33">
        <v>41.725687568003003</v>
      </c>
      <c r="P11" s="31">
        <f t="shared" si="3"/>
        <v>3196.3099134767954</v>
      </c>
      <c r="Q11" s="33">
        <v>548.12366535393028</v>
      </c>
      <c r="R11" s="33">
        <v>70.835129451156206</v>
      </c>
      <c r="S11" s="33">
        <v>1.9581977204029599</v>
      </c>
      <c r="T11" s="31">
        <f t="shared" si="4"/>
        <v>475.33033818237112</v>
      </c>
      <c r="U11" s="33">
        <v>0</v>
      </c>
      <c r="V11" s="33">
        <v>17.557899692824801</v>
      </c>
      <c r="W11" s="31">
        <f t="shared" si="5"/>
        <v>6128.0848855248123</v>
      </c>
      <c r="X11" s="34">
        <f t="shared" si="6"/>
        <v>0</v>
      </c>
    </row>
    <row r="12" spans="1:24" x14ac:dyDescent="0.3">
      <c r="A12" s="11">
        <v>2032</v>
      </c>
      <c r="B12" s="32">
        <f>'6. Rates &amp; revenue'!I12</f>
        <v>2535.1543658532887</v>
      </c>
      <c r="C12" s="33">
        <v>43.584221622854699</v>
      </c>
      <c r="D12" s="33">
        <v>0</v>
      </c>
      <c r="E12" s="31">
        <f t="shared" si="0"/>
        <v>2578.7385874761435</v>
      </c>
      <c r="F12" s="33">
        <v>107.812549264829</v>
      </c>
      <c r="G12" s="31">
        <f t="shared" si="1"/>
        <v>2470.9260382113143</v>
      </c>
      <c r="H12" s="32">
        <f>'6. Rates &amp; revenue'!M12</f>
        <v>1214.7001895401424</v>
      </c>
      <c r="I12" s="32">
        <f>'6. Rates &amp; revenue'!Q12</f>
        <v>383.86092990893411</v>
      </c>
      <c r="J12" s="32">
        <f>'6. Rates &amp; revenue'!U12</f>
        <v>98.751589147358601</v>
      </c>
      <c r="K12" s="32">
        <f>'6. Rates &amp; revenue'!Y12</f>
        <v>1712.6277213759618</v>
      </c>
      <c r="L12" s="33">
        <v>51.147367996481897</v>
      </c>
      <c r="M12" s="33">
        <v>124.681962600044</v>
      </c>
      <c r="N12" s="31">
        <f t="shared" si="2"/>
        <v>3585.7697605689227</v>
      </c>
      <c r="O12" s="33">
        <v>43.081960239626603</v>
      </c>
      <c r="P12" s="31">
        <f t="shared" si="3"/>
        <v>3418.0058377292521</v>
      </c>
      <c r="Q12" s="33">
        <v>543.63186086975793</v>
      </c>
      <c r="R12" s="33">
        <v>70.520733880881295</v>
      </c>
      <c r="S12" s="33">
        <v>1.9671336887659701</v>
      </c>
      <c r="T12" s="31">
        <f t="shared" si="4"/>
        <v>471.14399330011071</v>
      </c>
      <c r="U12" s="33">
        <v>0</v>
      </c>
      <c r="V12" s="33">
        <v>17.557899692824801</v>
      </c>
      <c r="W12" s="31">
        <f t="shared" si="5"/>
        <v>6377.6337689335032</v>
      </c>
      <c r="X12" s="34">
        <f t="shared" si="6"/>
        <v>0</v>
      </c>
    </row>
    <row r="13" spans="1:24" x14ac:dyDescent="0.3">
      <c r="A13" s="11">
        <v>2033</v>
      </c>
      <c r="B13" s="32">
        <f>'6. Rates &amp; revenue'!I13</f>
        <v>2558.1630631120165</v>
      </c>
      <c r="C13" s="33">
        <v>43.738442116653502</v>
      </c>
      <c r="D13" s="33">
        <v>0</v>
      </c>
      <c r="E13" s="31">
        <f t="shared" si="0"/>
        <v>2601.90150522867</v>
      </c>
      <c r="F13" s="33">
        <v>109.549632988318</v>
      </c>
      <c r="G13" s="31">
        <f t="shared" si="1"/>
        <v>2492.3518722403519</v>
      </c>
      <c r="H13" s="32">
        <f>'6. Rates &amp; revenue'!M13</f>
        <v>1253.1880705498802</v>
      </c>
      <c r="I13" s="32">
        <f>'6. Rates &amp; revenue'!Q13</f>
        <v>472.05285490842078</v>
      </c>
      <c r="J13" s="32">
        <f>'6. Rates &amp; revenue'!U13</f>
        <v>116.91104242226538</v>
      </c>
      <c r="K13" s="32">
        <f>'6. Rates &amp; revenue'!Y13</f>
        <v>1791.0516357601923</v>
      </c>
      <c r="L13" s="33">
        <v>63.283980995126697</v>
      </c>
      <c r="M13" s="33">
        <v>131.77339978926301</v>
      </c>
      <c r="N13" s="31">
        <f t="shared" si="2"/>
        <v>3828.2609844251483</v>
      </c>
      <c r="O13" s="33">
        <v>44.518874482664302</v>
      </c>
      <c r="P13" s="31">
        <f t="shared" si="3"/>
        <v>3651.9687101532213</v>
      </c>
      <c r="Q13" s="33">
        <v>539.49234036623875</v>
      </c>
      <c r="R13" s="33">
        <v>70.226068078118004</v>
      </c>
      <c r="S13" s="33">
        <v>1.9772409500257</v>
      </c>
      <c r="T13" s="31">
        <f t="shared" si="4"/>
        <v>467.28903133809501</v>
      </c>
      <c r="U13" s="33">
        <v>0</v>
      </c>
      <c r="V13" s="33">
        <v>17.557899692824801</v>
      </c>
      <c r="W13" s="31">
        <f t="shared" si="5"/>
        <v>6629.1675134244933</v>
      </c>
      <c r="X13" s="34">
        <f t="shared" si="6"/>
        <v>0</v>
      </c>
    </row>
    <row r="14" spans="1:24" x14ac:dyDescent="0.3">
      <c r="A14" s="11">
        <v>2034</v>
      </c>
      <c r="B14" s="32">
        <f>'6. Rates &amp; revenue'!I14</f>
        <v>2569.0504381852161</v>
      </c>
      <c r="C14" s="33">
        <v>43.883903123062701</v>
      </c>
      <c r="D14" s="33">
        <v>0</v>
      </c>
      <c r="E14" s="31">
        <f t="shared" si="0"/>
        <v>2612.9343413082788</v>
      </c>
      <c r="F14" s="33">
        <v>110.804945861663</v>
      </c>
      <c r="G14" s="31">
        <f t="shared" si="1"/>
        <v>2502.1293954466159</v>
      </c>
      <c r="H14" s="32">
        <f>'6. Rates &amp; revenue'!M14</f>
        <v>1284.5753542875782</v>
      </c>
      <c r="I14" s="32">
        <f>'6. Rates &amp; revenue'!Q14</f>
        <v>581.65765199873238</v>
      </c>
      <c r="J14" s="32">
        <f>'6. Rates &amp; revenue'!U14</f>
        <v>135.92610303359231</v>
      </c>
      <c r="K14" s="32">
        <f>'6. Rates &amp; revenue'!Y14</f>
        <v>1871.1222859296267</v>
      </c>
      <c r="L14" s="33">
        <v>76.928519168725899</v>
      </c>
      <c r="M14" s="33">
        <v>139.31809295532801</v>
      </c>
      <c r="N14" s="31">
        <f t="shared" si="2"/>
        <v>4089.5280073735839</v>
      </c>
      <c r="O14" s="33">
        <v>46.151856510433802</v>
      </c>
      <c r="P14" s="31">
        <f t="shared" si="3"/>
        <v>3904.0580579078219</v>
      </c>
      <c r="Q14" s="33">
        <v>535.67225658977156</v>
      </c>
      <c r="R14" s="33">
        <v>69.950695171675804</v>
      </c>
      <c r="S14" s="33">
        <v>1.9884433568100599</v>
      </c>
      <c r="T14" s="31">
        <f t="shared" si="4"/>
        <v>463.73311806128567</v>
      </c>
      <c r="U14" s="33">
        <v>0</v>
      </c>
      <c r="V14" s="33">
        <v>17.557899692824801</v>
      </c>
      <c r="W14" s="31">
        <f t="shared" si="5"/>
        <v>6887.4784711085485</v>
      </c>
      <c r="X14" s="34">
        <f t="shared" si="6"/>
        <v>0</v>
      </c>
    </row>
    <row r="15" spans="1:24" x14ac:dyDescent="0.3">
      <c r="A15" s="11">
        <v>2035</v>
      </c>
      <c r="B15" s="32">
        <f>'6. Rates &amp; revenue'!I15</f>
        <v>2566.7069046556485</v>
      </c>
      <c r="C15" s="33">
        <v>44.0215466525324</v>
      </c>
      <c r="D15" s="33">
        <v>0</v>
      </c>
      <c r="E15" s="31">
        <f t="shared" si="0"/>
        <v>2610.7284513081809</v>
      </c>
      <c r="F15" s="33">
        <v>111.375622629096</v>
      </c>
      <c r="G15" s="31">
        <f t="shared" si="1"/>
        <v>2499.3528286790847</v>
      </c>
      <c r="H15" s="32">
        <f>'6. Rates &amp; revenue'!M15</f>
        <v>1307.4332364408006</v>
      </c>
      <c r="I15" s="32">
        <f>'6. Rates &amp; revenue'!Q15</f>
        <v>717.60206482164574</v>
      </c>
      <c r="J15" s="32">
        <f>'6. Rates &amp; revenue'!U15</f>
        <v>155.23486687753945</v>
      </c>
      <c r="K15" s="32">
        <f>'6. Rates &amp; revenue'!Y15</f>
        <v>1951.6516638347694</v>
      </c>
      <c r="L15" s="33">
        <v>91.951953547631803</v>
      </c>
      <c r="M15" s="33">
        <v>147.44979389153301</v>
      </c>
      <c r="N15" s="31">
        <f t="shared" si="2"/>
        <v>4371.32357941392</v>
      </c>
      <c r="O15" s="33">
        <v>48.013835899398003</v>
      </c>
      <c r="P15" s="31">
        <f t="shared" si="3"/>
        <v>4175.859949622989</v>
      </c>
      <c r="Q15" s="33">
        <v>532.14151184751483</v>
      </c>
      <c r="R15" s="33">
        <v>69.693764521989394</v>
      </c>
      <c r="S15" s="33">
        <v>2.0006699351683399</v>
      </c>
      <c r="T15" s="31">
        <f t="shared" si="4"/>
        <v>460.44707739035709</v>
      </c>
      <c r="U15" s="33">
        <v>0</v>
      </c>
      <c r="V15" s="33">
        <v>17.557899692824801</v>
      </c>
      <c r="W15" s="31">
        <f t="shared" si="5"/>
        <v>7153.2177553852553</v>
      </c>
      <c r="X15" s="34">
        <f t="shared" si="6"/>
        <v>0</v>
      </c>
    </row>
    <row r="16" spans="1:24" x14ac:dyDescent="0.3">
      <c r="A16" s="11">
        <v>2036</v>
      </c>
      <c r="B16" s="32">
        <f>'6. Rates &amp; revenue'!I16</f>
        <v>2551.3628546556306</v>
      </c>
      <c r="C16" s="33">
        <v>44.152170450739099</v>
      </c>
      <c r="D16" s="33">
        <v>0</v>
      </c>
      <c r="E16" s="31">
        <f t="shared" si="0"/>
        <v>2595.5150251063696</v>
      </c>
      <c r="F16" s="33">
        <v>111.10602314715899</v>
      </c>
      <c r="G16" s="31">
        <f t="shared" si="1"/>
        <v>2484.4090019592109</v>
      </c>
      <c r="H16" s="32">
        <f>'6. Rates &amp; revenue'!M16</f>
        <v>1322.0211950708322</v>
      </c>
      <c r="I16" s="32">
        <f>'6. Rates &amp; revenue'!Q16</f>
        <v>883.56973564214161</v>
      </c>
      <c r="J16" s="32">
        <f>'6. Rates &amp; revenue'!U16</f>
        <v>172.7829221103199</v>
      </c>
      <c r="K16" s="32">
        <f>'6. Rates &amp; revenue'!Y16</f>
        <v>2031.6756398732564</v>
      </c>
      <c r="L16" s="33">
        <v>109.203809524932</v>
      </c>
      <c r="M16" s="33">
        <v>156.34567051652701</v>
      </c>
      <c r="N16" s="31">
        <f t="shared" si="2"/>
        <v>4675.5989727380083</v>
      </c>
      <c r="O16" s="33">
        <v>50.0644599348363</v>
      </c>
      <c r="P16" s="31">
        <f t="shared" si="3"/>
        <v>4469.188842286645</v>
      </c>
      <c r="Q16" s="33">
        <v>528.87272871829771</v>
      </c>
      <c r="R16" s="33">
        <v>69.454212035398598</v>
      </c>
      <c r="S16" s="33">
        <v>2.0138552726037799</v>
      </c>
      <c r="T16" s="31">
        <f t="shared" si="4"/>
        <v>457.40466141029532</v>
      </c>
      <c r="U16" s="33">
        <v>0</v>
      </c>
      <c r="V16" s="33">
        <v>17.557899692824801</v>
      </c>
      <c r="W16" s="31">
        <f t="shared" si="5"/>
        <v>7428.5604053489769</v>
      </c>
      <c r="X16" s="34">
        <f t="shared" si="6"/>
        <v>0</v>
      </c>
    </row>
    <row r="17" spans="1:24" x14ac:dyDescent="0.3">
      <c r="A17" s="11">
        <v>2037</v>
      </c>
      <c r="B17" s="32">
        <f>'6. Rates &amp; revenue'!I17</f>
        <v>2519.7254619454084</v>
      </c>
      <c r="C17" s="33">
        <v>44.276456036518603</v>
      </c>
      <c r="D17" s="33">
        <v>0</v>
      </c>
      <c r="E17" s="31">
        <f t="shared" si="0"/>
        <v>2564.0019179819269</v>
      </c>
      <c r="F17" s="33">
        <v>109.97347796017399</v>
      </c>
      <c r="G17" s="31">
        <f t="shared" si="1"/>
        <v>2454.0284400217529</v>
      </c>
      <c r="H17" s="32">
        <f>'6. Rates &amp; revenue'!M17</f>
        <v>1325.6810717743986</v>
      </c>
      <c r="I17" s="32">
        <f>'6. Rates &amp; revenue'!Q17</f>
        <v>1085.3726383025382</v>
      </c>
      <c r="J17" s="32">
        <f>'6. Rates &amp; revenue'!U17</f>
        <v>187.96043532872753</v>
      </c>
      <c r="K17" s="32">
        <f>'6. Rates &amp; revenue'!Y17</f>
        <v>2111.8127944919324</v>
      </c>
      <c r="L17" s="33">
        <v>128.51123816134</v>
      </c>
      <c r="M17" s="33">
        <v>166.11748206683001</v>
      </c>
      <c r="N17" s="31">
        <f t="shared" si="2"/>
        <v>5005.4556601257673</v>
      </c>
      <c r="O17" s="33">
        <v>52.340019681552903</v>
      </c>
      <c r="P17" s="31">
        <f t="shared" si="3"/>
        <v>4786.9981583773842</v>
      </c>
      <c r="Q17" s="33">
        <v>525.84111683753997</v>
      </c>
      <c r="R17" s="33">
        <v>69.230881045771895</v>
      </c>
      <c r="S17" s="33">
        <v>2.02793951629894</v>
      </c>
      <c r="T17" s="31">
        <f t="shared" si="4"/>
        <v>454.58229627546916</v>
      </c>
      <c r="U17" s="33">
        <v>0</v>
      </c>
      <c r="V17" s="33">
        <v>17.557899692824801</v>
      </c>
      <c r="W17" s="31">
        <f t="shared" si="5"/>
        <v>7713.166794367432</v>
      </c>
      <c r="X17" s="34">
        <f t="shared" si="6"/>
        <v>0</v>
      </c>
    </row>
    <row r="18" spans="1:24" x14ac:dyDescent="0.3">
      <c r="A18" s="11">
        <v>2038</v>
      </c>
      <c r="B18" s="32">
        <f>'6. Rates &amp; revenue'!I18</f>
        <v>2470.1228220963894</v>
      </c>
      <c r="C18" s="33">
        <v>44.394990241688397</v>
      </c>
      <c r="D18" s="33">
        <v>0</v>
      </c>
      <c r="E18" s="31">
        <f t="shared" si="0"/>
        <v>2514.5178123380779</v>
      </c>
      <c r="F18" s="33">
        <v>107.84544321988299</v>
      </c>
      <c r="G18" s="31">
        <f t="shared" si="1"/>
        <v>2406.6723691181951</v>
      </c>
      <c r="H18" s="32">
        <f>'6. Rates &amp; revenue'!M18</f>
        <v>1318.9840646487944</v>
      </c>
      <c r="I18" s="32">
        <f>'6. Rates &amp; revenue'!Q18</f>
        <v>1326.1807334009891</v>
      </c>
      <c r="J18" s="32">
        <f>'6. Rates &amp; revenue'!U18</f>
        <v>201.29033220331081</v>
      </c>
      <c r="K18" s="32">
        <f>'6. Rates &amp; revenue'!Y18</f>
        <v>2193.2826551238441</v>
      </c>
      <c r="L18" s="33">
        <v>149.98584612405901</v>
      </c>
      <c r="M18" s="33">
        <v>176.757657333179</v>
      </c>
      <c r="N18" s="31">
        <f t="shared" si="2"/>
        <v>5366.4812888341767</v>
      </c>
      <c r="O18" s="33">
        <v>54.8208494923377</v>
      </c>
      <c r="P18" s="31">
        <f t="shared" si="3"/>
        <v>5134.9027820086603</v>
      </c>
      <c r="Q18" s="33">
        <v>523.02429162254816</v>
      </c>
      <c r="R18" s="33">
        <v>69.0225951048985</v>
      </c>
      <c r="S18" s="33">
        <v>2.04286816403657</v>
      </c>
      <c r="T18" s="31">
        <f t="shared" si="4"/>
        <v>451.95882835361306</v>
      </c>
      <c r="U18" s="33">
        <v>0</v>
      </c>
      <c r="V18" s="33">
        <v>17.557899692824801</v>
      </c>
      <c r="W18" s="31">
        <f t="shared" si="5"/>
        <v>8011.0918791732938</v>
      </c>
      <c r="X18" s="34">
        <f t="shared" si="6"/>
        <v>0</v>
      </c>
    </row>
    <row r="19" spans="1:24" x14ac:dyDescent="0.3">
      <c r="A19" s="11">
        <v>2039</v>
      </c>
      <c r="B19" s="32">
        <f>'6. Rates &amp; revenue'!I19</f>
        <v>2398.6797887306989</v>
      </c>
      <c r="C19" s="33">
        <v>44.508281980459699</v>
      </c>
      <c r="D19" s="33">
        <v>0</v>
      </c>
      <c r="E19" s="31">
        <f t="shared" si="0"/>
        <v>2443.1880707111586</v>
      </c>
      <c r="F19" s="33">
        <v>104.77478408115201</v>
      </c>
      <c r="G19" s="31">
        <f t="shared" si="1"/>
        <v>2338.4132866300065</v>
      </c>
      <c r="H19" s="32">
        <f>'6. Rates &amp; revenue'!M19</f>
        <v>1299.5099295113985</v>
      </c>
      <c r="I19" s="32">
        <f>'6. Rates &amp; revenue'!Q19</f>
        <v>1611.5937364680726</v>
      </c>
      <c r="J19" s="32">
        <f>'6. Rates &amp; revenue'!U19</f>
        <v>214.03093749820263</v>
      </c>
      <c r="K19" s="32">
        <f>'6. Rates &amp; revenue'!Y19</f>
        <v>2275.8018181720913</v>
      </c>
      <c r="L19" s="33">
        <v>173.70739312797599</v>
      </c>
      <c r="M19" s="33">
        <v>188.621369058521</v>
      </c>
      <c r="N19" s="31">
        <f t="shared" si="2"/>
        <v>5763.2651838362617</v>
      </c>
      <c r="O19" s="33">
        <v>57.672420379902498</v>
      </c>
      <c r="P19" s="31">
        <f t="shared" si="3"/>
        <v>5516.9713943978386</v>
      </c>
      <c r="Q19" s="33">
        <v>520.40207587933617</v>
      </c>
      <c r="R19" s="33">
        <v>68.828201351112796</v>
      </c>
      <c r="S19" s="33">
        <v>2.0585917523434398</v>
      </c>
      <c r="T19" s="31">
        <f t="shared" si="4"/>
        <v>449.51528277587994</v>
      </c>
      <c r="U19" s="33">
        <v>0</v>
      </c>
      <c r="V19" s="33">
        <v>17.557899692824801</v>
      </c>
      <c r="W19" s="31">
        <f t="shared" si="5"/>
        <v>8322.4578634965492</v>
      </c>
      <c r="X19" s="34">
        <f t="shared" si="6"/>
        <v>0</v>
      </c>
    </row>
    <row r="20" spans="1:24" x14ac:dyDescent="0.3">
      <c r="A20" s="11">
        <v>2040</v>
      </c>
      <c r="B20" s="32">
        <f>'6. Rates &amp; revenue'!I20</f>
        <v>2307.2956357339281</v>
      </c>
      <c r="C20" s="33">
        <v>44.616775462817202</v>
      </c>
      <c r="D20" s="33">
        <v>0</v>
      </c>
      <c r="E20" s="31">
        <f t="shared" si="0"/>
        <v>2351.9124111967453</v>
      </c>
      <c r="F20" s="33">
        <v>100.88067183581499</v>
      </c>
      <c r="G20" s="31">
        <f t="shared" si="1"/>
        <v>2251.0317393609303</v>
      </c>
      <c r="H20" s="32">
        <f>'6. Rates &amp; revenue'!M20</f>
        <v>1270.0627038292655</v>
      </c>
      <c r="I20" s="32">
        <f>'6. Rates &amp; revenue'!Q20</f>
        <v>1943.7877753813482</v>
      </c>
      <c r="J20" s="32">
        <f>'6. Rates &amp; revenue'!U20</f>
        <v>223.15752069171478</v>
      </c>
      <c r="K20" s="32">
        <f>'6. Rates &amp; revenue'!Y20</f>
        <v>2359.3452421774073</v>
      </c>
      <c r="L20" s="33">
        <v>199.41036530757</v>
      </c>
      <c r="M20" s="33">
        <v>201.743131210754</v>
      </c>
      <c r="N20" s="31">
        <f t="shared" si="2"/>
        <v>6197.5067385980592</v>
      </c>
      <c r="O20" s="33">
        <v>60.833181020217303</v>
      </c>
      <c r="P20" s="31">
        <f t="shared" si="3"/>
        <v>5934.9304263670883</v>
      </c>
      <c r="Q20" s="33">
        <v>517.95630102233713</v>
      </c>
      <c r="R20" s="33">
        <v>68.646595681041404</v>
      </c>
      <c r="S20" s="33">
        <v>2.0750655011327601</v>
      </c>
      <c r="T20" s="31">
        <f t="shared" si="4"/>
        <v>447.23463984016297</v>
      </c>
      <c r="U20" s="33">
        <v>0</v>
      </c>
      <c r="V20" s="33">
        <v>17.557899692824801</v>
      </c>
      <c r="W20" s="31">
        <f t="shared" si="5"/>
        <v>8650.7547052610062</v>
      </c>
      <c r="X20" s="34">
        <f t="shared" si="6"/>
        <v>0</v>
      </c>
    </row>
    <row r="21" spans="1:24" x14ac:dyDescent="0.3">
      <c r="A21" s="11">
        <v>2041</v>
      </c>
      <c r="B21" s="32">
        <f>'6. Rates &amp; revenue'!I21</f>
        <v>2201.1062642987254</v>
      </c>
      <c r="C21" s="33">
        <v>44.720860720169398</v>
      </c>
      <c r="D21" s="33">
        <v>0</v>
      </c>
      <c r="E21" s="31">
        <f t="shared" si="0"/>
        <v>2245.8271250188945</v>
      </c>
      <c r="F21" s="33">
        <v>96.271610099118007</v>
      </c>
      <c r="G21" s="31">
        <f t="shared" si="1"/>
        <v>2149.5555149197767</v>
      </c>
      <c r="H21" s="32">
        <f>'6. Rates &amp; revenue'!M21</f>
        <v>1236.0517768761235</v>
      </c>
      <c r="I21" s="32">
        <f>'6. Rates &amp; revenue'!Q21</f>
        <v>2314.2648126907102</v>
      </c>
      <c r="J21" s="32">
        <f>'6. Rates &amp; revenue'!U21</f>
        <v>226.99618352241896</v>
      </c>
      <c r="K21" s="32">
        <f>'6. Rates &amp; revenue'!Y21</f>
        <v>2443.64204676588</v>
      </c>
      <c r="L21" s="33">
        <v>227.224707529575</v>
      </c>
      <c r="M21" s="33">
        <v>215.878323472771</v>
      </c>
      <c r="N21" s="31">
        <f t="shared" si="2"/>
        <v>6664.057850857479</v>
      </c>
      <c r="O21" s="33">
        <v>64.147705141742705</v>
      </c>
      <c r="P21" s="31">
        <f t="shared" si="3"/>
        <v>6384.031822242966</v>
      </c>
      <c r="Q21" s="33">
        <v>515.67061659525655</v>
      </c>
      <c r="R21" s="33">
        <v>68.476736554728902</v>
      </c>
      <c r="S21" s="33">
        <v>2.09224894798797</v>
      </c>
      <c r="T21" s="31">
        <f t="shared" si="4"/>
        <v>445.10163109253966</v>
      </c>
      <c r="U21" s="33">
        <v>0</v>
      </c>
      <c r="V21" s="33">
        <v>17.557899692824801</v>
      </c>
      <c r="W21" s="31">
        <f t="shared" si="5"/>
        <v>8996.2468679481062</v>
      </c>
      <c r="X21" s="34">
        <f t="shared" si="6"/>
        <v>0</v>
      </c>
    </row>
    <row r="22" spans="1:24" x14ac:dyDescent="0.3">
      <c r="A22" s="11">
        <v>2042</v>
      </c>
      <c r="B22" s="32">
        <f>'6. Rates &amp; revenue'!I22</f>
        <v>2074.4051002761453</v>
      </c>
      <c r="C22" s="33">
        <v>44.820882073830902</v>
      </c>
      <c r="D22" s="33">
        <v>0</v>
      </c>
      <c r="E22" s="31">
        <f t="shared" si="0"/>
        <v>2119.2259823499762</v>
      </c>
      <c r="F22" s="33">
        <v>90.490830519217994</v>
      </c>
      <c r="G22" s="31">
        <f t="shared" si="1"/>
        <v>2028.7351518307582</v>
      </c>
      <c r="H22" s="32">
        <f>'6. Rates &amp; revenue'!M22</f>
        <v>1192.1943589790731</v>
      </c>
      <c r="I22" s="32">
        <f>'6. Rates &amp; revenue'!Q22</f>
        <v>2723.3881141272732</v>
      </c>
      <c r="J22" s="32">
        <f>'6. Rates &amp; revenue'!U22</f>
        <v>229.49385817032388</v>
      </c>
      <c r="K22" s="32">
        <f>'6. Rates &amp; revenue'!Y22</f>
        <v>2528.2173674675187</v>
      </c>
      <c r="L22" s="33">
        <v>263.87607622506403</v>
      </c>
      <c r="M22" s="33">
        <v>231.09741243651999</v>
      </c>
      <c r="N22" s="31">
        <f t="shared" si="2"/>
        <v>7168.2671874057733</v>
      </c>
      <c r="O22" s="33">
        <v>67.600189311367004</v>
      </c>
      <c r="P22" s="31">
        <f t="shared" si="3"/>
        <v>6869.5695856578859</v>
      </c>
      <c r="Q22" s="33">
        <v>513.53031226376368</v>
      </c>
      <c r="R22" s="33">
        <v>68.317651649335701</v>
      </c>
      <c r="S22" s="33">
        <v>2.11010559019988</v>
      </c>
      <c r="T22" s="31">
        <f t="shared" si="4"/>
        <v>443.10255502422808</v>
      </c>
      <c r="U22" s="33">
        <v>0</v>
      </c>
      <c r="V22" s="33">
        <v>17.557899692824801</v>
      </c>
      <c r="W22" s="31">
        <f t="shared" si="5"/>
        <v>9358.9651922056983</v>
      </c>
      <c r="X22" s="34">
        <f t="shared" si="6"/>
        <v>0</v>
      </c>
    </row>
    <row r="23" spans="1:24" x14ac:dyDescent="0.3">
      <c r="A23" s="11">
        <v>2043</v>
      </c>
      <c r="B23" s="32">
        <f>'6. Rates &amp; revenue'!I23</f>
        <v>1939.1789401885646</v>
      </c>
      <c r="C23" s="33">
        <v>44.917145010764301</v>
      </c>
      <c r="D23" s="33">
        <v>0</v>
      </c>
      <c r="E23" s="31">
        <f t="shared" si="0"/>
        <v>1984.0960851993289</v>
      </c>
      <c r="F23" s="33">
        <v>84.290886507180105</v>
      </c>
      <c r="G23" s="31">
        <f t="shared" si="1"/>
        <v>1899.8051986921487</v>
      </c>
      <c r="H23" s="32">
        <f>'6. Rates &amp; revenue'!M23</f>
        <v>1148.4767567647409</v>
      </c>
      <c r="I23" s="32">
        <f>'6. Rates &amp; revenue'!Q23</f>
        <v>3151.9466042917607</v>
      </c>
      <c r="J23" s="32">
        <f>'6. Rates &amp; revenue'!U23</f>
        <v>230.80565210390412</v>
      </c>
      <c r="K23" s="32">
        <f>'6. Rates &amp; revenue'!Y23</f>
        <v>2614.3443671589225</v>
      </c>
      <c r="L23" s="33">
        <v>305.21462421745099</v>
      </c>
      <c r="M23" s="33">
        <v>246.75296902740999</v>
      </c>
      <c r="N23" s="31">
        <f t="shared" si="2"/>
        <v>7697.5409735641897</v>
      </c>
      <c r="O23" s="33">
        <v>71.010071208299905</v>
      </c>
      <c r="P23" s="31">
        <f t="shared" si="3"/>
        <v>7379.7779333284798</v>
      </c>
      <c r="Q23" s="33">
        <v>511.52215393912178</v>
      </c>
      <c r="R23" s="33">
        <v>68.168440003114398</v>
      </c>
      <c r="S23" s="33">
        <v>2.12860254401761</v>
      </c>
      <c r="T23" s="31">
        <f t="shared" si="4"/>
        <v>441.22511139198974</v>
      </c>
      <c r="U23" s="33">
        <v>0</v>
      </c>
      <c r="V23" s="33">
        <v>17.557899692824801</v>
      </c>
      <c r="W23" s="31">
        <f t="shared" si="5"/>
        <v>9738.3661431054443</v>
      </c>
      <c r="X23" s="34">
        <f t="shared" si="6"/>
        <v>0</v>
      </c>
    </row>
    <row r="24" spans="1:24" x14ac:dyDescent="0.3">
      <c r="A24" s="11">
        <v>2044</v>
      </c>
      <c r="B24" s="32">
        <f>'6. Rates &amp; revenue'!I24</f>
        <v>1804.4881544046693</v>
      </c>
      <c r="C24" s="33">
        <v>45.009921813095801</v>
      </c>
      <c r="D24" s="33">
        <v>0</v>
      </c>
      <c r="E24" s="31">
        <f t="shared" si="0"/>
        <v>1849.4980762177652</v>
      </c>
      <c r="F24" s="33">
        <v>78.148283917790295</v>
      </c>
      <c r="G24" s="31">
        <f t="shared" si="1"/>
        <v>1771.349792299975</v>
      </c>
      <c r="H24" s="32">
        <f>'6. Rates &amp; revenue'!M24</f>
        <v>1111.512551429606</v>
      </c>
      <c r="I24" s="32">
        <f>'6. Rates &amp; revenue'!Q24</f>
        <v>3581.6281779098736</v>
      </c>
      <c r="J24" s="32">
        <f>'6. Rates &amp; revenue'!U24</f>
        <v>231.57224754678901</v>
      </c>
      <c r="K24" s="32">
        <f>'6. Rates &amp; revenue'!Y24</f>
        <v>2701.6519390000622</v>
      </c>
      <c r="L24" s="33">
        <v>352.23322760240501</v>
      </c>
      <c r="M24" s="33">
        <v>262.09956952546099</v>
      </c>
      <c r="N24" s="31">
        <f t="shared" si="2"/>
        <v>8240.6977130141968</v>
      </c>
      <c r="O24" s="33">
        <v>74.0926209491126</v>
      </c>
      <c r="P24" s="31">
        <f t="shared" si="3"/>
        <v>7904.5055225396227</v>
      </c>
      <c r="Q24" s="33">
        <v>509.63423431789113</v>
      </c>
      <c r="R24" s="33">
        <v>68.028271331328199</v>
      </c>
      <c r="S24" s="33">
        <v>2.14771022566508</v>
      </c>
      <c r="T24" s="31">
        <f t="shared" si="4"/>
        <v>439.45825276089784</v>
      </c>
      <c r="U24" s="33">
        <v>0</v>
      </c>
      <c r="V24" s="33">
        <v>17.557899692824801</v>
      </c>
      <c r="W24" s="31">
        <f t="shared" si="5"/>
        <v>10132.871467293322</v>
      </c>
      <c r="X24" s="34">
        <f t="shared" si="6"/>
        <v>0</v>
      </c>
    </row>
    <row r="25" spans="1:24" x14ac:dyDescent="0.3">
      <c r="A25" s="11">
        <v>2045</v>
      </c>
      <c r="B25" s="32">
        <f>'6. Rates &amp; revenue'!I25</f>
        <v>1670.9253849653242</v>
      </c>
      <c r="C25" s="33">
        <v>45.099456203028097</v>
      </c>
      <c r="D25" s="33">
        <v>0</v>
      </c>
      <c r="E25" s="31">
        <f t="shared" si="0"/>
        <v>1716.0248411683522</v>
      </c>
      <c r="F25" s="33">
        <v>72.233872671267704</v>
      </c>
      <c r="G25" s="31">
        <f t="shared" si="1"/>
        <v>1643.7909684970846</v>
      </c>
      <c r="H25" s="32">
        <f>'6. Rates &amp; revenue'!M25</f>
        <v>1079.5749451292193</v>
      </c>
      <c r="I25" s="32">
        <f>'6. Rates &amp; revenue'!Q25</f>
        <v>4014.3826883241277</v>
      </c>
      <c r="J25" s="32">
        <f>'6. Rates &amp; revenue'!U25</f>
        <v>231.37214794419756</v>
      </c>
      <c r="K25" s="32">
        <f>'6. Rates &amp; revenue'!Y25</f>
        <v>2790.0750406731686</v>
      </c>
      <c r="L25" s="33">
        <v>405.19523624800701</v>
      </c>
      <c r="M25" s="33">
        <v>277.44951172667402</v>
      </c>
      <c r="N25" s="31">
        <f t="shared" si="2"/>
        <v>8798.0495700453939</v>
      </c>
      <c r="O25" s="33">
        <v>76.981629629421107</v>
      </c>
      <c r="P25" s="31">
        <f t="shared" si="3"/>
        <v>8443.6184286892985</v>
      </c>
      <c r="Q25" s="33">
        <v>507.8558373928368</v>
      </c>
      <c r="R25" s="33">
        <v>67.896383600396703</v>
      </c>
      <c r="S25" s="33">
        <v>2.1674020558414</v>
      </c>
      <c r="T25" s="31">
        <f t="shared" si="4"/>
        <v>437.79205173659869</v>
      </c>
      <c r="U25" s="33">
        <v>0</v>
      </c>
      <c r="V25" s="33">
        <v>17.557899692824801</v>
      </c>
      <c r="W25" s="31">
        <f t="shared" si="5"/>
        <v>10542.759348615808</v>
      </c>
      <c r="X25" s="34">
        <f t="shared" si="6"/>
        <v>0</v>
      </c>
    </row>
    <row r="26" spans="1:24" x14ac:dyDescent="0.3">
      <c r="A26" s="11">
        <v>2046</v>
      </c>
      <c r="B26" s="32">
        <f>'6. Rates &amp; revenue'!I26</f>
        <v>1535.8723463542829</v>
      </c>
      <c r="C26" s="33">
        <v>45.1859672028516</v>
      </c>
      <c r="D26" s="33">
        <v>0</v>
      </c>
      <c r="E26" s="31">
        <f t="shared" si="0"/>
        <v>1581.0583135571344</v>
      </c>
      <c r="F26" s="33">
        <v>66.657457942009103</v>
      </c>
      <c r="G26" s="31">
        <f t="shared" si="1"/>
        <v>1514.4008556151252</v>
      </c>
      <c r="H26" s="32">
        <f>'6. Rates &amp; revenue'!M26</f>
        <v>1048.1453107840337</v>
      </c>
      <c r="I26" s="32">
        <f>'6. Rates &amp; revenue'!Q26</f>
        <v>4459.1755777936114</v>
      </c>
      <c r="J26" s="32">
        <f>'6. Rates &amp; revenue'!U26</f>
        <v>229.69741512515401</v>
      </c>
      <c r="K26" s="32">
        <f>'6. Rates &amp; revenue'!Y26</f>
        <v>2879.6383230122533</v>
      </c>
      <c r="L26" s="33">
        <v>464.56305799955999</v>
      </c>
      <c r="M26" s="33">
        <v>293.57809627017002</v>
      </c>
      <c r="N26" s="31">
        <f t="shared" si="2"/>
        <v>9374.7977809847816</v>
      </c>
      <c r="O26" s="33">
        <v>79.977876856118002</v>
      </c>
      <c r="P26" s="31">
        <f t="shared" si="3"/>
        <v>9001.2418078584942</v>
      </c>
      <c r="Q26" s="33">
        <v>506.17731612325758</v>
      </c>
      <c r="R26" s="33">
        <v>67.772079570612505</v>
      </c>
      <c r="S26" s="33">
        <v>2.1876541878499798</v>
      </c>
      <c r="T26" s="31">
        <f t="shared" si="4"/>
        <v>436.21758236479508</v>
      </c>
      <c r="U26" s="33">
        <v>0</v>
      </c>
      <c r="V26" s="33">
        <v>17.557899692824801</v>
      </c>
      <c r="W26" s="31">
        <f t="shared" si="5"/>
        <v>10969.418145531241</v>
      </c>
      <c r="X26" s="34">
        <f t="shared" si="6"/>
        <v>0</v>
      </c>
    </row>
    <row r="27" spans="1:24" x14ac:dyDescent="0.3">
      <c r="A27" s="11">
        <v>2047</v>
      </c>
      <c r="B27" s="32">
        <f>'6. Rates &amp; revenue'!I27</f>
        <v>1403.2031204287364</v>
      </c>
      <c r="C27" s="33">
        <v>45.269652364037498</v>
      </c>
      <c r="D27" s="33">
        <v>0</v>
      </c>
      <c r="E27" s="31">
        <f t="shared" si="0"/>
        <v>1448.4727727927739</v>
      </c>
      <c r="F27" s="33">
        <v>61.4260147944455</v>
      </c>
      <c r="G27" s="31">
        <f t="shared" si="1"/>
        <v>1387.0467579983283</v>
      </c>
      <c r="H27" s="32">
        <f>'6. Rates &amp; revenue'!M27</f>
        <v>1019.3253502529406</v>
      </c>
      <c r="I27" s="32">
        <f>'6. Rates &amp; revenue'!Q27</f>
        <v>4907.824891739383</v>
      </c>
      <c r="J27" s="32">
        <f>'6. Rates &amp; revenue'!U27</f>
        <v>227.27764730534074</v>
      </c>
      <c r="K27" s="32">
        <f>'6. Rates &amp; revenue'!Y27</f>
        <v>2970.369333531984</v>
      </c>
      <c r="L27" s="33">
        <v>530.44074778483798</v>
      </c>
      <c r="M27" s="33">
        <v>310.09432437850398</v>
      </c>
      <c r="N27" s="31">
        <f t="shared" si="2"/>
        <v>9965.3322949929916</v>
      </c>
      <c r="O27" s="33">
        <v>82.936749648538395</v>
      </c>
      <c r="P27" s="31">
        <f t="shared" si="3"/>
        <v>9572.3012209659482</v>
      </c>
      <c r="Q27" s="33">
        <v>504.5899822904554</v>
      </c>
      <c r="R27" s="33">
        <v>67.654722775942801</v>
      </c>
      <c r="S27" s="33">
        <v>2.2084452586381298</v>
      </c>
      <c r="T27" s="31">
        <f t="shared" si="4"/>
        <v>434.7268142558745</v>
      </c>
      <c r="U27" s="33">
        <v>0</v>
      </c>
      <c r="V27" s="33">
        <v>17.557899692824801</v>
      </c>
      <c r="W27" s="31">
        <f t="shared" si="5"/>
        <v>11411.632692912977</v>
      </c>
      <c r="X27" s="34">
        <f t="shared" si="6"/>
        <v>0</v>
      </c>
    </row>
    <row r="28" spans="1:24" x14ac:dyDescent="0.3">
      <c r="A28" s="11">
        <v>2048</v>
      </c>
      <c r="B28" s="32">
        <f>'6. Rates &amp; revenue'!I28</f>
        <v>1272.3678531654311</v>
      </c>
      <c r="C28" s="33">
        <v>45.350690485262</v>
      </c>
      <c r="D28" s="33">
        <v>0</v>
      </c>
      <c r="E28" s="31">
        <f t="shared" si="0"/>
        <v>1317.7185436506932</v>
      </c>
      <c r="F28" s="33">
        <v>56.614546898327298</v>
      </c>
      <c r="G28" s="31">
        <f t="shared" si="1"/>
        <v>1261.1039967523659</v>
      </c>
      <c r="H28" s="32">
        <f>'6. Rates &amp; revenue'!M28</f>
        <v>992.14268748556674</v>
      </c>
      <c r="I28" s="32">
        <f>'6. Rates &amp; revenue'!Q28</f>
        <v>5362.0749608258475</v>
      </c>
      <c r="J28" s="32">
        <f>'6. Rates &amp; revenue'!U28</f>
        <v>224.29876559647138</v>
      </c>
      <c r="K28" s="32">
        <f>'6. Rates &amp; revenue'!Y28</f>
        <v>3062.2964041081382</v>
      </c>
      <c r="L28" s="33">
        <v>603.06935731142403</v>
      </c>
      <c r="M28" s="33">
        <v>327.49858969066099</v>
      </c>
      <c r="N28" s="31">
        <f t="shared" si="2"/>
        <v>10571.380765018108</v>
      </c>
      <c r="O28" s="33">
        <v>86.030275821476593</v>
      </c>
      <c r="P28" s="31">
        <f t="shared" si="3"/>
        <v>10157.851899505971</v>
      </c>
      <c r="Q28" s="33">
        <v>503.08600751505469</v>
      </c>
      <c r="R28" s="33">
        <v>67.543733250934096</v>
      </c>
      <c r="S28" s="33">
        <v>2.2297561615591701</v>
      </c>
      <c r="T28" s="31">
        <f t="shared" si="4"/>
        <v>433.3125181025614</v>
      </c>
      <c r="U28" s="33">
        <v>0</v>
      </c>
      <c r="V28" s="33">
        <v>17.557899692824801</v>
      </c>
      <c r="W28" s="31">
        <f t="shared" si="5"/>
        <v>11869.826314053724</v>
      </c>
      <c r="X28" s="34">
        <f t="shared" si="6"/>
        <v>0</v>
      </c>
    </row>
    <row r="29" spans="1:24" x14ac:dyDescent="0.3">
      <c r="A29" s="11">
        <v>2049</v>
      </c>
      <c r="B29" s="32">
        <f>'6. Rates &amp; revenue'!I29</f>
        <v>1148.1938660753865</v>
      </c>
      <c r="C29" s="33">
        <v>45.429243913463999</v>
      </c>
      <c r="D29" s="33">
        <v>0</v>
      </c>
      <c r="E29" s="31">
        <f t="shared" si="0"/>
        <v>1193.6231099888505</v>
      </c>
      <c r="F29" s="33">
        <v>52.129251727766402</v>
      </c>
      <c r="G29" s="31">
        <f t="shared" si="1"/>
        <v>1141.4938582610841</v>
      </c>
      <c r="H29" s="32">
        <f>'6. Rates &amp; revenue'!M29</f>
        <v>971.4752898696039</v>
      </c>
      <c r="I29" s="32">
        <f>'6. Rates &amp; revenue'!Q29</f>
        <v>5809.824441588511</v>
      </c>
      <c r="J29" s="32">
        <f>'6. Rates &amp; revenue'!U29</f>
        <v>221.10262326810977</v>
      </c>
      <c r="K29" s="32">
        <f>'6. Rates &amp; revenue'!Y29</f>
        <v>3155.4485978142657</v>
      </c>
      <c r="L29" s="33">
        <v>682.33474095433098</v>
      </c>
      <c r="M29" s="33">
        <v>344.46438551802999</v>
      </c>
      <c r="N29" s="31">
        <f t="shared" si="2"/>
        <v>11184.650079012852</v>
      </c>
      <c r="O29" s="33">
        <v>88.812806202703001</v>
      </c>
      <c r="P29" s="31">
        <f t="shared" si="3"/>
        <v>10751.37288729212</v>
      </c>
      <c r="Q29" s="33">
        <v>501.658334426522</v>
      </c>
      <c r="R29" s="33">
        <v>67.438583209179598</v>
      </c>
      <c r="S29" s="33">
        <v>2.25156983943842</v>
      </c>
      <c r="T29" s="31">
        <f t="shared" si="4"/>
        <v>431.96818137790393</v>
      </c>
      <c r="U29" s="33">
        <v>0</v>
      </c>
      <c r="V29" s="33">
        <v>17.557899692824801</v>
      </c>
      <c r="W29" s="31">
        <f t="shared" si="5"/>
        <v>12342.392826623935</v>
      </c>
      <c r="X29" s="34">
        <f t="shared" si="6"/>
        <v>0</v>
      </c>
    </row>
    <row r="30" spans="1:24" x14ac:dyDescent="0.3">
      <c r="A30" s="11">
        <v>2050</v>
      </c>
      <c r="B30" s="32">
        <f>'6. Rates &amp; revenue'!I30</f>
        <v>1032.0361344921946</v>
      </c>
      <c r="C30" s="33">
        <v>45.505460502418799</v>
      </c>
      <c r="D30" s="33">
        <v>0</v>
      </c>
      <c r="E30" s="31">
        <f t="shared" si="0"/>
        <v>1077.5415949946134</v>
      </c>
      <c r="F30" s="33">
        <v>47.9534944692059</v>
      </c>
      <c r="G30" s="31">
        <f t="shared" si="1"/>
        <v>1029.5881005254075</v>
      </c>
      <c r="H30" s="32">
        <f>'6. Rates &amp; revenue'!M30</f>
        <v>959.14795933699634</v>
      </c>
      <c r="I30" s="32">
        <f>'6. Rates &amp; revenue'!Q30</f>
        <v>6246.997782265722</v>
      </c>
      <c r="J30" s="32">
        <f>'6. Rates &amp; revenue'!U30</f>
        <v>217.75007473766468</v>
      </c>
      <c r="K30" s="32">
        <f>'6. Rates &amp; revenue'!Y30</f>
        <v>3249.8557288312481</v>
      </c>
      <c r="L30" s="33">
        <v>767.05337299549899</v>
      </c>
      <c r="M30" s="33">
        <v>360.36168719760502</v>
      </c>
      <c r="N30" s="31">
        <f t="shared" si="2"/>
        <v>11801.166605364735</v>
      </c>
      <c r="O30" s="33">
        <v>91.103286435553201</v>
      </c>
      <c r="P30" s="31">
        <f t="shared" si="3"/>
        <v>11349.701631731577</v>
      </c>
      <c r="Q30" s="33">
        <v>500.30059702186168</v>
      </c>
      <c r="R30" s="33">
        <v>67.338792806443607</v>
      </c>
      <c r="S30" s="33">
        <v>2.2738710964803701</v>
      </c>
      <c r="T30" s="31">
        <f t="shared" si="4"/>
        <v>430.68793311893768</v>
      </c>
      <c r="U30" s="33">
        <v>0</v>
      </c>
      <c r="V30" s="33">
        <v>17.557899692824801</v>
      </c>
      <c r="W30" s="31">
        <f t="shared" si="5"/>
        <v>12827.535565068747</v>
      </c>
      <c r="X30" s="34">
        <f t="shared" si="6"/>
        <v>0</v>
      </c>
    </row>
    <row r="32" spans="1:24" x14ac:dyDescent="0.3">
      <c r="A32" s="2" t="s">
        <v>353</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34"/>
  <sheetViews>
    <sheetView showGridLines="0" tabSelected="1" workbookViewId="0">
      <pane xSplit="1" ySplit="6" topLeftCell="B7" activePane="bottomRight" state="frozen"/>
      <selection pane="topRight"/>
      <selection pane="bottomLeft"/>
      <selection pane="bottomRight" activeCell="N20" sqref="N20"/>
    </sheetView>
  </sheetViews>
  <sheetFormatPr defaultRowHeight="14.4" x14ac:dyDescent="0.3"/>
  <cols>
    <col min="1" max="1" width="9" customWidth="1"/>
    <col min="2" max="39" width="13" customWidth="1"/>
  </cols>
  <sheetData>
    <row r="1" spans="1:37" ht="17.399999999999999" x14ac:dyDescent="0.3">
      <c r="A1" s="1" t="s">
        <v>354</v>
      </c>
    </row>
    <row r="2" spans="1:37" x14ac:dyDescent="0.3">
      <c r="A2" s="2" t="s">
        <v>355</v>
      </c>
    </row>
    <row r="4" spans="1:37" x14ac:dyDescent="0.3">
      <c r="A4" s="3" t="s">
        <v>356</v>
      </c>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c r="AK4" s="4"/>
    </row>
    <row r="5" spans="1:37" x14ac:dyDescent="0.3">
      <c r="B5" s="43" t="s">
        <v>357</v>
      </c>
      <c r="C5" s="41"/>
      <c r="D5" s="41"/>
      <c r="E5" s="43" t="s">
        <v>358</v>
      </c>
      <c r="F5" s="41"/>
      <c r="G5" s="41"/>
      <c r="H5" s="43" t="s">
        <v>359</v>
      </c>
      <c r="I5" s="41"/>
      <c r="J5" s="41"/>
      <c r="K5" s="43" t="s">
        <v>360</v>
      </c>
      <c r="L5" s="41"/>
      <c r="M5" s="41"/>
      <c r="N5" s="43" t="s">
        <v>361</v>
      </c>
      <c r="O5" s="41"/>
      <c r="P5" s="41"/>
      <c r="Q5" s="43" t="s">
        <v>362</v>
      </c>
      <c r="R5" s="41"/>
      <c r="S5" s="41"/>
      <c r="T5" s="43" t="s">
        <v>363</v>
      </c>
      <c r="U5" s="41"/>
      <c r="V5" s="41"/>
      <c r="W5" s="43" t="s">
        <v>364</v>
      </c>
      <c r="X5" s="41"/>
      <c r="Y5" s="41"/>
      <c r="Z5" s="43" t="s">
        <v>325</v>
      </c>
      <c r="AA5" s="41"/>
      <c r="AB5" s="41"/>
      <c r="AC5" s="43" t="s">
        <v>365</v>
      </c>
      <c r="AD5" s="41"/>
      <c r="AE5" s="41"/>
      <c r="AF5" s="43" t="s">
        <v>366</v>
      </c>
      <c r="AG5" s="41"/>
      <c r="AH5" s="41"/>
      <c r="AI5" s="43" t="s">
        <v>367</v>
      </c>
      <c r="AJ5" s="41"/>
      <c r="AK5" s="41"/>
    </row>
    <row r="6" spans="1:37" x14ac:dyDescent="0.3">
      <c r="A6" s="10" t="s">
        <v>34</v>
      </c>
      <c r="B6" s="10" t="s">
        <v>368</v>
      </c>
      <c r="C6" s="10" t="s">
        <v>369</v>
      </c>
      <c r="D6" s="10" t="s">
        <v>370</v>
      </c>
      <c r="E6" s="10" t="s">
        <v>368</v>
      </c>
      <c r="F6" s="10" t="s">
        <v>369</v>
      </c>
      <c r="G6" s="10" t="s">
        <v>370</v>
      </c>
      <c r="H6" s="10" t="s">
        <v>368</v>
      </c>
      <c r="I6" s="10" t="s">
        <v>369</v>
      </c>
      <c r="J6" s="10" t="s">
        <v>370</v>
      </c>
      <c r="K6" s="10" t="s">
        <v>368</v>
      </c>
      <c r="L6" s="10" t="s">
        <v>369</v>
      </c>
      <c r="M6" s="10" t="s">
        <v>370</v>
      </c>
      <c r="N6" s="10" t="s">
        <v>368</v>
      </c>
      <c r="O6" s="10" t="s">
        <v>369</v>
      </c>
      <c r="P6" s="10" t="s">
        <v>370</v>
      </c>
      <c r="Q6" s="10" t="s">
        <v>368</v>
      </c>
      <c r="R6" s="10" t="s">
        <v>369</v>
      </c>
      <c r="S6" s="10" t="s">
        <v>370</v>
      </c>
      <c r="T6" s="10" t="s">
        <v>368</v>
      </c>
      <c r="U6" s="10" t="s">
        <v>369</v>
      </c>
      <c r="V6" s="10" t="s">
        <v>370</v>
      </c>
      <c r="W6" s="10" t="s">
        <v>368</v>
      </c>
      <c r="X6" s="10" t="s">
        <v>369</v>
      </c>
      <c r="Y6" s="10" t="s">
        <v>370</v>
      </c>
      <c r="Z6" s="10" t="s">
        <v>368</v>
      </c>
      <c r="AA6" s="10" t="s">
        <v>369</v>
      </c>
      <c r="AB6" s="10" t="s">
        <v>370</v>
      </c>
      <c r="AC6" s="10" t="s">
        <v>368</v>
      </c>
      <c r="AD6" s="10" t="s">
        <v>369</v>
      </c>
      <c r="AE6" s="10" t="s">
        <v>370</v>
      </c>
      <c r="AF6" s="10" t="s">
        <v>368</v>
      </c>
      <c r="AG6" s="10" t="s">
        <v>369</v>
      </c>
      <c r="AH6" s="10" t="s">
        <v>370</v>
      </c>
      <c r="AI6" s="10" t="s">
        <v>368</v>
      </c>
      <c r="AJ6" s="10" t="s">
        <v>369</v>
      </c>
      <c r="AK6" s="10" t="s">
        <v>370</v>
      </c>
    </row>
    <row r="7" spans="1:37" x14ac:dyDescent="0.3">
      <c r="A7" s="11">
        <v>2026</v>
      </c>
      <c r="B7" s="32">
        <f>'6. Rates &amp; revenue'!H6</f>
        <v>2936.2042161867494</v>
      </c>
      <c r="C7" s="33">
        <v>2936.2042161867498</v>
      </c>
      <c r="D7" s="34">
        <f t="shared" ref="D7:D31" si="0">B7-C7</f>
        <v>0</v>
      </c>
      <c r="E7" s="32">
        <f>'6. Rates &amp; revenue'!I6</f>
        <v>2056.0476403426101</v>
      </c>
      <c r="F7" s="33">
        <v>2056.047640342611</v>
      </c>
      <c r="G7" s="34">
        <f t="shared" ref="G7:G31" si="1">E7-F7</f>
        <v>0</v>
      </c>
      <c r="H7" s="32">
        <f>'5. Light fleet split'!S6</f>
        <v>12354.533265710219</v>
      </c>
      <c r="I7" s="33">
        <v>12354.533265710221</v>
      </c>
      <c r="J7" s="34">
        <f t="shared" ref="J7:J31" si="2">H7-I7</f>
        <v>0</v>
      </c>
      <c r="K7" s="32">
        <f>'5. Light fleet split'!P6</f>
        <v>1191.845204419182</v>
      </c>
      <c r="L7" s="33">
        <v>1191.845204419182</v>
      </c>
      <c r="M7" s="34">
        <f t="shared" ref="M7:M31" si="3">K7-L7</f>
        <v>0</v>
      </c>
      <c r="N7" s="32">
        <f>'5. Light fleet split'!Q6</f>
        <v>624.21099091480187</v>
      </c>
      <c r="O7" s="33">
        <v>624.21099091480198</v>
      </c>
      <c r="P7" s="34">
        <f t="shared" ref="P7:P31" si="4">N7-O7</f>
        <v>0</v>
      </c>
      <c r="Q7" s="32">
        <f>'6. Rates &amp; revenue'!M6</f>
        <v>836.92411285528988</v>
      </c>
      <c r="R7" s="33">
        <v>836.92411285528988</v>
      </c>
      <c r="S7" s="34">
        <f t="shared" ref="S7:S31" si="5">Q7-R7</f>
        <v>0</v>
      </c>
      <c r="T7" s="32">
        <f>'6. Rates &amp; revenue'!Q6</f>
        <v>80.283708529950829</v>
      </c>
      <c r="U7" s="33">
        <v>80.283708529950843</v>
      </c>
      <c r="V7" s="34">
        <f t="shared" ref="V7:V31" si="6">T7-U7</f>
        <v>0</v>
      </c>
      <c r="W7" s="32">
        <f>'6. Rates &amp; revenue'!U6</f>
        <v>21.52367459486641</v>
      </c>
      <c r="X7" s="33">
        <v>21.52367459486641</v>
      </c>
      <c r="Y7" s="34">
        <f t="shared" ref="Y7:Y31" si="7">W7-X7</f>
        <v>0</v>
      </c>
      <c r="Z7" s="32">
        <f>'6. Rates &amp; revenue'!Y6</f>
        <v>1129.322762595925</v>
      </c>
      <c r="AA7" s="33">
        <v>1129.322762595925</v>
      </c>
      <c r="AB7" s="34">
        <f t="shared" ref="AB7:AB31" si="8">Z7-AA7</f>
        <v>0</v>
      </c>
      <c r="AC7" s="32">
        <f>'7. NLTF rollup'!G6</f>
        <v>2024.8252782872</v>
      </c>
      <c r="AD7" s="33">
        <v>2024.8252782872</v>
      </c>
      <c r="AE7" s="34">
        <f t="shared" ref="AE7:AE31" si="9">AC7-AD7</f>
        <v>0</v>
      </c>
      <c r="AF7" s="32">
        <f>'7. NLTF rollup'!P6</f>
        <v>2033.4833873699522</v>
      </c>
      <c r="AG7" s="33">
        <v>2033.4833873699531</v>
      </c>
      <c r="AH7" s="34">
        <f t="shared" ref="AH7:AH31" si="10">AF7-AG7</f>
        <v>0</v>
      </c>
      <c r="AI7" s="32">
        <f>'7. NLTF rollup'!W6</f>
        <v>4500.8439366721559</v>
      </c>
      <c r="AJ7" s="33">
        <v>4500.8439366721568</v>
      </c>
      <c r="AK7" s="34">
        <f t="shared" ref="AK7:AK31" si="11">AI7-AJ7</f>
        <v>0</v>
      </c>
    </row>
    <row r="8" spans="1:37" x14ac:dyDescent="0.3">
      <c r="A8" s="11">
        <v>2027</v>
      </c>
      <c r="B8" s="32">
        <f>'6. Rates &amp; revenue'!H7</f>
        <v>2766.7896272874345</v>
      </c>
      <c r="C8" s="33">
        <v>2766.789627287435</v>
      </c>
      <c r="D8" s="34">
        <f t="shared" si="0"/>
        <v>0</v>
      </c>
      <c r="E8" s="32">
        <f>'6. Rates &amp; revenue'!I7</f>
        <v>2102.3263766272412</v>
      </c>
      <c r="F8" s="33">
        <v>2102.3263766272421</v>
      </c>
      <c r="G8" s="34">
        <f t="shared" si="1"/>
        <v>0</v>
      </c>
      <c r="H8" s="32">
        <f>'5. Light fleet split'!S7</f>
        <v>11872.662036568345</v>
      </c>
      <c r="I8" s="33">
        <v>11872.66203656835</v>
      </c>
      <c r="J8" s="34">
        <f t="shared" si="2"/>
        <v>0</v>
      </c>
      <c r="K8" s="32">
        <f>'5. Light fleet split'!P7</f>
        <v>1484.7811677502229</v>
      </c>
      <c r="L8" s="33">
        <v>1484.7811677502229</v>
      </c>
      <c r="M8" s="34">
        <f t="shared" si="3"/>
        <v>0</v>
      </c>
      <c r="N8" s="32">
        <f>'5. Light fleet split'!Q7</f>
        <v>818.27884681483283</v>
      </c>
      <c r="O8" s="33">
        <v>818.27884681483295</v>
      </c>
      <c r="P8" s="34">
        <f t="shared" si="4"/>
        <v>0</v>
      </c>
      <c r="Q8" s="32">
        <f>'6. Rates &amp; revenue'!M7</f>
        <v>865.90011108536203</v>
      </c>
      <c r="R8" s="33">
        <v>865.90011108536214</v>
      </c>
      <c r="S8" s="34">
        <f t="shared" si="5"/>
        <v>0</v>
      </c>
      <c r="T8" s="32">
        <f>'6. Rates &amp; revenue'!Q7</f>
        <v>108.26048908651369</v>
      </c>
      <c r="U8" s="33">
        <v>108.2604890865137</v>
      </c>
      <c r="V8" s="34">
        <f t="shared" si="6"/>
        <v>0</v>
      </c>
      <c r="W8" s="32">
        <f>'6. Rates &amp; revenue'!U7</f>
        <v>29.945219132171093</v>
      </c>
      <c r="X8" s="33">
        <v>29.945219132171101</v>
      </c>
      <c r="Y8" s="34">
        <f t="shared" si="7"/>
        <v>0</v>
      </c>
      <c r="Z8" s="32">
        <f>'6. Rates &amp; revenue'!Y7</f>
        <v>1231.4061163927749</v>
      </c>
      <c r="AA8" s="33">
        <v>1231.4061163927749</v>
      </c>
      <c r="AB8" s="34">
        <f t="shared" si="8"/>
        <v>0</v>
      </c>
      <c r="AC8" s="32">
        <f>'7. NLTF rollup'!G7</f>
        <v>2062.8541045436259</v>
      </c>
      <c r="AD8" s="33">
        <v>2062.8541045436259</v>
      </c>
      <c r="AE8" s="34">
        <f t="shared" si="9"/>
        <v>0</v>
      </c>
      <c r="AF8" s="32">
        <f>'7. NLTF rollup'!P7</f>
        <v>2199.7740599299223</v>
      </c>
      <c r="AG8" s="33">
        <v>2199.7740599299232</v>
      </c>
      <c r="AH8" s="34">
        <f t="shared" si="10"/>
        <v>0</v>
      </c>
      <c r="AI8" s="32">
        <f>'7. NLTF rollup'!W7</f>
        <v>4776.3358163168232</v>
      </c>
      <c r="AJ8" s="33">
        <v>4776.3358163168232</v>
      </c>
      <c r="AK8" s="34">
        <f t="shared" si="11"/>
        <v>0</v>
      </c>
    </row>
    <row r="9" spans="1:37" x14ac:dyDescent="0.3">
      <c r="A9" s="11">
        <v>2028</v>
      </c>
      <c r="B9" s="32">
        <f>'6. Rates &amp; revenue'!H8</f>
        <v>2704.6608430346332</v>
      </c>
      <c r="C9" s="33">
        <v>2704.6608430346332</v>
      </c>
      <c r="D9" s="34">
        <f t="shared" si="0"/>
        <v>0</v>
      </c>
      <c r="E9" s="32">
        <f>'6. Rates &amp; revenue'!I8</f>
        <v>2299.2035513270657</v>
      </c>
      <c r="F9" s="33">
        <v>2299.2035513270648</v>
      </c>
      <c r="G9" s="34">
        <f t="shared" si="1"/>
        <v>0</v>
      </c>
      <c r="H9" s="32">
        <f>'5. Light fleet split'!S8</f>
        <v>12321.177505469077</v>
      </c>
      <c r="I9" s="33">
        <v>12321.177505469081</v>
      </c>
      <c r="J9" s="34">
        <f t="shared" si="2"/>
        <v>0</v>
      </c>
      <c r="K9" s="32">
        <f>'5. Light fleet split'!P8</f>
        <v>1851.5216392409147</v>
      </c>
      <c r="L9" s="33">
        <v>1851.521639240915</v>
      </c>
      <c r="M9" s="34">
        <f t="shared" si="3"/>
        <v>0</v>
      </c>
      <c r="N9" s="32">
        <f>'5. Light fleet split'!Q8</f>
        <v>1036.9353454950112</v>
      </c>
      <c r="O9" s="33">
        <v>1036.935345495011</v>
      </c>
      <c r="P9" s="34">
        <f t="shared" si="4"/>
        <v>0</v>
      </c>
      <c r="Q9" s="32">
        <f>'6. Rates &amp; revenue'!M8</f>
        <v>1001.8614095490531</v>
      </c>
      <c r="R9" s="33">
        <v>1001.861409549053</v>
      </c>
      <c r="S9" s="34">
        <f t="shared" si="5"/>
        <v>0</v>
      </c>
      <c r="T9" s="32">
        <f>'6. Rates &amp; revenue'!Q8</f>
        <v>150.62128535224838</v>
      </c>
      <c r="U9" s="33">
        <v>150.62128535224829</v>
      </c>
      <c r="V9" s="34">
        <f t="shared" si="6"/>
        <v>0</v>
      </c>
      <c r="W9" s="32">
        <f>'6. Rates &amp; revenue'!U8</f>
        <v>41.596661384532503</v>
      </c>
      <c r="X9" s="33">
        <v>41.596661384532503</v>
      </c>
      <c r="Y9" s="34">
        <f t="shared" si="7"/>
        <v>0</v>
      </c>
      <c r="Z9" s="32">
        <f>'6. Rates &amp; revenue'!Y8</f>
        <v>1380.1167259757665</v>
      </c>
      <c r="AA9" s="33">
        <v>1380.116725975766</v>
      </c>
      <c r="AB9" s="34">
        <f t="shared" si="8"/>
        <v>0</v>
      </c>
      <c r="AC9" s="32">
        <f>'7. NLTF rollup'!G8</f>
        <v>2249.9452131877997</v>
      </c>
      <c r="AD9" s="33">
        <v>2249.9452131878002</v>
      </c>
      <c r="AE9" s="34">
        <f t="shared" si="9"/>
        <v>0</v>
      </c>
      <c r="AF9" s="32">
        <f>'7. NLTF rollup'!P8</f>
        <v>2556.6093017269841</v>
      </c>
      <c r="AG9" s="33">
        <v>2556.6093017269841</v>
      </c>
      <c r="AH9" s="34">
        <f t="shared" si="10"/>
        <v>0</v>
      </c>
      <c r="AI9" s="32">
        <f>'7. NLTF rollup'!W8</f>
        <v>5314.3629248841944</v>
      </c>
      <c r="AJ9" s="33">
        <v>5314.3629248841926</v>
      </c>
      <c r="AK9" s="34">
        <f t="shared" si="11"/>
        <v>0</v>
      </c>
    </row>
    <row r="10" spans="1:37" x14ac:dyDescent="0.3">
      <c r="A10" s="11">
        <v>2029</v>
      </c>
      <c r="B10" s="32">
        <f>'6. Rates &amp; revenue'!H9</f>
        <v>2655.2717181246235</v>
      </c>
      <c r="C10" s="33">
        <v>2655.271718124623</v>
      </c>
      <c r="D10" s="34">
        <f t="shared" si="0"/>
        <v>0</v>
      </c>
      <c r="E10" s="32">
        <f>'6. Rates &amp; revenue'!I9</f>
        <v>2390.0384921911113</v>
      </c>
      <c r="F10" s="33">
        <v>2390.0384921911118</v>
      </c>
      <c r="G10" s="34">
        <f t="shared" si="1"/>
        <v>0</v>
      </c>
      <c r="H10" s="32">
        <f>'5. Light fleet split'!S9</f>
        <v>12507.799540956479</v>
      </c>
      <c r="I10" s="33">
        <v>12507.799540956479</v>
      </c>
      <c r="J10" s="34">
        <f t="shared" si="2"/>
        <v>0</v>
      </c>
      <c r="K10" s="32">
        <f>'5. Light fleet split'!P9</f>
        <v>2286.7714378568362</v>
      </c>
      <c r="L10" s="33">
        <v>2286.7714378568362</v>
      </c>
      <c r="M10" s="34">
        <f t="shared" si="3"/>
        <v>0</v>
      </c>
      <c r="N10" s="32">
        <f>'5. Light fleet split'!Q9</f>
        <v>1274.1771937907954</v>
      </c>
      <c r="O10" s="33">
        <v>1274.1771937907949</v>
      </c>
      <c r="P10" s="34">
        <f t="shared" si="4"/>
        <v>0</v>
      </c>
      <c r="Q10" s="32">
        <f>'6. Rates &amp; revenue'!M9</f>
        <v>1077.2200905594775</v>
      </c>
      <c r="R10" s="33">
        <v>1077.220090559478</v>
      </c>
      <c r="S10" s="34">
        <f t="shared" si="5"/>
        <v>0</v>
      </c>
      <c r="T10" s="32">
        <f>'6. Rates &amp; revenue'!Q9</f>
        <v>196.97105779979788</v>
      </c>
      <c r="U10" s="33">
        <v>196.9710577997979</v>
      </c>
      <c r="V10" s="34">
        <f t="shared" si="6"/>
        <v>0</v>
      </c>
      <c r="W10" s="32">
        <f>'6. Rates &amp; revenue'!U9</f>
        <v>54.120676306263974</v>
      </c>
      <c r="X10" s="33">
        <v>54.120676306263967</v>
      </c>
      <c r="Y10" s="34">
        <f t="shared" si="7"/>
        <v>0</v>
      </c>
      <c r="Z10" s="32">
        <f>'6. Rates &amp; revenue'!Y9</f>
        <v>1474.7557193376203</v>
      </c>
      <c r="AA10" s="33">
        <v>1474.7557193376199</v>
      </c>
      <c r="AB10" s="34">
        <f t="shared" si="8"/>
        <v>0</v>
      </c>
      <c r="AC10" s="32">
        <f>'7. NLTF rollup'!G9</f>
        <v>2335.2645220525201</v>
      </c>
      <c r="AD10" s="33">
        <v>2335.2645220525201</v>
      </c>
      <c r="AE10" s="34">
        <f t="shared" si="9"/>
        <v>0</v>
      </c>
      <c r="AF10" s="32">
        <f>'7. NLTF rollup'!P9</f>
        <v>2789.0595668643045</v>
      </c>
      <c r="AG10" s="33">
        <v>2789.059566864305</v>
      </c>
      <c r="AH10" s="34">
        <f t="shared" si="10"/>
        <v>0</v>
      </c>
      <c r="AI10" s="32">
        <f>'7. NLTF rollup'!W9</f>
        <v>5626.7250986033459</v>
      </c>
      <c r="AJ10" s="33">
        <v>5626.7250986033459</v>
      </c>
      <c r="AK10" s="34">
        <f t="shared" si="11"/>
        <v>0</v>
      </c>
    </row>
    <row r="11" spans="1:37" x14ac:dyDescent="0.3">
      <c r="A11" s="11">
        <v>2030</v>
      </c>
      <c r="B11" s="32">
        <f>'6. Rates &amp; revenue'!H10</f>
        <v>2607.1010609320733</v>
      </c>
      <c r="C11" s="33">
        <v>2607.1010609320729</v>
      </c>
      <c r="D11" s="34">
        <f t="shared" si="0"/>
        <v>0</v>
      </c>
      <c r="E11" s="32">
        <f>'6. Rates &amp; revenue'!I10</f>
        <v>2450.9337931008154</v>
      </c>
      <c r="F11" s="33">
        <v>2450.9337931008158</v>
      </c>
      <c r="G11" s="34">
        <f t="shared" si="1"/>
        <v>0</v>
      </c>
      <c r="H11" s="32">
        <f>'5. Light fleet split'!S10</f>
        <v>12493.297828828092</v>
      </c>
      <c r="I11" s="33">
        <v>12493.29782882809</v>
      </c>
      <c r="J11" s="34">
        <f t="shared" si="2"/>
        <v>0</v>
      </c>
      <c r="K11" s="32">
        <f>'5. Light fleet split'!P10</f>
        <v>2748.3838153032407</v>
      </c>
      <c r="L11" s="33">
        <v>2748.3838153032402</v>
      </c>
      <c r="M11" s="34">
        <f t="shared" si="3"/>
        <v>0</v>
      </c>
      <c r="N11" s="32">
        <f>'5. Light fleet split'!Q10</f>
        <v>1509.950886762623</v>
      </c>
      <c r="O11" s="33">
        <v>1509.950886762623</v>
      </c>
      <c r="P11" s="34">
        <f t="shared" si="4"/>
        <v>0</v>
      </c>
      <c r="Q11" s="32">
        <f>'6. Rates &amp; revenue'!M10</f>
        <v>1123.8239340710265</v>
      </c>
      <c r="R11" s="33">
        <v>1123.823934071027</v>
      </c>
      <c r="S11" s="34">
        <f t="shared" si="5"/>
        <v>0</v>
      </c>
      <c r="T11" s="32">
        <f>'6. Rates &amp; revenue'!Q10</f>
        <v>247.25834994375626</v>
      </c>
      <c r="U11" s="33">
        <v>247.2583499437562</v>
      </c>
      <c r="V11" s="34">
        <f t="shared" si="6"/>
        <v>0</v>
      </c>
      <c r="W11" s="32">
        <f>'6. Rates &amp; revenue'!U10</f>
        <v>66.988971091223547</v>
      </c>
      <c r="X11" s="33">
        <v>66.988971091223547</v>
      </c>
      <c r="Y11" s="34">
        <f t="shared" si="7"/>
        <v>0</v>
      </c>
      <c r="Z11" s="32">
        <f>'6. Rates &amp; revenue'!Y10</f>
        <v>1552.6890410773979</v>
      </c>
      <c r="AA11" s="33">
        <v>1552.6890410773981</v>
      </c>
      <c r="AB11" s="34">
        <f t="shared" si="8"/>
        <v>0</v>
      </c>
      <c r="AC11" s="32">
        <f>'7. NLTF rollup'!G10</f>
        <v>2391.7655785573952</v>
      </c>
      <c r="AD11" s="33">
        <v>2391.7655785573952</v>
      </c>
      <c r="AE11" s="34">
        <f t="shared" si="9"/>
        <v>0</v>
      </c>
      <c r="AF11" s="32">
        <f>'7. NLTF rollup'!P10</f>
        <v>2981.1340558005554</v>
      </c>
      <c r="AG11" s="33">
        <v>2981.1340558005559</v>
      </c>
      <c r="AH11" s="34">
        <f t="shared" si="10"/>
        <v>0</v>
      </c>
      <c r="AI11" s="32">
        <f>'7. NLTF rollup'!W10</f>
        <v>5870.3412523396355</v>
      </c>
      <c r="AJ11" s="33">
        <v>5870.3412523396364</v>
      </c>
      <c r="AK11" s="34">
        <f t="shared" si="11"/>
        <v>0</v>
      </c>
    </row>
    <row r="12" spans="1:37" x14ac:dyDescent="0.3">
      <c r="A12" s="11">
        <v>2031</v>
      </c>
      <c r="B12" s="32">
        <f>'6. Rates &amp; revenue'!H11</f>
        <v>2551.53487982569</v>
      </c>
      <c r="C12" s="33">
        <v>2551.53487982569</v>
      </c>
      <c r="D12" s="34">
        <f t="shared" si="0"/>
        <v>0</v>
      </c>
      <c r="E12" s="32">
        <f>'6. Rates &amp; revenue'!I11</f>
        <v>2500.8287401414341</v>
      </c>
      <c r="F12" s="33">
        <v>2500.8287401414341</v>
      </c>
      <c r="G12" s="34">
        <f t="shared" si="1"/>
        <v>0</v>
      </c>
      <c r="H12" s="32">
        <f>'5. Light fleet split'!S11</f>
        <v>12487.253467365568</v>
      </c>
      <c r="I12" s="33">
        <v>12487.25346736557</v>
      </c>
      <c r="J12" s="34">
        <f t="shared" si="2"/>
        <v>0</v>
      </c>
      <c r="K12" s="32">
        <f>'5. Light fleet split'!P11</f>
        <v>3309.3272266398881</v>
      </c>
      <c r="L12" s="33">
        <v>3309.3272266398881</v>
      </c>
      <c r="M12" s="34">
        <f t="shared" si="3"/>
        <v>0</v>
      </c>
      <c r="N12" s="32">
        <f>'5. Light fleet split'!Q11</f>
        <v>1773.3444270990617</v>
      </c>
      <c r="O12" s="33">
        <v>1773.3444270990619</v>
      </c>
      <c r="P12" s="34">
        <f t="shared" si="4"/>
        <v>0</v>
      </c>
      <c r="Q12" s="32">
        <f>'6. Rates &amp; revenue'!M11</f>
        <v>1171.1795027042183</v>
      </c>
      <c r="R12" s="33">
        <v>1171.1795027042181</v>
      </c>
      <c r="S12" s="34">
        <f t="shared" si="5"/>
        <v>0</v>
      </c>
      <c r="T12" s="32">
        <f>'6. Rates &amp; revenue'!Q11</f>
        <v>310.38180058655513</v>
      </c>
      <c r="U12" s="33">
        <v>310.38180058655519</v>
      </c>
      <c r="V12" s="34">
        <f t="shared" si="6"/>
        <v>0</v>
      </c>
      <c r="W12" s="32">
        <f>'6. Rates &amp; revenue'!U11</f>
        <v>82.026046475467268</v>
      </c>
      <c r="X12" s="33">
        <v>82.026046475467268</v>
      </c>
      <c r="Y12" s="34">
        <f t="shared" si="7"/>
        <v>0</v>
      </c>
      <c r="Z12" s="32">
        <f>'6. Rates &amp; revenue'!Y11</f>
        <v>1633.4365044916576</v>
      </c>
      <c r="AA12" s="33">
        <v>1633.4365044916581</v>
      </c>
      <c r="AB12" s="34">
        <f t="shared" si="8"/>
        <v>0</v>
      </c>
      <c r="AC12" s="32">
        <f>'7. NLTF rollup'!G11</f>
        <v>2438.886734172821</v>
      </c>
      <c r="AD12" s="33">
        <v>2438.886734172821</v>
      </c>
      <c r="AE12" s="34">
        <f t="shared" si="9"/>
        <v>0</v>
      </c>
      <c r="AF12" s="32">
        <f>'7. NLTF rollup'!P11</f>
        <v>3196.3099134767954</v>
      </c>
      <c r="AG12" s="33">
        <v>3196.3099134767958</v>
      </c>
      <c r="AH12" s="34">
        <f t="shared" si="10"/>
        <v>0</v>
      </c>
      <c r="AI12" s="32">
        <f>'7. NLTF rollup'!W11</f>
        <v>6128.0848855248123</v>
      </c>
      <c r="AJ12" s="33">
        <v>6128.0848855248132</v>
      </c>
      <c r="AK12" s="34">
        <f t="shared" si="11"/>
        <v>0</v>
      </c>
    </row>
    <row r="13" spans="1:37" x14ac:dyDescent="0.3">
      <c r="A13" s="11">
        <v>2032</v>
      </c>
      <c r="B13" s="32">
        <f>'6. Rates &amp; revenue'!H12</f>
        <v>2485.1021477301406</v>
      </c>
      <c r="C13" s="33">
        <v>2485.1021477301401</v>
      </c>
      <c r="D13" s="34">
        <f t="shared" si="0"/>
        <v>0</v>
      </c>
      <c r="E13" s="32">
        <f>'6. Rates &amp; revenue'!I12</f>
        <v>2535.1543658532887</v>
      </c>
      <c r="F13" s="33">
        <v>2535.1543658532878</v>
      </c>
      <c r="G13" s="34">
        <f t="shared" si="1"/>
        <v>0</v>
      </c>
      <c r="H13" s="32">
        <f>'5. Light fleet split'!S12</f>
        <v>12443.786196180346</v>
      </c>
      <c r="I13" s="33">
        <v>12443.78619618035</v>
      </c>
      <c r="J13" s="34">
        <f t="shared" si="2"/>
        <v>0</v>
      </c>
      <c r="K13" s="32">
        <f>'5. Light fleet split'!P12</f>
        <v>3932.3969667462411</v>
      </c>
      <c r="L13" s="33">
        <v>3932.3969667462411</v>
      </c>
      <c r="M13" s="34">
        <f t="shared" si="3"/>
        <v>0</v>
      </c>
      <c r="N13" s="32">
        <f>'5. Light fleet split'!Q12</f>
        <v>2051.3416939625859</v>
      </c>
      <c r="O13" s="33">
        <v>2051.3416939625859</v>
      </c>
      <c r="P13" s="34">
        <f t="shared" si="4"/>
        <v>0</v>
      </c>
      <c r="Q13" s="32">
        <f>'6. Rates &amp; revenue'!M12</f>
        <v>1214.7001895401424</v>
      </c>
      <c r="R13" s="33">
        <v>1214.700189540142</v>
      </c>
      <c r="S13" s="34">
        <f t="shared" si="5"/>
        <v>0</v>
      </c>
      <c r="T13" s="32">
        <f>'6. Rates &amp; revenue'!Q12</f>
        <v>383.86092990893411</v>
      </c>
      <c r="U13" s="33">
        <v>383.86092990893411</v>
      </c>
      <c r="V13" s="34">
        <f t="shared" si="6"/>
        <v>0</v>
      </c>
      <c r="W13" s="32">
        <f>'6. Rates &amp; revenue'!U12</f>
        <v>98.751589147358601</v>
      </c>
      <c r="X13" s="33">
        <v>98.751589147358601</v>
      </c>
      <c r="Y13" s="34">
        <f t="shared" si="7"/>
        <v>0</v>
      </c>
      <c r="Z13" s="32">
        <f>'6. Rates &amp; revenue'!Y12</f>
        <v>1712.6277213759618</v>
      </c>
      <c r="AA13" s="33">
        <v>1712.627721375962</v>
      </c>
      <c r="AB13" s="34">
        <f t="shared" si="8"/>
        <v>0</v>
      </c>
      <c r="AC13" s="32">
        <f>'7. NLTF rollup'!G12</f>
        <v>2470.9260382113143</v>
      </c>
      <c r="AD13" s="33">
        <v>2470.9260382113139</v>
      </c>
      <c r="AE13" s="34">
        <f t="shared" si="9"/>
        <v>0</v>
      </c>
      <c r="AF13" s="32">
        <f>'7. NLTF rollup'!P12</f>
        <v>3418.0058377292521</v>
      </c>
      <c r="AG13" s="33">
        <v>3418.005837729253</v>
      </c>
      <c r="AH13" s="34">
        <f t="shared" si="10"/>
        <v>0</v>
      </c>
      <c r="AI13" s="32">
        <f>'7. NLTF rollup'!W12</f>
        <v>6377.6337689335032</v>
      </c>
      <c r="AJ13" s="33">
        <v>6377.6337689335032</v>
      </c>
      <c r="AK13" s="34">
        <f t="shared" si="11"/>
        <v>0</v>
      </c>
    </row>
    <row r="14" spans="1:37" x14ac:dyDescent="0.3">
      <c r="A14" s="11">
        <v>2033</v>
      </c>
      <c r="B14" s="32">
        <f>'6. Rates &amp; revenue'!H13</f>
        <v>2413.0268398326716</v>
      </c>
      <c r="C14" s="33">
        <v>2413.0268398326721</v>
      </c>
      <c r="D14" s="34">
        <f t="shared" si="0"/>
        <v>0</v>
      </c>
      <c r="E14" s="32">
        <f>'6. Rates &amp; revenue'!I13</f>
        <v>2558.1630631120165</v>
      </c>
      <c r="F14" s="33">
        <v>2558.163063112017</v>
      </c>
      <c r="G14" s="34">
        <f t="shared" si="1"/>
        <v>0</v>
      </c>
      <c r="H14" s="32">
        <f>'5. Light fleet split'!S13</f>
        <v>12353.374444771867</v>
      </c>
      <c r="I14" s="33">
        <v>12353.374444771869</v>
      </c>
      <c r="J14" s="34">
        <f t="shared" si="2"/>
        <v>0</v>
      </c>
      <c r="K14" s="32">
        <f>'5. Light fleet split'!P13</f>
        <v>4653.288529828189</v>
      </c>
      <c r="L14" s="33">
        <v>4653.288529828189</v>
      </c>
      <c r="M14" s="34">
        <f t="shared" si="3"/>
        <v>0</v>
      </c>
      <c r="N14" s="32">
        <f>'5. Light fleet split'!Q13</f>
        <v>2337.0523222841671</v>
      </c>
      <c r="O14" s="33">
        <v>2337.052322284168</v>
      </c>
      <c r="P14" s="34">
        <f t="shared" si="4"/>
        <v>0</v>
      </c>
      <c r="Q14" s="32">
        <f>'6. Rates &amp; revenue'!M13</f>
        <v>1253.1880705498802</v>
      </c>
      <c r="R14" s="33">
        <v>1253.18807054988</v>
      </c>
      <c r="S14" s="34">
        <f t="shared" si="5"/>
        <v>0</v>
      </c>
      <c r="T14" s="32">
        <f>'6. Rates &amp; revenue'!Q13</f>
        <v>472.05285490842078</v>
      </c>
      <c r="U14" s="33">
        <v>472.05285490842078</v>
      </c>
      <c r="V14" s="34">
        <f t="shared" si="6"/>
        <v>0</v>
      </c>
      <c r="W14" s="32">
        <f>'6. Rates &amp; revenue'!U13</f>
        <v>116.91104242226538</v>
      </c>
      <c r="X14" s="33">
        <v>116.9110424222654</v>
      </c>
      <c r="Y14" s="34">
        <f t="shared" si="7"/>
        <v>0</v>
      </c>
      <c r="Z14" s="32">
        <f>'6. Rates &amp; revenue'!Y13</f>
        <v>1791.0516357601923</v>
      </c>
      <c r="AA14" s="33">
        <v>1791.0516357601921</v>
      </c>
      <c r="AB14" s="34">
        <f t="shared" si="8"/>
        <v>0</v>
      </c>
      <c r="AC14" s="32">
        <f>'7. NLTF rollup'!G13</f>
        <v>2492.3518722403519</v>
      </c>
      <c r="AD14" s="33">
        <v>2492.3518722403519</v>
      </c>
      <c r="AE14" s="34">
        <f t="shared" si="9"/>
        <v>0</v>
      </c>
      <c r="AF14" s="32">
        <f>'7. NLTF rollup'!P13</f>
        <v>3651.9687101532213</v>
      </c>
      <c r="AG14" s="33">
        <v>3651.9687101532209</v>
      </c>
      <c r="AH14" s="34">
        <f t="shared" si="10"/>
        <v>0</v>
      </c>
      <c r="AI14" s="32">
        <f>'7. NLTF rollup'!W13</f>
        <v>6629.1675134244933</v>
      </c>
      <c r="AJ14" s="33">
        <v>6629.1675134244933</v>
      </c>
      <c r="AK14" s="34">
        <f t="shared" si="11"/>
        <v>0</v>
      </c>
    </row>
    <row r="15" spans="1:37" x14ac:dyDescent="0.3">
      <c r="A15" s="11">
        <v>2034</v>
      </c>
      <c r="B15" s="32">
        <f>'6. Rates &amp; revenue'!H14</f>
        <v>2335.1990240626969</v>
      </c>
      <c r="C15" s="33">
        <v>2335.1990240626978</v>
      </c>
      <c r="D15" s="34">
        <f t="shared" si="0"/>
        <v>0</v>
      </c>
      <c r="E15" s="32">
        <f>'6. Rates &amp; revenue'!I14</f>
        <v>2569.0504381852161</v>
      </c>
      <c r="F15" s="33">
        <v>2569.050438185217</v>
      </c>
      <c r="G15" s="34">
        <f t="shared" si="1"/>
        <v>0</v>
      </c>
      <c r="H15" s="32">
        <f>'5. Light fleet split'!S14</f>
        <v>12202.093130254834</v>
      </c>
      <c r="I15" s="33">
        <v>12202.093130254831</v>
      </c>
      <c r="J15" s="34">
        <f t="shared" si="2"/>
        <v>0</v>
      </c>
      <c r="K15" s="32">
        <f>'5. Light fleet split'!P14</f>
        <v>5525.1261172997656</v>
      </c>
      <c r="L15" s="33">
        <v>5525.1261172997674</v>
      </c>
      <c r="M15" s="34">
        <f t="shared" si="3"/>
        <v>0</v>
      </c>
      <c r="N15" s="32">
        <f>'5. Light fleet split'!Q14</f>
        <v>2618.2433407221852</v>
      </c>
      <c r="O15" s="33">
        <v>2618.2433407221861</v>
      </c>
      <c r="P15" s="34">
        <f t="shared" si="4"/>
        <v>0</v>
      </c>
      <c r="Q15" s="32">
        <f>'6. Rates &amp; revenue'!M14</f>
        <v>1284.5753542875782</v>
      </c>
      <c r="R15" s="33">
        <v>1284.575354287578</v>
      </c>
      <c r="S15" s="34">
        <f t="shared" si="5"/>
        <v>0</v>
      </c>
      <c r="T15" s="32">
        <f>'6. Rates &amp; revenue'!Q14</f>
        <v>581.65765199873238</v>
      </c>
      <c r="U15" s="33">
        <v>581.65765199873249</v>
      </c>
      <c r="V15" s="34">
        <f t="shared" si="6"/>
        <v>0</v>
      </c>
      <c r="W15" s="32">
        <f>'6. Rates &amp; revenue'!U14</f>
        <v>135.92610303359231</v>
      </c>
      <c r="X15" s="33">
        <v>135.92610303359231</v>
      </c>
      <c r="Y15" s="34">
        <f t="shared" si="7"/>
        <v>0</v>
      </c>
      <c r="Z15" s="32">
        <f>'6. Rates &amp; revenue'!Y14</f>
        <v>1871.1222859296267</v>
      </c>
      <c r="AA15" s="33">
        <v>1871.122285929627</v>
      </c>
      <c r="AB15" s="34">
        <f t="shared" si="8"/>
        <v>0</v>
      </c>
      <c r="AC15" s="32">
        <f>'7. NLTF rollup'!G14</f>
        <v>2502.1293954466159</v>
      </c>
      <c r="AD15" s="33">
        <v>2502.1293954466169</v>
      </c>
      <c r="AE15" s="34">
        <f t="shared" si="9"/>
        <v>0</v>
      </c>
      <c r="AF15" s="32">
        <f>'7. NLTF rollup'!P14</f>
        <v>3904.0580579078219</v>
      </c>
      <c r="AG15" s="33">
        <v>3904.0580579078219</v>
      </c>
      <c r="AH15" s="34">
        <f t="shared" si="10"/>
        <v>0</v>
      </c>
      <c r="AI15" s="32">
        <f>'7. NLTF rollup'!W14</f>
        <v>6887.4784711085485</v>
      </c>
      <c r="AJ15" s="33">
        <v>6887.4784711085504</v>
      </c>
      <c r="AK15" s="34">
        <f t="shared" si="11"/>
        <v>0</v>
      </c>
    </row>
    <row r="16" spans="1:37" x14ac:dyDescent="0.3">
      <c r="A16" s="11">
        <v>2035</v>
      </c>
      <c r="B16" s="32">
        <f>'6. Rates &amp; revenue'!H15</f>
        <v>2251.3088956488164</v>
      </c>
      <c r="C16" s="33">
        <v>2251.3088956488159</v>
      </c>
      <c r="D16" s="34">
        <f t="shared" si="0"/>
        <v>0</v>
      </c>
      <c r="E16" s="32">
        <f>'6. Rates &amp; revenue'!I15</f>
        <v>2566.7069046556485</v>
      </c>
      <c r="F16" s="33">
        <v>2566.706904655648</v>
      </c>
      <c r="G16" s="34">
        <f t="shared" si="1"/>
        <v>0</v>
      </c>
      <c r="H16" s="32">
        <f>'5. Light fleet split'!S15</f>
        <v>11983.806016872628</v>
      </c>
      <c r="I16" s="33">
        <v>11983.80601687263</v>
      </c>
      <c r="J16" s="34">
        <f t="shared" si="2"/>
        <v>0</v>
      </c>
      <c r="K16" s="32">
        <f>'5. Light fleet split'!P15</f>
        <v>6577.4708049646697</v>
      </c>
      <c r="L16" s="33">
        <v>6577.4708049646688</v>
      </c>
      <c r="M16" s="34">
        <f t="shared" si="3"/>
        <v>0</v>
      </c>
      <c r="N16" s="32">
        <f>'5. Light fleet split'!Q15</f>
        <v>2885.4064475379196</v>
      </c>
      <c r="O16" s="33">
        <v>2885.4064475379191</v>
      </c>
      <c r="P16" s="34">
        <f t="shared" si="4"/>
        <v>0</v>
      </c>
      <c r="Q16" s="32">
        <f>'6. Rates &amp; revenue'!M15</f>
        <v>1307.4332364408006</v>
      </c>
      <c r="R16" s="33">
        <v>1307.433236440801</v>
      </c>
      <c r="S16" s="34">
        <f t="shared" si="5"/>
        <v>0</v>
      </c>
      <c r="T16" s="32">
        <f>'6. Rates &amp; revenue'!Q15</f>
        <v>717.60206482164574</v>
      </c>
      <c r="U16" s="33">
        <v>717.60206482164563</v>
      </c>
      <c r="V16" s="34">
        <f t="shared" si="6"/>
        <v>0</v>
      </c>
      <c r="W16" s="32">
        <f>'6. Rates &amp; revenue'!U15</f>
        <v>155.23486687753945</v>
      </c>
      <c r="X16" s="33">
        <v>155.23486687753939</v>
      </c>
      <c r="Y16" s="34">
        <f t="shared" si="7"/>
        <v>0</v>
      </c>
      <c r="Z16" s="32">
        <f>'6. Rates &amp; revenue'!Y15</f>
        <v>1951.6516638347694</v>
      </c>
      <c r="AA16" s="33">
        <v>1951.65166383477</v>
      </c>
      <c r="AB16" s="34">
        <f t="shared" si="8"/>
        <v>0</v>
      </c>
      <c r="AC16" s="32">
        <f>'7. NLTF rollup'!G15</f>
        <v>2499.3528286790847</v>
      </c>
      <c r="AD16" s="33">
        <v>2499.3528286790852</v>
      </c>
      <c r="AE16" s="34">
        <f t="shared" si="9"/>
        <v>0</v>
      </c>
      <c r="AF16" s="32">
        <f>'7. NLTF rollup'!P15</f>
        <v>4175.859949622989</v>
      </c>
      <c r="AG16" s="33">
        <v>4175.859949622989</v>
      </c>
      <c r="AH16" s="34">
        <f t="shared" si="10"/>
        <v>0</v>
      </c>
      <c r="AI16" s="32">
        <f>'7. NLTF rollup'!W15</f>
        <v>7153.2177553852553</v>
      </c>
      <c r="AJ16" s="33">
        <v>7153.2177553852571</v>
      </c>
      <c r="AK16" s="34">
        <f t="shared" si="11"/>
        <v>0</v>
      </c>
    </row>
    <row r="17" spans="1:37" x14ac:dyDescent="0.3">
      <c r="A17" s="11">
        <v>2036</v>
      </c>
      <c r="B17" s="32">
        <f>'6. Rates &amp; revenue'!H16</f>
        <v>2162.034065819073</v>
      </c>
      <c r="C17" s="33">
        <v>2162.034065819073</v>
      </c>
      <c r="D17" s="34">
        <f t="shared" si="0"/>
        <v>0</v>
      </c>
      <c r="E17" s="32">
        <f>'6. Rates &amp; revenue'!I16</f>
        <v>2551.3628546556306</v>
      </c>
      <c r="F17" s="33">
        <v>2551.3628546556311</v>
      </c>
      <c r="G17" s="34">
        <f t="shared" si="1"/>
        <v>0</v>
      </c>
      <c r="H17" s="32">
        <f>'5. Light fleet split'!S16</f>
        <v>11707.072792303188</v>
      </c>
      <c r="I17" s="33">
        <v>11707.07279230319</v>
      </c>
      <c r="J17" s="34">
        <f t="shared" si="2"/>
        <v>0</v>
      </c>
      <c r="K17" s="32">
        <f>'5. Light fleet split'!P16</f>
        <v>7824.394382485204</v>
      </c>
      <c r="L17" s="33">
        <v>7824.394382485204</v>
      </c>
      <c r="M17" s="34">
        <f t="shared" si="3"/>
        <v>0</v>
      </c>
      <c r="N17" s="32">
        <f>'5. Light fleet split'!Q16</f>
        <v>3102.8629273650058</v>
      </c>
      <c r="O17" s="33">
        <v>3102.8629273650058</v>
      </c>
      <c r="P17" s="34">
        <f t="shared" si="4"/>
        <v>0</v>
      </c>
      <c r="Q17" s="32">
        <f>'6. Rates &amp; revenue'!M16</f>
        <v>1322.0211950708322</v>
      </c>
      <c r="R17" s="33">
        <v>1322.0211950708319</v>
      </c>
      <c r="S17" s="34">
        <f t="shared" si="5"/>
        <v>0</v>
      </c>
      <c r="T17" s="32">
        <f>'6. Rates &amp; revenue'!Q16</f>
        <v>883.56973564214161</v>
      </c>
      <c r="U17" s="33">
        <v>883.56973564214161</v>
      </c>
      <c r="V17" s="34">
        <f t="shared" si="6"/>
        <v>0</v>
      </c>
      <c r="W17" s="32">
        <f>'6. Rates &amp; revenue'!U16</f>
        <v>172.7829221103199</v>
      </c>
      <c r="X17" s="33">
        <v>172.7829221103199</v>
      </c>
      <c r="Y17" s="34">
        <f t="shared" si="7"/>
        <v>0</v>
      </c>
      <c r="Z17" s="32">
        <f>'6. Rates &amp; revenue'!Y16</f>
        <v>2031.6756398732564</v>
      </c>
      <c r="AA17" s="33">
        <v>2031.6756398732559</v>
      </c>
      <c r="AB17" s="34">
        <f t="shared" si="8"/>
        <v>0</v>
      </c>
      <c r="AC17" s="32">
        <f>'7. NLTF rollup'!G16</f>
        <v>2484.4090019592109</v>
      </c>
      <c r="AD17" s="33">
        <v>2484.4090019592109</v>
      </c>
      <c r="AE17" s="34">
        <f t="shared" si="9"/>
        <v>0</v>
      </c>
      <c r="AF17" s="32">
        <f>'7. NLTF rollup'!P16</f>
        <v>4469.188842286645</v>
      </c>
      <c r="AG17" s="33">
        <v>4469.1888422866459</v>
      </c>
      <c r="AH17" s="34">
        <f t="shared" si="10"/>
        <v>0</v>
      </c>
      <c r="AI17" s="32">
        <f>'7. NLTF rollup'!W16</f>
        <v>7428.5604053489769</v>
      </c>
      <c r="AJ17" s="33">
        <v>7428.5604053489769</v>
      </c>
      <c r="AK17" s="34">
        <f t="shared" si="11"/>
        <v>0</v>
      </c>
    </row>
    <row r="18" spans="1:37" x14ac:dyDescent="0.3">
      <c r="A18" s="11">
        <v>2037</v>
      </c>
      <c r="B18" s="32">
        <f>'6. Rates &amp; revenue'!H17</f>
        <v>2065.2836171636741</v>
      </c>
      <c r="C18" s="33">
        <v>2065.2836171636741</v>
      </c>
      <c r="D18" s="34">
        <f t="shared" si="0"/>
        <v>0</v>
      </c>
      <c r="E18" s="32">
        <f>'6. Rates &amp; revenue'!I17</f>
        <v>2519.7254619454084</v>
      </c>
      <c r="F18" s="33">
        <v>2519.7254619454079</v>
      </c>
      <c r="G18" s="34">
        <f t="shared" si="1"/>
        <v>0</v>
      </c>
      <c r="H18" s="32">
        <f>'5. Light fleet split'!S17</f>
        <v>11354.383724674677</v>
      </c>
      <c r="I18" s="33">
        <v>11354.383724674681</v>
      </c>
      <c r="J18" s="34">
        <f t="shared" si="2"/>
        <v>0</v>
      </c>
      <c r="K18" s="32">
        <f>'5. Light fleet split'!P17</f>
        <v>9296.155524838683</v>
      </c>
      <c r="L18" s="33">
        <v>9296.1555248386849</v>
      </c>
      <c r="M18" s="34">
        <f t="shared" si="3"/>
        <v>0</v>
      </c>
      <c r="N18" s="32">
        <f>'5. Light fleet split'!Q17</f>
        <v>3264.618937537598</v>
      </c>
      <c r="O18" s="33">
        <v>3264.618937537598</v>
      </c>
      <c r="P18" s="34">
        <f t="shared" si="4"/>
        <v>0</v>
      </c>
      <c r="Q18" s="32">
        <f>'6. Rates &amp; revenue'!M17</f>
        <v>1325.6810717743986</v>
      </c>
      <c r="R18" s="33">
        <v>1325.681071774399</v>
      </c>
      <c r="S18" s="34">
        <f t="shared" si="5"/>
        <v>0</v>
      </c>
      <c r="T18" s="32">
        <f>'6. Rates &amp; revenue'!Q17</f>
        <v>1085.3726383025382</v>
      </c>
      <c r="U18" s="33">
        <v>1085.372638302538</v>
      </c>
      <c r="V18" s="34">
        <f t="shared" si="6"/>
        <v>0</v>
      </c>
      <c r="W18" s="32">
        <f>'6. Rates &amp; revenue'!U17</f>
        <v>187.96043532872753</v>
      </c>
      <c r="X18" s="33">
        <v>187.96043532872761</v>
      </c>
      <c r="Y18" s="34">
        <f t="shared" si="7"/>
        <v>0</v>
      </c>
      <c r="Z18" s="32">
        <f>'6. Rates &amp; revenue'!Y17</f>
        <v>2111.8127944919324</v>
      </c>
      <c r="AA18" s="33">
        <v>2111.8127944919329</v>
      </c>
      <c r="AB18" s="34">
        <f t="shared" si="8"/>
        <v>0</v>
      </c>
      <c r="AC18" s="32">
        <f>'7. NLTF rollup'!G17</f>
        <v>2454.0284400217529</v>
      </c>
      <c r="AD18" s="33">
        <v>2454.0284400217529</v>
      </c>
      <c r="AE18" s="34">
        <f t="shared" si="9"/>
        <v>0</v>
      </c>
      <c r="AF18" s="32">
        <f>'7. NLTF rollup'!P17</f>
        <v>4786.9981583773842</v>
      </c>
      <c r="AG18" s="33">
        <v>4786.9981583773852</v>
      </c>
      <c r="AH18" s="34">
        <f t="shared" si="10"/>
        <v>0</v>
      </c>
      <c r="AI18" s="32">
        <f>'7. NLTF rollup'!W17</f>
        <v>7713.166794367432</v>
      </c>
      <c r="AJ18" s="33">
        <v>7713.166794367432</v>
      </c>
      <c r="AK18" s="34">
        <f t="shared" si="11"/>
        <v>0</v>
      </c>
    </row>
    <row r="19" spans="1:37" x14ac:dyDescent="0.3">
      <c r="A19" s="11">
        <v>2038</v>
      </c>
      <c r="B19" s="32">
        <f>'6. Rates &amp; revenue'!H18</f>
        <v>1960.3977710656361</v>
      </c>
      <c r="C19" s="33">
        <v>1960.3977710656361</v>
      </c>
      <c r="D19" s="34">
        <f t="shared" si="0"/>
        <v>0</v>
      </c>
      <c r="E19" s="32">
        <f>'6. Rates &amp; revenue'!I18</f>
        <v>2470.1228220963894</v>
      </c>
      <c r="F19" s="33">
        <v>2470.122822096389</v>
      </c>
      <c r="G19" s="34">
        <f t="shared" si="1"/>
        <v>0</v>
      </c>
      <c r="H19" s="32">
        <f>'5. Light fleet split'!S18</f>
        <v>10938.210097846282</v>
      </c>
      <c r="I19" s="33">
        <v>10938.21009784628</v>
      </c>
      <c r="J19" s="34">
        <f t="shared" si="2"/>
        <v>0</v>
      </c>
      <c r="K19" s="32">
        <f>'5. Light fleet split'!P18</f>
        <v>10997.891391143085</v>
      </c>
      <c r="L19" s="33">
        <v>10997.891391143081</v>
      </c>
      <c r="M19" s="34">
        <f t="shared" si="3"/>
        <v>0</v>
      </c>
      <c r="N19" s="32">
        <f>'5. Light fleet split'!Q18</f>
        <v>3385.0219827345704</v>
      </c>
      <c r="O19" s="33">
        <v>3385.02198273457</v>
      </c>
      <c r="P19" s="34">
        <f t="shared" si="4"/>
        <v>0</v>
      </c>
      <c r="Q19" s="32">
        <f>'6. Rates &amp; revenue'!M18</f>
        <v>1318.9840646487944</v>
      </c>
      <c r="R19" s="33">
        <v>1318.9840646487939</v>
      </c>
      <c r="S19" s="34">
        <f t="shared" si="5"/>
        <v>0</v>
      </c>
      <c r="T19" s="32">
        <f>'6. Rates &amp; revenue'!Q18</f>
        <v>1326.1807334009891</v>
      </c>
      <c r="U19" s="33">
        <v>1326.1807334009891</v>
      </c>
      <c r="V19" s="34">
        <f t="shared" si="6"/>
        <v>0</v>
      </c>
      <c r="W19" s="32">
        <f>'6. Rates &amp; revenue'!U18</f>
        <v>201.29033220331081</v>
      </c>
      <c r="X19" s="33">
        <v>201.29033220331081</v>
      </c>
      <c r="Y19" s="34">
        <f t="shared" si="7"/>
        <v>0</v>
      </c>
      <c r="Z19" s="32">
        <f>'6. Rates &amp; revenue'!Y18</f>
        <v>2193.2826551238441</v>
      </c>
      <c r="AA19" s="33">
        <v>2193.2826551238441</v>
      </c>
      <c r="AB19" s="34">
        <f t="shared" si="8"/>
        <v>0</v>
      </c>
      <c r="AC19" s="32">
        <f>'7. NLTF rollup'!G18</f>
        <v>2406.6723691181951</v>
      </c>
      <c r="AD19" s="33">
        <v>2406.6723691181951</v>
      </c>
      <c r="AE19" s="34">
        <f t="shared" si="9"/>
        <v>0</v>
      </c>
      <c r="AF19" s="32">
        <f>'7. NLTF rollup'!P18</f>
        <v>5134.9027820086603</v>
      </c>
      <c r="AG19" s="33">
        <v>5134.9027820086603</v>
      </c>
      <c r="AH19" s="34">
        <f t="shared" si="10"/>
        <v>0</v>
      </c>
      <c r="AI19" s="32">
        <f>'7. NLTF rollup'!W18</f>
        <v>8011.0918791732938</v>
      </c>
      <c r="AJ19" s="33">
        <v>8011.0918791732938</v>
      </c>
      <c r="AK19" s="34">
        <f t="shared" si="11"/>
        <v>0</v>
      </c>
    </row>
    <row r="20" spans="1:37" x14ac:dyDescent="0.3">
      <c r="A20" s="11">
        <v>2039</v>
      </c>
      <c r="B20" s="32">
        <f>'6. Rates &amp; revenue'!H19</f>
        <v>1845.1753902107471</v>
      </c>
      <c r="C20" s="33">
        <v>1845.1753902107471</v>
      </c>
      <c r="D20" s="34">
        <f t="shared" si="0"/>
        <v>0</v>
      </c>
      <c r="E20" s="32">
        <f>'6. Rates &amp; revenue'!I19</f>
        <v>2398.6797887306989</v>
      </c>
      <c r="F20" s="33">
        <v>2398.679788730698</v>
      </c>
      <c r="G20" s="34">
        <f t="shared" si="1"/>
        <v>0</v>
      </c>
      <c r="H20" s="32">
        <f>'5. Light fleet split'!S19</f>
        <v>10445.381637419816</v>
      </c>
      <c r="I20" s="33">
        <v>10445.38163741982</v>
      </c>
      <c r="J20" s="34">
        <f t="shared" si="2"/>
        <v>0</v>
      </c>
      <c r="K20" s="32">
        <f>'5. Light fleet split'!P19</f>
        <v>12953.892263227051</v>
      </c>
      <c r="L20" s="33">
        <v>12953.89226322705</v>
      </c>
      <c r="M20" s="34">
        <f t="shared" si="3"/>
        <v>0</v>
      </c>
      <c r="N20" s="32">
        <f>'5. Light fleet split'!Q19</f>
        <v>3488.6868377865103</v>
      </c>
      <c r="O20" s="33">
        <v>3488.6868377865098</v>
      </c>
      <c r="P20" s="34">
        <f t="shared" si="4"/>
        <v>0</v>
      </c>
      <c r="Q20" s="32">
        <f>'6. Rates &amp; revenue'!M19</f>
        <v>1299.5099295113985</v>
      </c>
      <c r="R20" s="33">
        <v>1299.509929511398</v>
      </c>
      <c r="S20" s="34">
        <f t="shared" si="5"/>
        <v>0</v>
      </c>
      <c r="T20" s="32">
        <f>'6. Rates &amp; revenue'!Q19</f>
        <v>1611.5937364680726</v>
      </c>
      <c r="U20" s="33">
        <v>1611.5937364680719</v>
      </c>
      <c r="V20" s="34">
        <f t="shared" si="6"/>
        <v>0</v>
      </c>
      <c r="W20" s="32">
        <f>'6. Rates &amp; revenue'!U19</f>
        <v>214.03093749820263</v>
      </c>
      <c r="X20" s="33">
        <v>214.0309374982026</v>
      </c>
      <c r="Y20" s="34">
        <f t="shared" si="7"/>
        <v>0</v>
      </c>
      <c r="Z20" s="32">
        <f>'6. Rates &amp; revenue'!Y19</f>
        <v>2275.8018181720913</v>
      </c>
      <c r="AA20" s="33">
        <v>2275.8018181720909</v>
      </c>
      <c r="AB20" s="34">
        <f t="shared" si="8"/>
        <v>0</v>
      </c>
      <c r="AC20" s="32">
        <f>'7. NLTF rollup'!G19</f>
        <v>2338.4132866300065</v>
      </c>
      <c r="AD20" s="33">
        <v>2338.413286630006</v>
      </c>
      <c r="AE20" s="34">
        <f t="shared" si="9"/>
        <v>0</v>
      </c>
      <c r="AF20" s="32">
        <f>'7. NLTF rollup'!P19</f>
        <v>5516.9713943978386</v>
      </c>
      <c r="AG20" s="33">
        <v>5516.9713943978377</v>
      </c>
      <c r="AH20" s="34">
        <f t="shared" si="10"/>
        <v>0</v>
      </c>
      <c r="AI20" s="32">
        <f>'7. NLTF rollup'!W19</f>
        <v>8322.4578634965492</v>
      </c>
      <c r="AJ20" s="33">
        <v>8322.4578634965492</v>
      </c>
      <c r="AK20" s="34">
        <f t="shared" si="11"/>
        <v>0</v>
      </c>
    </row>
    <row r="21" spans="1:37" x14ac:dyDescent="0.3">
      <c r="A21" s="11">
        <v>2040</v>
      </c>
      <c r="B21" s="32">
        <f>'6. Rates &amp; revenue'!H20</f>
        <v>1721.9744191338787</v>
      </c>
      <c r="C21" s="33">
        <v>1721.9744191338791</v>
      </c>
      <c r="D21" s="34">
        <f t="shared" si="0"/>
        <v>0</v>
      </c>
      <c r="E21" s="32">
        <f>'6. Rates &amp; revenue'!I20</f>
        <v>2307.2956357339281</v>
      </c>
      <c r="F21" s="33">
        <v>2307.295635733929</v>
      </c>
      <c r="G21" s="34">
        <f t="shared" si="1"/>
        <v>0</v>
      </c>
      <c r="H21" s="32">
        <f>'5. Light fleet split'!S20</f>
        <v>9904.1814155984339</v>
      </c>
      <c r="I21" s="33">
        <v>9904.1814155984321</v>
      </c>
      <c r="J21" s="34">
        <f t="shared" si="2"/>
        <v>0</v>
      </c>
      <c r="K21" s="32">
        <f>'5. Light fleet split'!P20</f>
        <v>15158.012830984901</v>
      </c>
      <c r="L21" s="33">
        <v>15158.012830984901</v>
      </c>
      <c r="M21" s="34">
        <f t="shared" si="3"/>
        <v>0</v>
      </c>
      <c r="N21" s="32">
        <f>'5. Light fleet split'!Q20</f>
        <v>3529.019066841382</v>
      </c>
      <c r="O21" s="33">
        <v>3529.019066841382</v>
      </c>
      <c r="P21" s="34">
        <f t="shared" si="4"/>
        <v>0</v>
      </c>
      <c r="Q21" s="32">
        <f>'6. Rates &amp; revenue'!M20</f>
        <v>1270.0627038292655</v>
      </c>
      <c r="R21" s="33">
        <v>1270.062703829265</v>
      </c>
      <c r="S21" s="34">
        <f t="shared" si="5"/>
        <v>0</v>
      </c>
      <c r="T21" s="32">
        <f>'6. Rates &amp; revenue'!Q20</f>
        <v>1943.7877753813482</v>
      </c>
      <c r="U21" s="33">
        <v>1943.787775381348</v>
      </c>
      <c r="V21" s="34">
        <f t="shared" si="6"/>
        <v>0</v>
      </c>
      <c r="W21" s="32">
        <f>'6. Rates &amp; revenue'!U20</f>
        <v>223.15752069171478</v>
      </c>
      <c r="X21" s="33">
        <v>223.15752069171481</v>
      </c>
      <c r="Y21" s="34">
        <f t="shared" si="7"/>
        <v>0</v>
      </c>
      <c r="Z21" s="32">
        <f>'6. Rates &amp; revenue'!Y20</f>
        <v>2359.3452421774073</v>
      </c>
      <c r="AA21" s="33">
        <v>2359.3452421774082</v>
      </c>
      <c r="AB21" s="34">
        <f t="shared" si="8"/>
        <v>0</v>
      </c>
      <c r="AC21" s="32">
        <f>'7. NLTF rollup'!G20</f>
        <v>2251.0317393609303</v>
      </c>
      <c r="AD21" s="33">
        <v>2251.0317393609312</v>
      </c>
      <c r="AE21" s="34">
        <f t="shared" si="9"/>
        <v>0</v>
      </c>
      <c r="AF21" s="32">
        <f>'7. NLTF rollup'!P20</f>
        <v>5934.9304263670883</v>
      </c>
      <c r="AG21" s="33">
        <v>5934.9304263670892</v>
      </c>
      <c r="AH21" s="34">
        <f t="shared" si="10"/>
        <v>0</v>
      </c>
      <c r="AI21" s="32">
        <f>'7. NLTF rollup'!W20</f>
        <v>8650.7547052610062</v>
      </c>
      <c r="AJ21" s="33">
        <v>8650.7547052610098</v>
      </c>
      <c r="AK21" s="34">
        <f t="shared" si="11"/>
        <v>0</v>
      </c>
    </row>
    <row r="22" spans="1:37" x14ac:dyDescent="0.3">
      <c r="A22" s="11">
        <v>2041</v>
      </c>
      <c r="B22" s="32">
        <f>'6. Rates &amp; revenue'!H21</f>
        <v>1595.1746283664856</v>
      </c>
      <c r="C22" s="33">
        <v>1595.1746283664861</v>
      </c>
      <c r="D22" s="34">
        <f t="shared" si="0"/>
        <v>0</v>
      </c>
      <c r="E22" s="32">
        <f>'6. Rates &amp; revenue'!I21</f>
        <v>2201.1062642987254</v>
      </c>
      <c r="F22" s="33">
        <v>2201.1062642987249</v>
      </c>
      <c r="G22" s="34">
        <f t="shared" si="1"/>
        <v>0</v>
      </c>
      <c r="H22" s="32">
        <f>'5. Light fleet split'!S21</f>
        <v>9359.4198074896703</v>
      </c>
      <c r="I22" s="33">
        <v>9359.4198074896703</v>
      </c>
      <c r="J22" s="34">
        <f t="shared" si="2"/>
        <v>0</v>
      </c>
      <c r="K22" s="32">
        <f>'5. Light fleet split'!P21</f>
        <v>17523.680102152044</v>
      </c>
      <c r="L22" s="33">
        <v>17523.68010215204</v>
      </c>
      <c r="M22" s="34">
        <f t="shared" si="3"/>
        <v>0</v>
      </c>
      <c r="N22" s="32">
        <f>'5. Light fleet split'!Q21</f>
        <v>3485.5460041830188</v>
      </c>
      <c r="O22" s="33">
        <v>3485.5460041830188</v>
      </c>
      <c r="P22" s="34">
        <f t="shared" si="4"/>
        <v>0</v>
      </c>
      <c r="Q22" s="32">
        <f>'6. Rates &amp; revenue'!M21</f>
        <v>1236.0517768761235</v>
      </c>
      <c r="R22" s="33">
        <v>1236.051776876124</v>
      </c>
      <c r="S22" s="34">
        <f t="shared" si="5"/>
        <v>0</v>
      </c>
      <c r="T22" s="32">
        <f>'6. Rates &amp; revenue'!Q21</f>
        <v>2314.2648126907102</v>
      </c>
      <c r="U22" s="33">
        <v>2314.2648126907102</v>
      </c>
      <c r="V22" s="34">
        <f t="shared" si="6"/>
        <v>0</v>
      </c>
      <c r="W22" s="32">
        <f>'6. Rates &amp; revenue'!U21</f>
        <v>226.99618352241896</v>
      </c>
      <c r="X22" s="33">
        <v>226.99618352241899</v>
      </c>
      <c r="Y22" s="34">
        <f t="shared" si="7"/>
        <v>0</v>
      </c>
      <c r="Z22" s="32">
        <f>'6. Rates &amp; revenue'!Y21</f>
        <v>2443.64204676588</v>
      </c>
      <c r="AA22" s="33">
        <v>2443.64204676588</v>
      </c>
      <c r="AB22" s="34">
        <f t="shared" si="8"/>
        <v>0</v>
      </c>
      <c r="AC22" s="32">
        <f>'7. NLTF rollup'!G21</f>
        <v>2149.5555149197767</v>
      </c>
      <c r="AD22" s="33">
        <v>2149.5555149197771</v>
      </c>
      <c r="AE22" s="34">
        <f t="shared" si="9"/>
        <v>0</v>
      </c>
      <c r="AF22" s="32">
        <f>'7. NLTF rollup'!P21</f>
        <v>6384.031822242966</v>
      </c>
      <c r="AG22" s="33">
        <v>6384.0318222429669</v>
      </c>
      <c r="AH22" s="34">
        <f t="shared" si="10"/>
        <v>0</v>
      </c>
      <c r="AI22" s="32">
        <f>'7. NLTF rollup'!W21</f>
        <v>8996.2468679481062</v>
      </c>
      <c r="AJ22" s="33">
        <v>8996.2468679481099</v>
      </c>
      <c r="AK22" s="34">
        <f t="shared" si="11"/>
        <v>0</v>
      </c>
    </row>
    <row r="23" spans="1:37" x14ac:dyDescent="0.3">
      <c r="A23" s="11">
        <v>2042</v>
      </c>
      <c r="B23" s="32">
        <f>'6. Rates &amp; revenue'!H22</f>
        <v>1461.0466244171801</v>
      </c>
      <c r="C23" s="33">
        <v>1461.0466244171801</v>
      </c>
      <c r="D23" s="34">
        <f t="shared" si="0"/>
        <v>0</v>
      </c>
      <c r="E23" s="32">
        <f>'6. Rates &amp; revenue'!I22</f>
        <v>2074.4051002761453</v>
      </c>
      <c r="F23" s="33">
        <v>2074.4051002761448</v>
      </c>
      <c r="G23" s="34">
        <f t="shared" si="1"/>
        <v>0</v>
      </c>
      <c r="H23" s="32">
        <f>'5. Light fleet split'!S22</f>
        <v>8773.2309881453639</v>
      </c>
      <c r="I23" s="33">
        <v>8773.2309881453621</v>
      </c>
      <c r="J23" s="34">
        <f t="shared" si="2"/>
        <v>0</v>
      </c>
      <c r="K23" s="32">
        <f>'5. Light fleet split'!P22</f>
        <v>20041.122335177522</v>
      </c>
      <c r="L23" s="33">
        <v>20041.12233517753</v>
      </c>
      <c r="M23" s="34">
        <f t="shared" si="3"/>
        <v>0</v>
      </c>
      <c r="N23" s="32">
        <f>'5. Light fleet split'!Q22</f>
        <v>3424.5147828146532</v>
      </c>
      <c r="O23" s="33">
        <v>3424.5147828146542</v>
      </c>
      <c r="P23" s="34">
        <f t="shared" si="4"/>
        <v>0</v>
      </c>
      <c r="Q23" s="32">
        <f>'6. Rates &amp; revenue'!M22</f>
        <v>1192.1943589790731</v>
      </c>
      <c r="R23" s="33">
        <v>1192.1943589790731</v>
      </c>
      <c r="S23" s="34">
        <f t="shared" si="5"/>
        <v>0</v>
      </c>
      <c r="T23" s="32">
        <f>'6. Rates &amp; revenue'!Q22</f>
        <v>2723.3881141272732</v>
      </c>
      <c r="U23" s="33">
        <v>2723.3881141272741</v>
      </c>
      <c r="V23" s="34">
        <f t="shared" si="6"/>
        <v>0</v>
      </c>
      <c r="W23" s="32">
        <f>'6. Rates &amp; revenue'!U22</f>
        <v>229.49385817032388</v>
      </c>
      <c r="X23" s="33">
        <v>229.49385817032399</v>
      </c>
      <c r="Y23" s="34">
        <f t="shared" si="7"/>
        <v>0</v>
      </c>
      <c r="Z23" s="32">
        <f>'6. Rates &amp; revenue'!Y22</f>
        <v>2528.2173674675187</v>
      </c>
      <c r="AA23" s="33">
        <v>2528.2173674675191</v>
      </c>
      <c r="AB23" s="34">
        <f t="shared" si="8"/>
        <v>0</v>
      </c>
      <c r="AC23" s="32">
        <f>'7. NLTF rollup'!G22</f>
        <v>2028.7351518307582</v>
      </c>
      <c r="AD23" s="33">
        <v>2028.735151830758</v>
      </c>
      <c r="AE23" s="34">
        <f t="shared" si="9"/>
        <v>0</v>
      </c>
      <c r="AF23" s="32">
        <f>'7. NLTF rollup'!P22</f>
        <v>6869.5695856578859</v>
      </c>
      <c r="AG23" s="33">
        <v>6869.5695856578859</v>
      </c>
      <c r="AH23" s="34">
        <f t="shared" si="10"/>
        <v>0</v>
      </c>
      <c r="AI23" s="32">
        <f>'7. NLTF rollup'!W22</f>
        <v>9358.9651922056983</v>
      </c>
      <c r="AJ23" s="33">
        <v>9358.9651922056964</v>
      </c>
      <c r="AK23" s="34">
        <f t="shared" si="11"/>
        <v>0</v>
      </c>
    </row>
    <row r="24" spans="1:37" x14ac:dyDescent="0.3">
      <c r="A24" s="11">
        <v>2043</v>
      </c>
      <c r="B24" s="32">
        <f>'6. Rates &amp; revenue'!H23</f>
        <v>1328.3639800473809</v>
      </c>
      <c r="C24" s="33">
        <v>1328.3639800473809</v>
      </c>
      <c r="D24" s="34">
        <f t="shared" si="0"/>
        <v>0</v>
      </c>
      <c r="E24" s="32">
        <f>'6. Rates &amp; revenue'!I23</f>
        <v>1939.1789401885646</v>
      </c>
      <c r="F24" s="33">
        <v>1939.178940188564</v>
      </c>
      <c r="G24" s="34">
        <f t="shared" si="1"/>
        <v>0</v>
      </c>
      <c r="H24" s="32">
        <f>'5. Light fleet split'!S23</f>
        <v>8220.1392603853583</v>
      </c>
      <c r="I24" s="33">
        <v>8220.1392603853619</v>
      </c>
      <c r="J24" s="34">
        <f t="shared" si="2"/>
        <v>0</v>
      </c>
      <c r="K24" s="32">
        <f>'5. Light fleet split'!P23</f>
        <v>22559.829683940592</v>
      </c>
      <c r="L24" s="33">
        <v>22559.829683940588</v>
      </c>
      <c r="M24" s="34">
        <f t="shared" si="3"/>
        <v>0</v>
      </c>
      <c r="N24" s="32">
        <f>'5. Light fleet split'!Q23</f>
        <v>3349.8643266168924</v>
      </c>
      <c r="O24" s="33">
        <v>3349.864326616892</v>
      </c>
      <c r="P24" s="34">
        <f t="shared" si="4"/>
        <v>0</v>
      </c>
      <c r="Q24" s="32">
        <f>'6. Rates &amp; revenue'!M23</f>
        <v>1148.4767567647409</v>
      </c>
      <c r="R24" s="33">
        <v>1148.4767567647409</v>
      </c>
      <c r="S24" s="34">
        <f t="shared" si="5"/>
        <v>0</v>
      </c>
      <c r="T24" s="32">
        <f>'6. Rates &amp; revenue'!Q23</f>
        <v>3151.9466042917607</v>
      </c>
      <c r="U24" s="33">
        <v>3151.9466042917602</v>
      </c>
      <c r="V24" s="34">
        <f t="shared" si="6"/>
        <v>0</v>
      </c>
      <c r="W24" s="32">
        <f>'6. Rates &amp; revenue'!U23</f>
        <v>230.80565210390412</v>
      </c>
      <c r="X24" s="33">
        <v>230.80565210390409</v>
      </c>
      <c r="Y24" s="34">
        <f t="shared" si="7"/>
        <v>0</v>
      </c>
      <c r="Z24" s="32">
        <f>'6. Rates &amp; revenue'!Y23</f>
        <v>2614.3443671589225</v>
      </c>
      <c r="AA24" s="33">
        <v>2614.344367158923</v>
      </c>
      <c r="AB24" s="34">
        <f t="shared" si="8"/>
        <v>0</v>
      </c>
      <c r="AC24" s="32">
        <f>'7. NLTF rollup'!G23</f>
        <v>1899.8051986921487</v>
      </c>
      <c r="AD24" s="33">
        <v>1899.805198692148</v>
      </c>
      <c r="AE24" s="34">
        <f t="shared" si="9"/>
        <v>0</v>
      </c>
      <c r="AF24" s="32">
        <f>'7. NLTF rollup'!P23</f>
        <v>7379.7779333284798</v>
      </c>
      <c r="AG24" s="33">
        <v>7379.7779333284798</v>
      </c>
      <c r="AH24" s="34">
        <f t="shared" si="10"/>
        <v>0</v>
      </c>
      <c r="AI24" s="32">
        <f>'7. NLTF rollup'!W23</f>
        <v>9738.3661431054443</v>
      </c>
      <c r="AJ24" s="33">
        <v>9738.3661431054425</v>
      </c>
      <c r="AK24" s="34">
        <f t="shared" si="11"/>
        <v>0</v>
      </c>
    </row>
    <row r="25" spans="1:37" x14ac:dyDescent="0.3">
      <c r="A25" s="11">
        <v>2044</v>
      </c>
      <c r="B25" s="32">
        <f>'6. Rates &amp; revenue'!H24</f>
        <v>1203.1396798127666</v>
      </c>
      <c r="C25" s="33">
        <v>1203.1396798127671</v>
      </c>
      <c r="D25" s="34">
        <f t="shared" si="0"/>
        <v>0</v>
      </c>
      <c r="E25" s="32">
        <f>'6. Rates &amp; revenue'!I24</f>
        <v>1804.4881544046693</v>
      </c>
      <c r="F25" s="33">
        <v>1804.48815440467</v>
      </c>
      <c r="G25" s="34">
        <f t="shared" si="1"/>
        <v>0</v>
      </c>
      <c r="H25" s="32">
        <f>'5. Light fleet split'!S24</f>
        <v>7743.3038519600759</v>
      </c>
      <c r="I25" s="33">
        <v>7743.3038519600759</v>
      </c>
      <c r="J25" s="34">
        <f t="shared" si="2"/>
        <v>0</v>
      </c>
      <c r="K25" s="32">
        <f>'5. Light fleet split'!P24</f>
        <v>24951.256943187618</v>
      </c>
      <c r="L25" s="33">
        <v>24951.256943187611</v>
      </c>
      <c r="M25" s="34">
        <f t="shared" si="3"/>
        <v>0</v>
      </c>
      <c r="N25" s="32">
        <f>'5. Light fleet split'!Q24</f>
        <v>3271.4875686485716</v>
      </c>
      <c r="O25" s="33">
        <v>3271.4875686485721</v>
      </c>
      <c r="P25" s="34">
        <f t="shared" si="4"/>
        <v>0</v>
      </c>
      <c r="Q25" s="32">
        <f>'6. Rates &amp; revenue'!M24</f>
        <v>1111.512551429606</v>
      </c>
      <c r="R25" s="33">
        <v>1111.512551429606</v>
      </c>
      <c r="S25" s="34">
        <f t="shared" si="5"/>
        <v>0</v>
      </c>
      <c r="T25" s="32">
        <f>'6. Rates &amp; revenue'!Q24</f>
        <v>3581.6281779098736</v>
      </c>
      <c r="U25" s="33">
        <v>3581.628177909874</v>
      </c>
      <c r="V25" s="34">
        <f t="shared" si="6"/>
        <v>0</v>
      </c>
      <c r="W25" s="32">
        <f>'6. Rates &amp; revenue'!U24</f>
        <v>231.57224754678901</v>
      </c>
      <c r="X25" s="33">
        <v>231.57224754678899</v>
      </c>
      <c r="Y25" s="34">
        <f t="shared" si="7"/>
        <v>0</v>
      </c>
      <c r="Z25" s="32">
        <f>'6. Rates &amp; revenue'!Y24</f>
        <v>2701.6519390000622</v>
      </c>
      <c r="AA25" s="33">
        <v>2701.6519390000631</v>
      </c>
      <c r="AB25" s="34">
        <f t="shared" si="8"/>
        <v>0</v>
      </c>
      <c r="AC25" s="32">
        <f>'7. NLTF rollup'!G24</f>
        <v>1771.349792299975</v>
      </c>
      <c r="AD25" s="33">
        <v>1771.349792299975</v>
      </c>
      <c r="AE25" s="34">
        <f t="shared" si="9"/>
        <v>0</v>
      </c>
      <c r="AF25" s="32">
        <f>'7. NLTF rollup'!P24</f>
        <v>7904.5055225396227</v>
      </c>
      <c r="AG25" s="33">
        <v>7904.5055225396236</v>
      </c>
      <c r="AH25" s="34">
        <f t="shared" si="10"/>
        <v>0</v>
      </c>
      <c r="AI25" s="32">
        <f>'7. NLTF rollup'!W24</f>
        <v>10132.871467293322</v>
      </c>
      <c r="AJ25" s="33">
        <v>10132.87146729332</v>
      </c>
      <c r="AK25" s="34">
        <f t="shared" si="11"/>
        <v>0</v>
      </c>
    </row>
    <row r="26" spans="1:37" x14ac:dyDescent="0.3">
      <c r="A26" s="11">
        <v>2045</v>
      </c>
      <c r="B26" s="32">
        <f>'6. Rates &amp; revenue'!H25</f>
        <v>1085.1679592113135</v>
      </c>
      <c r="C26" s="33">
        <v>1085.1679592113139</v>
      </c>
      <c r="D26" s="34">
        <f t="shared" si="0"/>
        <v>0</v>
      </c>
      <c r="E26" s="32">
        <f>'6. Rates &amp; revenue'!I25</f>
        <v>1670.9253849653242</v>
      </c>
      <c r="F26" s="33">
        <v>1670.9253849653239</v>
      </c>
      <c r="G26" s="34">
        <f t="shared" si="1"/>
        <v>0</v>
      </c>
      <c r="H26" s="32">
        <f>'5. Light fleet split'!S25</f>
        <v>7325.3601026579599</v>
      </c>
      <c r="I26" s="33">
        <v>7325.3601026579581</v>
      </c>
      <c r="J26" s="34">
        <f t="shared" si="2"/>
        <v>0</v>
      </c>
      <c r="K26" s="32">
        <f>'5. Light fleet split'!P25</f>
        <v>27239.237919078118</v>
      </c>
      <c r="L26" s="33">
        <v>27239.237919078121</v>
      </c>
      <c r="M26" s="34">
        <f t="shared" si="3"/>
        <v>0</v>
      </c>
      <c r="N26" s="32">
        <f>'5. Light fleet split'!Q25</f>
        <v>3183.6552864698647</v>
      </c>
      <c r="O26" s="33">
        <v>3183.6552864698651</v>
      </c>
      <c r="P26" s="34">
        <f t="shared" si="4"/>
        <v>0</v>
      </c>
      <c r="Q26" s="32">
        <f>'6. Rates &amp; revenue'!M25</f>
        <v>1079.5749451292193</v>
      </c>
      <c r="R26" s="33">
        <v>1079.574945129219</v>
      </c>
      <c r="S26" s="34">
        <f t="shared" si="5"/>
        <v>0</v>
      </c>
      <c r="T26" s="32">
        <f>'6. Rates &amp; revenue'!Q25</f>
        <v>4014.3826883241277</v>
      </c>
      <c r="U26" s="33">
        <v>4014.3826883241281</v>
      </c>
      <c r="V26" s="34">
        <f t="shared" si="6"/>
        <v>0</v>
      </c>
      <c r="W26" s="32">
        <f>'6. Rates &amp; revenue'!U25</f>
        <v>231.37214794419756</v>
      </c>
      <c r="X26" s="33">
        <v>231.37214794419759</v>
      </c>
      <c r="Y26" s="34">
        <f t="shared" si="7"/>
        <v>0</v>
      </c>
      <c r="Z26" s="32">
        <f>'6. Rates &amp; revenue'!Y25</f>
        <v>2790.0750406731686</v>
      </c>
      <c r="AA26" s="33">
        <v>2790.075040673169</v>
      </c>
      <c r="AB26" s="34">
        <f t="shared" si="8"/>
        <v>0</v>
      </c>
      <c r="AC26" s="32">
        <f>'7. NLTF rollup'!G25</f>
        <v>1643.7909684970846</v>
      </c>
      <c r="AD26" s="33">
        <v>1643.790968497085</v>
      </c>
      <c r="AE26" s="34">
        <f t="shared" si="9"/>
        <v>0</v>
      </c>
      <c r="AF26" s="32">
        <f>'7. NLTF rollup'!P25</f>
        <v>8443.6184286892985</v>
      </c>
      <c r="AG26" s="33">
        <v>8443.6184286893003</v>
      </c>
      <c r="AH26" s="34">
        <f t="shared" si="10"/>
        <v>0</v>
      </c>
      <c r="AI26" s="32">
        <f>'7. NLTF rollup'!W25</f>
        <v>10542.759348615808</v>
      </c>
      <c r="AJ26" s="33">
        <v>10542.759348615809</v>
      </c>
      <c r="AK26" s="34">
        <f t="shared" si="11"/>
        <v>0</v>
      </c>
    </row>
    <row r="27" spans="1:37" x14ac:dyDescent="0.3">
      <c r="A27" s="11">
        <v>2046</v>
      </c>
      <c r="B27" s="32">
        <f>'6. Rates &amp; revenue'!H26</f>
        <v>972.22799371215467</v>
      </c>
      <c r="C27" s="33">
        <v>972.22799371215501</v>
      </c>
      <c r="D27" s="34">
        <f t="shared" si="0"/>
        <v>0</v>
      </c>
      <c r="E27" s="32">
        <f>'6. Rates &amp; revenue'!I26</f>
        <v>1535.8723463542829</v>
      </c>
      <c r="F27" s="33">
        <v>1535.872346354284</v>
      </c>
      <c r="G27" s="34">
        <f t="shared" si="1"/>
        <v>0</v>
      </c>
      <c r="H27" s="32">
        <f>'5. Light fleet split'!S26</f>
        <v>6932.1779813758912</v>
      </c>
      <c r="I27" s="33">
        <v>6932.1779813758894</v>
      </c>
      <c r="J27" s="34">
        <f t="shared" si="2"/>
        <v>0</v>
      </c>
      <c r="K27" s="32">
        <f>'5. Light fleet split'!P26</f>
        <v>29491.90196953448</v>
      </c>
      <c r="L27" s="33">
        <v>29491.90196953448</v>
      </c>
      <c r="M27" s="34">
        <f t="shared" si="3"/>
        <v>0</v>
      </c>
      <c r="N27" s="32">
        <f>'5. Light fleet split'!Q26</f>
        <v>3080.4990964280018</v>
      </c>
      <c r="O27" s="33">
        <v>3080.4990964280018</v>
      </c>
      <c r="P27" s="34">
        <f t="shared" si="4"/>
        <v>0</v>
      </c>
      <c r="Q27" s="32">
        <f>'6. Rates &amp; revenue'!M26</f>
        <v>1048.1453107840337</v>
      </c>
      <c r="R27" s="33">
        <v>1048.145310784033</v>
      </c>
      <c r="S27" s="34">
        <f t="shared" si="5"/>
        <v>0</v>
      </c>
      <c r="T27" s="32">
        <f>'6. Rates &amp; revenue'!Q26</f>
        <v>4459.1755777936114</v>
      </c>
      <c r="U27" s="33">
        <v>4459.1755777936114</v>
      </c>
      <c r="V27" s="34">
        <f t="shared" si="6"/>
        <v>0</v>
      </c>
      <c r="W27" s="32">
        <f>'6. Rates &amp; revenue'!U26</f>
        <v>229.69741512515401</v>
      </c>
      <c r="X27" s="33">
        <v>229.69741512515401</v>
      </c>
      <c r="Y27" s="34">
        <f t="shared" si="7"/>
        <v>0</v>
      </c>
      <c r="Z27" s="32">
        <f>'6. Rates &amp; revenue'!Y26</f>
        <v>2879.6383230122533</v>
      </c>
      <c r="AA27" s="33">
        <v>2879.6383230122542</v>
      </c>
      <c r="AB27" s="34">
        <f t="shared" si="8"/>
        <v>0</v>
      </c>
      <c r="AC27" s="32">
        <f>'7. NLTF rollup'!G26</f>
        <v>1514.4008556151252</v>
      </c>
      <c r="AD27" s="33">
        <v>1514.4008556151259</v>
      </c>
      <c r="AE27" s="34">
        <f t="shared" si="9"/>
        <v>0</v>
      </c>
      <c r="AF27" s="32">
        <f>'7. NLTF rollup'!P26</f>
        <v>9001.2418078584942</v>
      </c>
      <c r="AG27" s="33">
        <v>9001.241807858496</v>
      </c>
      <c r="AH27" s="34">
        <f t="shared" si="10"/>
        <v>0</v>
      </c>
      <c r="AI27" s="32">
        <f>'7. NLTF rollup'!W26</f>
        <v>10969.418145531241</v>
      </c>
      <c r="AJ27" s="33">
        <v>10969.418145531239</v>
      </c>
      <c r="AK27" s="34">
        <f t="shared" si="11"/>
        <v>0</v>
      </c>
    </row>
    <row r="28" spans="1:37" x14ac:dyDescent="0.3">
      <c r="A28" s="11">
        <v>2047</v>
      </c>
      <c r="B28" s="32">
        <f>'6. Rates &amp; revenue'!H27</f>
        <v>866.32493384515112</v>
      </c>
      <c r="C28" s="33">
        <v>866.32493384515112</v>
      </c>
      <c r="D28" s="34">
        <f t="shared" si="0"/>
        <v>0</v>
      </c>
      <c r="E28" s="32">
        <f>'6. Rates &amp; revenue'!I27</f>
        <v>1403.2031204287364</v>
      </c>
      <c r="F28" s="33">
        <v>1403.2031204287359</v>
      </c>
      <c r="G28" s="34">
        <f t="shared" si="1"/>
        <v>0</v>
      </c>
      <c r="H28" s="32">
        <f>'5. Light fleet split'!S27</f>
        <v>6575.2320609768758</v>
      </c>
      <c r="I28" s="33">
        <v>6575.2320609768758</v>
      </c>
      <c r="J28" s="34">
        <f t="shared" si="2"/>
        <v>0</v>
      </c>
      <c r="K28" s="32">
        <f>'5. Light fleet split'!P27</f>
        <v>31658.280224088947</v>
      </c>
      <c r="L28" s="33">
        <v>31658.28022408895</v>
      </c>
      <c r="M28" s="34">
        <f t="shared" si="3"/>
        <v>0</v>
      </c>
      <c r="N28" s="32">
        <f>'5. Light fleet split'!Q27</f>
        <v>2972.892705105834</v>
      </c>
      <c r="O28" s="33">
        <v>2972.892705105834</v>
      </c>
      <c r="P28" s="34">
        <f t="shared" si="4"/>
        <v>0</v>
      </c>
      <c r="Q28" s="32">
        <f>'6. Rates &amp; revenue'!M27</f>
        <v>1019.3253502529406</v>
      </c>
      <c r="R28" s="33">
        <v>1019.325350252941</v>
      </c>
      <c r="S28" s="34">
        <f t="shared" si="5"/>
        <v>0</v>
      </c>
      <c r="T28" s="32">
        <f>'6. Rates &amp; revenue'!Q27</f>
        <v>4907.824891739383</v>
      </c>
      <c r="U28" s="33">
        <v>4907.824891739383</v>
      </c>
      <c r="V28" s="34">
        <f t="shared" si="6"/>
        <v>0</v>
      </c>
      <c r="W28" s="32">
        <f>'6. Rates &amp; revenue'!U27</f>
        <v>227.27764730534074</v>
      </c>
      <c r="X28" s="33">
        <v>227.27764730534079</v>
      </c>
      <c r="Y28" s="34">
        <f t="shared" si="7"/>
        <v>0</v>
      </c>
      <c r="Z28" s="32">
        <f>'6. Rates &amp; revenue'!Y27</f>
        <v>2970.369333531984</v>
      </c>
      <c r="AA28" s="33">
        <v>2970.369333531984</v>
      </c>
      <c r="AB28" s="34">
        <f t="shared" si="8"/>
        <v>0</v>
      </c>
      <c r="AC28" s="32">
        <f>'7. NLTF rollup'!G27</f>
        <v>1387.0467579983283</v>
      </c>
      <c r="AD28" s="33">
        <v>1387.0467579983281</v>
      </c>
      <c r="AE28" s="34">
        <f t="shared" si="9"/>
        <v>0</v>
      </c>
      <c r="AF28" s="32">
        <f>'7. NLTF rollup'!P27</f>
        <v>9572.3012209659482</v>
      </c>
      <c r="AG28" s="33">
        <v>9572.3012209659464</v>
      </c>
      <c r="AH28" s="34">
        <f t="shared" si="10"/>
        <v>0</v>
      </c>
      <c r="AI28" s="32">
        <f>'7. NLTF rollup'!W27</f>
        <v>11411.632692912977</v>
      </c>
      <c r="AJ28" s="33">
        <v>11411.632692912979</v>
      </c>
      <c r="AK28" s="34">
        <f t="shared" si="11"/>
        <v>0</v>
      </c>
    </row>
    <row r="29" spans="1:37" x14ac:dyDescent="0.3">
      <c r="A29" s="11">
        <v>2048</v>
      </c>
      <c r="B29" s="32">
        <f>'6. Rates &amp; revenue'!H28</f>
        <v>766.60892843816862</v>
      </c>
      <c r="C29" s="33">
        <v>766.60892843816839</v>
      </c>
      <c r="D29" s="34">
        <f t="shared" si="0"/>
        <v>0</v>
      </c>
      <c r="E29" s="32">
        <f>'6. Rates &amp; revenue'!I28</f>
        <v>1272.3678531654311</v>
      </c>
      <c r="F29" s="33">
        <v>1272.3678531654309</v>
      </c>
      <c r="G29" s="34">
        <f t="shared" si="1"/>
        <v>0</v>
      </c>
      <c r="H29" s="32">
        <f>'5. Light fleet split'!S28</f>
        <v>6245.5867771588382</v>
      </c>
      <c r="I29" s="33">
        <v>6245.5867771588346</v>
      </c>
      <c r="J29" s="34">
        <f t="shared" si="2"/>
        <v>0</v>
      </c>
      <c r="K29" s="32">
        <f>'5. Light fleet split'!P28</f>
        <v>33754.524319825265</v>
      </c>
      <c r="L29" s="33">
        <v>33754.524319825272</v>
      </c>
      <c r="M29" s="34">
        <f t="shared" si="3"/>
        <v>0</v>
      </c>
      <c r="N29" s="32">
        <f>'5. Light fleet split'!Q28</f>
        <v>2863.3275751129277</v>
      </c>
      <c r="O29" s="33">
        <v>2863.3275751129281</v>
      </c>
      <c r="P29" s="34">
        <f t="shared" si="4"/>
        <v>0</v>
      </c>
      <c r="Q29" s="32">
        <f>'6. Rates &amp; revenue'!M28</f>
        <v>992.14268748556674</v>
      </c>
      <c r="R29" s="33">
        <v>992.14268748556617</v>
      </c>
      <c r="S29" s="34">
        <f t="shared" si="5"/>
        <v>0</v>
      </c>
      <c r="T29" s="32">
        <f>'6. Rates &amp; revenue'!Q28</f>
        <v>5362.0749608258475</v>
      </c>
      <c r="U29" s="33">
        <v>5362.0749608258493</v>
      </c>
      <c r="V29" s="34">
        <f t="shared" si="6"/>
        <v>0</v>
      </c>
      <c r="W29" s="32">
        <f>'6. Rates &amp; revenue'!U28</f>
        <v>224.29876559647138</v>
      </c>
      <c r="X29" s="33">
        <v>224.29876559647141</v>
      </c>
      <c r="Y29" s="34">
        <f t="shared" si="7"/>
        <v>0</v>
      </c>
      <c r="Z29" s="32">
        <f>'6. Rates &amp; revenue'!Y28</f>
        <v>3062.2964041081382</v>
      </c>
      <c r="AA29" s="33">
        <v>3062.2964041081382</v>
      </c>
      <c r="AB29" s="34">
        <f t="shared" si="8"/>
        <v>0</v>
      </c>
      <c r="AC29" s="32">
        <f>'7. NLTF rollup'!G28</f>
        <v>1261.1039967523659</v>
      </c>
      <c r="AD29" s="33">
        <v>1261.103996752365</v>
      </c>
      <c r="AE29" s="34">
        <f t="shared" si="9"/>
        <v>0</v>
      </c>
      <c r="AF29" s="32">
        <f>'7. NLTF rollup'!P28</f>
        <v>10157.851899505971</v>
      </c>
      <c r="AG29" s="33">
        <v>10157.85189950598</v>
      </c>
      <c r="AH29" s="34">
        <f t="shared" si="10"/>
        <v>0</v>
      </c>
      <c r="AI29" s="32">
        <f>'7. NLTF rollup'!W28</f>
        <v>11869.826314053724</v>
      </c>
      <c r="AJ29" s="33">
        <v>11869.826314053729</v>
      </c>
      <c r="AK29" s="34">
        <f t="shared" si="11"/>
        <v>0</v>
      </c>
    </row>
    <row r="30" spans="1:37" x14ac:dyDescent="0.3">
      <c r="A30" s="11">
        <v>2049</v>
      </c>
      <c r="B30" s="32">
        <f>'6. Rates &amp; revenue'!H29</f>
        <v>675.51242418932782</v>
      </c>
      <c r="C30" s="33">
        <v>675.51242418932804</v>
      </c>
      <c r="D30" s="34">
        <f t="shared" si="0"/>
        <v>0</v>
      </c>
      <c r="E30" s="32">
        <f>'6. Rates &amp; revenue'!I29</f>
        <v>1148.1938660753865</v>
      </c>
      <c r="F30" s="33">
        <v>1148.1938660753869</v>
      </c>
      <c r="G30" s="34">
        <f t="shared" si="1"/>
        <v>0</v>
      </c>
      <c r="H30" s="32">
        <f>'5. Light fleet split'!S29</f>
        <v>5971.5111403608607</v>
      </c>
      <c r="I30" s="33">
        <v>5971.5111403608607</v>
      </c>
      <c r="J30" s="34">
        <f t="shared" si="2"/>
        <v>0</v>
      </c>
      <c r="K30" s="32">
        <f>'5. Light fleet split'!P29</f>
        <v>35712.108931914518</v>
      </c>
      <c r="L30" s="33">
        <v>35712.108931914518</v>
      </c>
      <c r="M30" s="34">
        <f t="shared" si="3"/>
        <v>0</v>
      </c>
      <c r="N30" s="32">
        <f>'5. Light fleet split'!Q29</f>
        <v>2756.0314523915226</v>
      </c>
      <c r="O30" s="33">
        <v>2756.0314523915222</v>
      </c>
      <c r="P30" s="34">
        <f t="shared" si="4"/>
        <v>0</v>
      </c>
      <c r="Q30" s="32">
        <f>'6. Rates &amp; revenue'!M29</f>
        <v>971.4752898696039</v>
      </c>
      <c r="R30" s="33">
        <v>971.47528986960401</v>
      </c>
      <c r="S30" s="34">
        <f t="shared" si="5"/>
        <v>0</v>
      </c>
      <c r="T30" s="32">
        <f>'6. Rates &amp; revenue'!Q29</f>
        <v>5809.824441588511</v>
      </c>
      <c r="U30" s="33">
        <v>5809.824441588511</v>
      </c>
      <c r="V30" s="34">
        <f t="shared" si="6"/>
        <v>0</v>
      </c>
      <c r="W30" s="32">
        <f>'6. Rates &amp; revenue'!U29</f>
        <v>221.10262326810977</v>
      </c>
      <c r="X30" s="33">
        <v>221.10262326810971</v>
      </c>
      <c r="Y30" s="34">
        <f t="shared" si="7"/>
        <v>0</v>
      </c>
      <c r="Z30" s="32">
        <f>'6. Rates &amp; revenue'!Y29</f>
        <v>3155.4485978142657</v>
      </c>
      <c r="AA30" s="33">
        <v>3155.4485978142661</v>
      </c>
      <c r="AB30" s="34">
        <f t="shared" si="8"/>
        <v>0</v>
      </c>
      <c r="AC30" s="32">
        <f>'7. NLTF rollup'!G29</f>
        <v>1141.4938582610841</v>
      </c>
      <c r="AD30" s="33">
        <v>1141.4938582610851</v>
      </c>
      <c r="AE30" s="34">
        <f t="shared" si="9"/>
        <v>0</v>
      </c>
      <c r="AF30" s="32">
        <f>'7. NLTF rollup'!P29</f>
        <v>10751.37288729212</v>
      </c>
      <c r="AG30" s="33">
        <v>10751.37288729212</v>
      </c>
      <c r="AH30" s="34">
        <f t="shared" si="10"/>
        <v>0</v>
      </c>
      <c r="AI30" s="32">
        <f>'7. NLTF rollup'!W29</f>
        <v>12342.392826623935</v>
      </c>
      <c r="AJ30" s="33">
        <v>12342.392826623931</v>
      </c>
      <c r="AK30" s="34">
        <f t="shared" si="11"/>
        <v>0</v>
      </c>
    </row>
    <row r="31" spans="1:37" x14ac:dyDescent="0.3">
      <c r="A31" s="11">
        <v>2050</v>
      </c>
      <c r="B31" s="32">
        <f>'6. Rates &amp; revenue'!H30</f>
        <v>593.20135961311826</v>
      </c>
      <c r="C31" s="33">
        <v>593.20135961311826</v>
      </c>
      <c r="D31" s="34">
        <f t="shared" si="0"/>
        <v>0</v>
      </c>
      <c r="E31" s="32">
        <f>'6. Rates &amp; revenue'!I30</f>
        <v>1032.0361344921946</v>
      </c>
      <c r="F31" s="33">
        <v>1032.0361344921951</v>
      </c>
      <c r="G31" s="34">
        <f t="shared" si="1"/>
        <v>0</v>
      </c>
      <c r="H31" s="32">
        <f>'5. Light fleet split'!S30</f>
        <v>5760.3024403158706</v>
      </c>
      <c r="I31" s="33">
        <v>5760.3024403158706</v>
      </c>
      <c r="J31" s="34">
        <f t="shared" si="2"/>
        <v>0</v>
      </c>
      <c r="K31" s="32">
        <f>'5. Light fleet split'!P30</f>
        <v>37517.252911331008</v>
      </c>
      <c r="L31" s="33">
        <v>37517.252911331001</v>
      </c>
      <c r="M31" s="34">
        <f t="shared" si="3"/>
        <v>0</v>
      </c>
      <c r="N31" s="32">
        <f>'5. Light fleet split'!Q30</f>
        <v>2651.9312475662505</v>
      </c>
      <c r="O31" s="33">
        <v>2651.93124756625</v>
      </c>
      <c r="P31" s="34">
        <f t="shared" si="4"/>
        <v>0</v>
      </c>
      <c r="Q31" s="32">
        <f>'6. Rates &amp; revenue'!M30</f>
        <v>959.14795933699634</v>
      </c>
      <c r="R31" s="33">
        <v>959.14795933699645</v>
      </c>
      <c r="S31" s="34">
        <f t="shared" si="5"/>
        <v>0</v>
      </c>
      <c r="T31" s="32">
        <f>'6. Rates &amp; revenue'!Q30</f>
        <v>6246.997782265722</v>
      </c>
      <c r="U31" s="33">
        <v>6246.9977822657202</v>
      </c>
      <c r="V31" s="34">
        <f t="shared" si="6"/>
        <v>0</v>
      </c>
      <c r="W31" s="32">
        <f>'6. Rates &amp; revenue'!U30</f>
        <v>217.75007473766468</v>
      </c>
      <c r="X31" s="33">
        <v>217.75007473766459</v>
      </c>
      <c r="Y31" s="34">
        <f t="shared" si="7"/>
        <v>0</v>
      </c>
      <c r="Z31" s="32">
        <f>'6. Rates &amp; revenue'!Y30</f>
        <v>3249.8557288312481</v>
      </c>
      <c r="AA31" s="33">
        <v>3249.8557288312481</v>
      </c>
      <c r="AB31" s="34">
        <f t="shared" si="8"/>
        <v>0</v>
      </c>
      <c r="AC31" s="32">
        <f>'7. NLTF rollup'!G30</f>
        <v>1029.5881005254075</v>
      </c>
      <c r="AD31" s="33">
        <v>1029.588100525408</v>
      </c>
      <c r="AE31" s="34">
        <f t="shared" si="9"/>
        <v>0</v>
      </c>
      <c r="AF31" s="32">
        <f>'7. NLTF rollup'!P30</f>
        <v>11349.701631731577</v>
      </c>
      <c r="AG31" s="33">
        <v>11349.701631731579</v>
      </c>
      <c r="AH31" s="34">
        <f t="shared" si="10"/>
        <v>0</v>
      </c>
      <c r="AI31" s="32">
        <f>'7. NLTF rollup'!W30</f>
        <v>12827.535565068747</v>
      </c>
      <c r="AJ31" s="33">
        <v>12827.53556506874</v>
      </c>
      <c r="AK31" s="34">
        <f t="shared" si="11"/>
        <v>0</v>
      </c>
    </row>
    <row r="32" spans="1:37" x14ac:dyDescent="0.3">
      <c r="A32" s="16" t="s">
        <v>371</v>
      </c>
      <c r="D32" s="34">
        <f>MAX(MAX(D7:D31),-MIN(D7:D31))</f>
        <v>0</v>
      </c>
      <c r="G32" s="34">
        <f>MAX(MAX(G7:G31),-MIN(G7:G31))</f>
        <v>0</v>
      </c>
      <c r="J32" s="34">
        <f>MAX(MAX(J7:J31),-MIN(J7:J31))</f>
        <v>0</v>
      </c>
      <c r="M32" s="34">
        <f>MAX(MAX(M7:M31),-MIN(M7:M31))</f>
        <v>0</v>
      </c>
      <c r="P32" s="34">
        <f>MAX(MAX(P7:P31),-MIN(P7:P31))</f>
        <v>0</v>
      </c>
      <c r="S32" s="34">
        <f>MAX(MAX(S7:S31),-MIN(S7:S31))</f>
        <v>0</v>
      </c>
      <c r="V32" s="34">
        <f>MAX(MAX(V7:V31),-MIN(V7:V31))</f>
        <v>0</v>
      </c>
      <c r="Y32" s="34">
        <f>MAX(MAX(Y7:Y31),-MIN(Y7:Y31))</f>
        <v>0</v>
      </c>
      <c r="AB32" s="34">
        <f>MAX(MAX(AB7:AB31),-MIN(AB7:AB31))</f>
        <v>0</v>
      </c>
      <c r="AE32" s="34">
        <f>MAX(MAX(AE7:AE31),-MIN(AE7:AE31))</f>
        <v>0</v>
      </c>
      <c r="AH32" s="34">
        <f>MAX(MAX(AH7:AH31),-MIN(AH7:AH31))</f>
        <v>0</v>
      </c>
      <c r="AK32" s="34">
        <f>MAX(MAX(AK7:AK31),-MIN(AK7:AK31))</f>
        <v>0</v>
      </c>
    </row>
    <row r="34" spans="1:1" x14ac:dyDescent="0.3">
      <c r="A34" s="37" t="str">
        <f>IF(MAX(B32:AK32)&lt;0.01,"MATCH: every line reconciles to the dashboard within $0.01m / 0.01m km","CHECK: a line differs - inspect the difference columns")</f>
        <v>MATCH: every line reconciles to the dashboard within $0.01m / 0.01m km</v>
      </c>
    </row>
  </sheetData>
  <mergeCells count="12">
    <mergeCell ref="AI5:AK5"/>
    <mergeCell ref="N5:P5"/>
    <mergeCell ref="B5:D5"/>
    <mergeCell ref="Q5:S5"/>
    <mergeCell ref="AF5:AH5"/>
    <mergeCell ref="T5:V5"/>
    <mergeCell ref="AC5:AE5"/>
    <mergeCell ref="E5:G5"/>
    <mergeCell ref="K5:M5"/>
    <mergeCell ref="H5:J5"/>
    <mergeCell ref="W5:Y5"/>
    <mergeCell ref="Z5:AB5"/>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29"/>
  <sheetViews>
    <sheetView showGridLines="0" workbookViewId="0"/>
  </sheetViews>
  <sheetFormatPr defaultRowHeight="14.4" x14ac:dyDescent="0.3"/>
  <cols>
    <col min="1" max="1" width="40" customWidth="1"/>
    <col min="2" max="2" width="30" customWidth="1"/>
    <col min="3" max="3" width="40" customWidth="1"/>
    <col min="4" max="4" width="44" customWidth="1"/>
    <col min="5" max="5" width="60" customWidth="1"/>
  </cols>
  <sheetData>
    <row r="1" spans="1:5" ht="17.399999999999999" x14ac:dyDescent="0.3">
      <c r="A1" s="1" t="s">
        <v>372</v>
      </c>
    </row>
    <row r="4" spans="1:5" x14ac:dyDescent="0.3">
      <c r="A4" s="3" t="s">
        <v>373</v>
      </c>
      <c r="B4" s="4"/>
      <c r="C4" s="4"/>
      <c r="D4" s="4"/>
      <c r="E4" s="4"/>
    </row>
    <row r="5" spans="1:5" x14ac:dyDescent="0.3">
      <c r="A5" s="10" t="s">
        <v>374</v>
      </c>
      <c r="B5" s="10" t="s">
        <v>375</v>
      </c>
      <c r="C5" s="10" t="s">
        <v>376</v>
      </c>
      <c r="D5" s="10" t="s">
        <v>377</v>
      </c>
      <c r="E5" s="10" t="s">
        <v>378</v>
      </c>
    </row>
    <row r="6" spans="1:5" ht="30" customHeight="1" x14ac:dyDescent="0.3">
      <c r="A6" s="38" t="s">
        <v>379</v>
      </c>
      <c r="B6" s="39" t="s">
        <v>380</v>
      </c>
      <c r="C6" s="39" t="s">
        <v>381</v>
      </c>
      <c r="D6" s="39" t="s">
        <v>382</v>
      </c>
      <c r="E6" s="39" t="s">
        <v>383</v>
      </c>
    </row>
    <row r="7" spans="1:5" ht="30" customHeight="1" x14ac:dyDescent="0.3">
      <c r="A7" s="38" t="s">
        <v>384</v>
      </c>
      <c r="B7" s="39" t="s">
        <v>385</v>
      </c>
      <c r="C7" s="39" t="s">
        <v>386</v>
      </c>
      <c r="D7" s="39" t="s">
        <v>387</v>
      </c>
      <c r="E7" s="39" t="s">
        <v>388</v>
      </c>
    </row>
    <row r="8" spans="1:5" ht="30" customHeight="1" x14ac:dyDescent="0.3">
      <c r="A8" s="38" t="s">
        <v>389</v>
      </c>
      <c r="B8" s="39" t="s">
        <v>390</v>
      </c>
      <c r="C8" s="39" t="s">
        <v>391</v>
      </c>
      <c r="D8" s="39" t="s">
        <v>392</v>
      </c>
      <c r="E8" s="39" t="s">
        <v>393</v>
      </c>
    </row>
    <row r="9" spans="1:5" ht="30" customHeight="1" x14ac:dyDescent="0.3">
      <c r="A9" s="38" t="s">
        <v>394</v>
      </c>
      <c r="B9" s="39" t="s">
        <v>395</v>
      </c>
      <c r="C9" s="39" t="s">
        <v>396</v>
      </c>
      <c r="D9" s="39" t="s">
        <v>397</v>
      </c>
      <c r="E9" s="39" t="s">
        <v>398</v>
      </c>
    </row>
    <row r="10" spans="1:5" ht="30" customHeight="1" x14ac:dyDescent="0.3">
      <c r="A10" s="38" t="s">
        <v>399</v>
      </c>
      <c r="B10" s="39" t="s">
        <v>400</v>
      </c>
      <c r="C10" s="39" t="s">
        <v>401</v>
      </c>
      <c r="D10" s="39" t="s">
        <v>402</v>
      </c>
      <c r="E10" s="39" t="s">
        <v>403</v>
      </c>
    </row>
    <row r="11" spans="1:5" ht="30" customHeight="1" x14ac:dyDescent="0.3">
      <c r="A11" s="38" t="s">
        <v>404</v>
      </c>
      <c r="B11" s="39" t="s">
        <v>405</v>
      </c>
      <c r="C11" s="39" t="s">
        <v>406</v>
      </c>
      <c r="D11" s="39" t="s">
        <v>407</v>
      </c>
      <c r="E11" s="39" t="s">
        <v>408</v>
      </c>
    </row>
    <row r="12" spans="1:5" ht="30" customHeight="1" x14ac:dyDescent="0.3">
      <c r="A12" s="38" t="s">
        <v>409</v>
      </c>
      <c r="B12" s="39" t="s">
        <v>410</v>
      </c>
      <c r="C12" s="39" t="s">
        <v>411</v>
      </c>
      <c r="D12" s="39" t="s">
        <v>412</v>
      </c>
      <c r="E12" s="39" t="s">
        <v>413</v>
      </c>
    </row>
    <row r="13" spans="1:5" ht="30" customHeight="1" x14ac:dyDescent="0.3">
      <c r="A13" s="38" t="s">
        <v>414</v>
      </c>
      <c r="B13" s="39" t="s">
        <v>415</v>
      </c>
      <c r="C13" s="39" t="s">
        <v>416</v>
      </c>
      <c r="D13" s="39" t="s">
        <v>417</v>
      </c>
      <c r="E13" s="39" t="s">
        <v>418</v>
      </c>
    </row>
    <row r="14" spans="1:5" ht="30" customHeight="1" x14ac:dyDescent="0.3">
      <c r="A14" s="38" t="s">
        <v>419</v>
      </c>
      <c r="B14" s="39" t="s">
        <v>420</v>
      </c>
      <c r="C14" s="39" t="s">
        <v>421</v>
      </c>
      <c r="D14" s="39" t="s">
        <v>417</v>
      </c>
      <c r="E14" s="39" t="s">
        <v>422</v>
      </c>
    </row>
    <row r="15" spans="1:5" ht="30" customHeight="1" x14ac:dyDescent="0.3">
      <c r="A15" s="38" t="s">
        <v>423</v>
      </c>
      <c r="B15" s="39" t="s">
        <v>424</v>
      </c>
      <c r="C15" s="39" t="s">
        <v>425</v>
      </c>
      <c r="D15" s="39" t="s">
        <v>417</v>
      </c>
      <c r="E15" s="39" t="s">
        <v>426</v>
      </c>
    </row>
    <row r="17" spans="1:5" x14ac:dyDescent="0.3">
      <c r="A17" s="3" t="s">
        <v>427</v>
      </c>
      <c r="B17" s="4"/>
      <c r="C17" s="4"/>
      <c r="D17" s="4"/>
      <c r="E17" s="4"/>
    </row>
    <row r="18" spans="1:5" x14ac:dyDescent="0.3">
      <c r="A18" s="16" t="s">
        <v>428</v>
      </c>
      <c r="B18" s="47" t="s">
        <v>429</v>
      </c>
      <c r="C18" s="48"/>
      <c r="D18" s="48"/>
      <c r="E18" s="46"/>
    </row>
    <row r="19" spans="1:5" x14ac:dyDescent="0.3">
      <c r="A19" s="16" t="s">
        <v>430</v>
      </c>
      <c r="B19" s="47" t="s">
        <v>431</v>
      </c>
      <c r="C19" s="48"/>
      <c r="D19" s="48"/>
      <c r="E19" s="46"/>
    </row>
    <row r="20" spans="1:5" x14ac:dyDescent="0.3">
      <c r="A20" s="16" t="s">
        <v>432</v>
      </c>
      <c r="B20" s="47" t="s">
        <v>433</v>
      </c>
      <c r="C20" s="48"/>
      <c r="D20" s="48"/>
      <c r="E20" s="46"/>
    </row>
    <row r="21" spans="1:5" x14ac:dyDescent="0.3">
      <c r="A21" s="16" t="s">
        <v>434</v>
      </c>
      <c r="B21" s="47" t="s">
        <v>435</v>
      </c>
      <c r="C21" s="48"/>
      <c r="D21" s="48"/>
      <c r="E21" s="46"/>
    </row>
    <row r="22" spans="1:5" x14ac:dyDescent="0.3">
      <c r="A22" s="16" t="s">
        <v>436</v>
      </c>
      <c r="B22" s="47" t="s">
        <v>437</v>
      </c>
      <c r="C22" s="48"/>
      <c r="D22" s="48"/>
      <c r="E22" s="46"/>
    </row>
    <row r="23" spans="1:5" x14ac:dyDescent="0.3">
      <c r="A23" s="16" t="s">
        <v>438</v>
      </c>
      <c r="B23" s="47" t="s">
        <v>439</v>
      </c>
      <c r="C23" s="48"/>
      <c r="D23" s="48"/>
      <c r="E23" s="46"/>
    </row>
    <row r="24" spans="1:5" x14ac:dyDescent="0.3">
      <c r="A24" s="16" t="s">
        <v>440</v>
      </c>
      <c r="B24" s="47" t="s">
        <v>441</v>
      </c>
      <c r="C24" s="48"/>
      <c r="D24" s="48"/>
      <c r="E24" s="46"/>
    </row>
    <row r="25" spans="1:5" x14ac:dyDescent="0.3">
      <c r="A25" s="16" t="s">
        <v>442</v>
      </c>
      <c r="B25" s="47" t="s">
        <v>443</v>
      </c>
      <c r="C25" s="48"/>
      <c r="D25" s="48"/>
      <c r="E25" s="46"/>
    </row>
    <row r="26" spans="1:5" x14ac:dyDescent="0.3">
      <c r="A26" s="16" t="s">
        <v>444</v>
      </c>
      <c r="B26" s="47" t="s">
        <v>445</v>
      </c>
      <c r="C26" s="48"/>
      <c r="D26" s="48"/>
      <c r="E26" s="46"/>
    </row>
    <row r="27" spans="1:5" x14ac:dyDescent="0.3">
      <c r="A27" s="16" t="s">
        <v>34</v>
      </c>
      <c r="B27" s="47" t="s">
        <v>446</v>
      </c>
      <c r="C27" s="48"/>
      <c r="D27" s="48"/>
      <c r="E27" s="46"/>
    </row>
    <row r="28" spans="1:5" x14ac:dyDescent="0.3">
      <c r="A28" s="16" t="s">
        <v>447</v>
      </c>
      <c r="B28" s="47" t="s">
        <v>448</v>
      </c>
      <c r="C28" s="48"/>
      <c r="D28" s="48"/>
      <c r="E28" s="46"/>
    </row>
    <row r="29" spans="1:5" x14ac:dyDescent="0.3">
      <c r="A29" s="16" t="s">
        <v>449</v>
      </c>
      <c r="B29" s="47" t="s">
        <v>450</v>
      </c>
      <c r="C29" s="48"/>
      <c r="D29" s="48"/>
      <c r="E29" s="46"/>
    </row>
  </sheetData>
  <mergeCells count="12">
    <mergeCell ref="B29:E29"/>
    <mergeCell ref="B25:E25"/>
    <mergeCell ref="B24:E24"/>
    <mergeCell ref="B19:E19"/>
    <mergeCell ref="B20:E20"/>
    <mergeCell ref="B28:E28"/>
    <mergeCell ref="B22:E22"/>
    <mergeCell ref="B23:E23"/>
    <mergeCell ref="B18:E18"/>
    <mergeCell ref="B26:E26"/>
    <mergeCell ref="B27:E27"/>
    <mergeCell ref="B21:E2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1. Read me</vt:lpstr>
      <vt:lpstr>2. MoT VFM curves</vt:lpstr>
      <vt:lpstr>3. Why an S-curve</vt:lpstr>
      <vt:lpstr>4. Engine forecasts</vt:lpstr>
      <vt:lpstr>5. Light fleet split</vt:lpstr>
      <vt:lpstr>6. Rates &amp; revenue</vt:lpstr>
      <vt:lpstr>7. NLTF rollup</vt:lpstr>
      <vt:lpstr>8. Reconciliation</vt:lpstr>
      <vt:lpstr>9. Mapping &amp; glossary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Adrian Desilvestro</cp:lastModifiedBy>
  <dcterms:created xsi:type="dcterms:W3CDTF">2026-07-09T06:45:25Z</dcterms:created>
  <dcterms:modified xsi:type="dcterms:W3CDTF">2026-07-13T07:38:00Z</dcterms:modified>
</cp:coreProperties>
</file>