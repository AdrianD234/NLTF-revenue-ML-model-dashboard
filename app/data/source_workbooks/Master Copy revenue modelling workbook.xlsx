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d153ca68de2f1683/Documents/Playground/Revenue Modeling - Strategic Review/04 Models/Inputs/"/>
    </mc:Choice>
  </mc:AlternateContent>
  <xr:revisionPtr revIDLastSave="0" documentId="13_ncr:1_{FDEE5546-C04E-438B-8A6B-1B9BE99011C0}" xr6:coauthVersionLast="47" xr6:coauthVersionMax="47" xr10:uidLastSave="{00000000-0000-0000-0000-000000000000}"/>
  <bookViews>
    <workbookView xWindow="-30828" yWindow="-24" windowWidth="30936" windowHeight="16776" activeTab="3" xr2:uid="{00000000-000D-0000-FFFF-FFFF00000000}"/>
  </bookViews>
  <sheets>
    <sheet name="Overview" sheetId="1" r:id="rId1"/>
    <sheet name="Deflators" sheetId="2" r:id="rId2"/>
    <sheet name="Stage 1 Inputs" sheetId="3" r:id="rId3"/>
    <sheet name="PED Inputs" sheetId="4" r:id="rId4"/>
    <sheet name="Light RUC Inputs" sheetId="5" r:id="rId5"/>
    <sheet name="Heavy RUC Inputs" sheetId="6" r:id="rId6"/>
    <sheet name="Formula Notes" sheetId="7" r:id="rId7"/>
    <sheet name="Source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98" i="6" l="1"/>
  <c r="R98" i="6"/>
  <c r="Q98" i="6"/>
  <c r="P98" i="6"/>
  <c r="O98" i="6"/>
  <c r="M98" i="6"/>
  <c r="I98" i="6"/>
  <c r="H98" i="6"/>
  <c r="C98" i="6"/>
  <c r="B98" i="6"/>
  <c r="A98" i="6"/>
  <c r="S97" i="6"/>
  <c r="R97" i="6"/>
  <c r="Q97" i="6"/>
  <c r="P97" i="6"/>
  <c r="O97" i="6"/>
  <c r="I97" i="6"/>
  <c r="H97" i="6"/>
  <c r="C97" i="6"/>
  <c r="B97" i="6"/>
  <c r="A97" i="6"/>
  <c r="S96" i="6"/>
  <c r="R96" i="6"/>
  <c r="Q96" i="6"/>
  <c r="P96" i="6"/>
  <c r="O96" i="6"/>
  <c r="I96" i="6"/>
  <c r="H96" i="6"/>
  <c r="C96" i="6"/>
  <c r="B96" i="6"/>
  <c r="A96" i="6"/>
  <c r="S95" i="6"/>
  <c r="R95" i="6"/>
  <c r="Q95" i="6"/>
  <c r="P95" i="6"/>
  <c r="O95" i="6"/>
  <c r="I95" i="6"/>
  <c r="H95" i="6"/>
  <c r="C95" i="6"/>
  <c r="B95" i="6"/>
  <c r="A95" i="6"/>
  <c r="S94" i="6"/>
  <c r="R94" i="6"/>
  <c r="Q94" i="6"/>
  <c r="P94" i="6"/>
  <c r="O94" i="6"/>
  <c r="I94" i="6"/>
  <c r="H94" i="6"/>
  <c r="C94" i="6"/>
  <c r="B94" i="6"/>
  <c r="A94" i="6"/>
  <c r="S93" i="6"/>
  <c r="R93" i="6"/>
  <c r="Q93" i="6"/>
  <c r="P93" i="6"/>
  <c r="O93" i="6"/>
  <c r="I93" i="6"/>
  <c r="H93" i="6"/>
  <c r="C93" i="6"/>
  <c r="B93" i="6"/>
  <c r="A93" i="6"/>
  <c r="S92" i="6"/>
  <c r="R92" i="6"/>
  <c r="Q92" i="6"/>
  <c r="P92" i="6"/>
  <c r="O92" i="6"/>
  <c r="I92" i="6"/>
  <c r="H92" i="6"/>
  <c r="C92" i="6"/>
  <c r="B92" i="6"/>
  <c r="A92" i="6"/>
  <c r="S91" i="6"/>
  <c r="R91" i="6"/>
  <c r="Q91" i="6"/>
  <c r="P91" i="6"/>
  <c r="O91" i="6"/>
  <c r="I91" i="6"/>
  <c r="H91" i="6"/>
  <c r="C91" i="6"/>
  <c r="B91" i="6"/>
  <c r="A91" i="6"/>
  <c r="S90" i="6"/>
  <c r="R90" i="6"/>
  <c r="Q90" i="6"/>
  <c r="P90" i="6"/>
  <c r="O90" i="6"/>
  <c r="I90" i="6"/>
  <c r="H90" i="6"/>
  <c r="C90" i="6"/>
  <c r="B90" i="6"/>
  <c r="A90" i="6"/>
  <c r="S89" i="6"/>
  <c r="R89" i="6"/>
  <c r="Q89" i="6"/>
  <c r="P89" i="6"/>
  <c r="O89" i="6"/>
  <c r="I89" i="6"/>
  <c r="H89" i="6"/>
  <c r="C89" i="6"/>
  <c r="B89" i="6"/>
  <c r="A89" i="6"/>
  <c r="S88" i="6"/>
  <c r="R88" i="6"/>
  <c r="Q88" i="6"/>
  <c r="P88" i="6"/>
  <c r="O88" i="6"/>
  <c r="I88" i="6"/>
  <c r="H88" i="6"/>
  <c r="C88" i="6"/>
  <c r="B88" i="6"/>
  <c r="A88" i="6"/>
  <c r="S87" i="6"/>
  <c r="R87" i="6"/>
  <c r="Q87" i="6"/>
  <c r="P87" i="6"/>
  <c r="O87" i="6"/>
  <c r="I87" i="6"/>
  <c r="H87" i="6"/>
  <c r="C87" i="6"/>
  <c r="B87" i="6"/>
  <c r="A87" i="6"/>
  <c r="S86" i="6"/>
  <c r="R86" i="6"/>
  <c r="Q86" i="6"/>
  <c r="P86" i="6"/>
  <c r="O86" i="6"/>
  <c r="I86" i="6"/>
  <c r="H86" i="6"/>
  <c r="C86" i="6"/>
  <c r="B86" i="6"/>
  <c r="A86" i="6"/>
  <c r="S85" i="6"/>
  <c r="R85" i="6"/>
  <c r="Q85" i="6"/>
  <c r="P85" i="6"/>
  <c r="O85" i="6"/>
  <c r="I85" i="6"/>
  <c r="H85" i="6"/>
  <c r="C85" i="6"/>
  <c r="B85" i="6"/>
  <c r="A85" i="6"/>
  <c r="S84" i="6"/>
  <c r="R84" i="6"/>
  <c r="Q84" i="6"/>
  <c r="P84" i="6"/>
  <c r="O84" i="6"/>
  <c r="I84" i="6"/>
  <c r="H84" i="6"/>
  <c r="C84" i="6"/>
  <c r="B84" i="6"/>
  <c r="A84" i="6"/>
  <c r="S83" i="6"/>
  <c r="R83" i="6"/>
  <c r="Q83" i="6"/>
  <c r="P83" i="6"/>
  <c r="O83" i="6"/>
  <c r="I83" i="6"/>
  <c r="H83" i="6"/>
  <c r="C83" i="6"/>
  <c r="B83" i="6"/>
  <c r="A83" i="6"/>
  <c r="S82" i="6"/>
  <c r="R82" i="6"/>
  <c r="Q82" i="6"/>
  <c r="P82" i="6"/>
  <c r="O82" i="6"/>
  <c r="I82" i="6"/>
  <c r="H82" i="6"/>
  <c r="C82" i="6"/>
  <c r="B82" i="6"/>
  <c r="A82" i="6"/>
  <c r="S81" i="6"/>
  <c r="R81" i="6"/>
  <c r="Q81" i="6"/>
  <c r="P81" i="6"/>
  <c r="O81" i="6"/>
  <c r="I81" i="6"/>
  <c r="H81" i="6"/>
  <c r="C81" i="6"/>
  <c r="B81" i="6"/>
  <c r="A81" i="6"/>
  <c r="S80" i="6"/>
  <c r="R80" i="6"/>
  <c r="Q80" i="6"/>
  <c r="P80" i="6"/>
  <c r="O80" i="6"/>
  <c r="I80" i="6"/>
  <c r="H80" i="6"/>
  <c r="C80" i="6"/>
  <c r="B80" i="6"/>
  <c r="A80" i="6"/>
  <c r="S79" i="6"/>
  <c r="R79" i="6"/>
  <c r="Q79" i="6"/>
  <c r="P79" i="6"/>
  <c r="O79" i="6"/>
  <c r="I79" i="6"/>
  <c r="H79" i="6"/>
  <c r="C79" i="6"/>
  <c r="B79" i="6"/>
  <c r="A79" i="6"/>
  <c r="S78" i="6"/>
  <c r="R78" i="6"/>
  <c r="Q78" i="6"/>
  <c r="P78" i="6"/>
  <c r="O78" i="6"/>
  <c r="I78" i="6"/>
  <c r="H78" i="6"/>
  <c r="C78" i="6"/>
  <c r="B78" i="6"/>
  <c r="A78" i="6"/>
  <c r="S77" i="6"/>
  <c r="R77" i="6"/>
  <c r="Q77" i="6"/>
  <c r="P77" i="6"/>
  <c r="O77" i="6"/>
  <c r="I77" i="6"/>
  <c r="H77" i="6"/>
  <c r="C77" i="6"/>
  <c r="B77" i="6"/>
  <c r="A77" i="6"/>
  <c r="S76" i="6"/>
  <c r="R76" i="6"/>
  <c r="Q76" i="6"/>
  <c r="P76" i="6"/>
  <c r="O76" i="6"/>
  <c r="I76" i="6"/>
  <c r="H76" i="6"/>
  <c r="C76" i="6"/>
  <c r="B76" i="6"/>
  <c r="A76" i="6"/>
  <c r="S75" i="6"/>
  <c r="R75" i="6"/>
  <c r="Q75" i="6"/>
  <c r="P75" i="6"/>
  <c r="O75" i="6"/>
  <c r="I75" i="6"/>
  <c r="H75" i="6"/>
  <c r="C75" i="6"/>
  <c r="B75" i="6"/>
  <c r="A75" i="6"/>
  <c r="S74" i="6"/>
  <c r="R74" i="6"/>
  <c r="Q74" i="6"/>
  <c r="P74" i="6"/>
  <c r="O74" i="6"/>
  <c r="I74" i="6"/>
  <c r="H74" i="6"/>
  <c r="C74" i="6"/>
  <c r="B74" i="6"/>
  <c r="A74" i="6"/>
  <c r="S73" i="6"/>
  <c r="R73" i="6"/>
  <c r="Q73" i="6"/>
  <c r="P73" i="6"/>
  <c r="O73" i="6"/>
  <c r="I73" i="6"/>
  <c r="H73" i="6"/>
  <c r="C73" i="6"/>
  <c r="B73" i="6"/>
  <c r="A73" i="6"/>
  <c r="S72" i="6"/>
  <c r="R72" i="6"/>
  <c r="Q72" i="6"/>
  <c r="P72" i="6"/>
  <c r="O72" i="6"/>
  <c r="I72" i="6"/>
  <c r="H72" i="6"/>
  <c r="C72" i="6"/>
  <c r="B72" i="6"/>
  <c r="A72" i="6"/>
  <c r="S71" i="6"/>
  <c r="R71" i="6"/>
  <c r="Q71" i="6"/>
  <c r="P71" i="6"/>
  <c r="O71" i="6"/>
  <c r="I71" i="6"/>
  <c r="H71" i="6"/>
  <c r="C71" i="6"/>
  <c r="B71" i="6"/>
  <c r="A71" i="6"/>
  <c r="S70" i="6"/>
  <c r="R70" i="6"/>
  <c r="Q70" i="6"/>
  <c r="P70" i="6"/>
  <c r="O70" i="6"/>
  <c r="I70" i="6"/>
  <c r="H70" i="6"/>
  <c r="C70" i="6"/>
  <c r="B70" i="6"/>
  <c r="A70" i="6"/>
  <c r="S69" i="6"/>
  <c r="R69" i="6"/>
  <c r="Q69" i="6"/>
  <c r="P69" i="6"/>
  <c r="O69" i="6"/>
  <c r="I69" i="6"/>
  <c r="H69" i="6"/>
  <c r="C69" i="6"/>
  <c r="B69" i="6"/>
  <c r="A69" i="6"/>
  <c r="S68" i="6"/>
  <c r="R68" i="6"/>
  <c r="Q68" i="6"/>
  <c r="P68" i="6"/>
  <c r="O68" i="6"/>
  <c r="I68" i="6"/>
  <c r="H68" i="6"/>
  <c r="C68" i="6"/>
  <c r="B68" i="6"/>
  <c r="A68" i="6"/>
  <c r="S67" i="6"/>
  <c r="R67" i="6"/>
  <c r="Q67" i="6"/>
  <c r="P67" i="6"/>
  <c r="O67" i="6"/>
  <c r="I67" i="6"/>
  <c r="H67" i="6"/>
  <c r="C67" i="6"/>
  <c r="B67" i="6"/>
  <c r="A67" i="6"/>
  <c r="S66" i="6"/>
  <c r="R66" i="6"/>
  <c r="Q66" i="6"/>
  <c r="P66" i="6"/>
  <c r="O66" i="6"/>
  <c r="I66" i="6"/>
  <c r="H66" i="6"/>
  <c r="C66" i="6"/>
  <c r="B66" i="6"/>
  <c r="A66" i="6"/>
  <c r="S65" i="6"/>
  <c r="R65" i="6"/>
  <c r="Q65" i="6"/>
  <c r="P65" i="6"/>
  <c r="O65" i="6"/>
  <c r="I65" i="6"/>
  <c r="H65" i="6"/>
  <c r="C65" i="6"/>
  <c r="B65" i="6"/>
  <c r="A65" i="6"/>
  <c r="S64" i="6"/>
  <c r="R64" i="6"/>
  <c r="Q64" i="6"/>
  <c r="P64" i="6"/>
  <c r="O64" i="6"/>
  <c r="I64" i="6"/>
  <c r="H64" i="6"/>
  <c r="C64" i="6"/>
  <c r="B64" i="6"/>
  <c r="A64" i="6"/>
  <c r="S63" i="6"/>
  <c r="R63" i="6"/>
  <c r="Q63" i="6"/>
  <c r="P63" i="6"/>
  <c r="O63" i="6"/>
  <c r="I63" i="6"/>
  <c r="H63" i="6"/>
  <c r="C63" i="6"/>
  <c r="B63" i="6"/>
  <c r="A63" i="6"/>
  <c r="S62" i="6"/>
  <c r="R62" i="6"/>
  <c r="Q62" i="6"/>
  <c r="P62" i="6"/>
  <c r="O62" i="6"/>
  <c r="I62" i="6"/>
  <c r="H62" i="6"/>
  <c r="C62" i="6"/>
  <c r="B62" i="6"/>
  <c r="A62" i="6"/>
  <c r="S61" i="6"/>
  <c r="R61" i="6"/>
  <c r="Q61" i="6"/>
  <c r="P61" i="6"/>
  <c r="O61" i="6"/>
  <c r="I61" i="6"/>
  <c r="H61" i="6"/>
  <c r="C61" i="6"/>
  <c r="B61" i="6"/>
  <c r="A61" i="6"/>
  <c r="S60" i="6"/>
  <c r="R60" i="6"/>
  <c r="Q60" i="6"/>
  <c r="P60" i="6"/>
  <c r="O60" i="6"/>
  <c r="I60" i="6"/>
  <c r="H60" i="6"/>
  <c r="C60" i="6"/>
  <c r="B60" i="6"/>
  <c r="A60" i="6"/>
  <c r="S59" i="6"/>
  <c r="R59" i="6"/>
  <c r="Q59" i="6"/>
  <c r="P59" i="6"/>
  <c r="O59" i="6"/>
  <c r="I59" i="6"/>
  <c r="H59" i="6"/>
  <c r="C59" i="6"/>
  <c r="B59" i="6"/>
  <c r="A59" i="6"/>
  <c r="S58" i="6"/>
  <c r="R58" i="6"/>
  <c r="Q58" i="6"/>
  <c r="P58" i="6"/>
  <c r="O58" i="6"/>
  <c r="I58" i="6"/>
  <c r="H58" i="6"/>
  <c r="C58" i="6"/>
  <c r="B58" i="6"/>
  <c r="A58" i="6"/>
  <c r="S57" i="6"/>
  <c r="R57" i="6"/>
  <c r="Q57" i="6"/>
  <c r="P57" i="6"/>
  <c r="O57" i="6"/>
  <c r="I57" i="6"/>
  <c r="H57" i="6"/>
  <c r="C57" i="6"/>
  <c r="B57" i="6"/>
  <c r="A57" i="6"/>
  <c r="S56" i="6"/>
  <c r="R56" i="6"/>
  <c r="Q56" i="6"/>
  <c r="P56" i="6"/>
  <c r="O56" i="6"/>
  <c r="I56" i="6"/>
  <c r="H56" i="6"/>
  <c r="C56" i="6"/>
  <c r="B56" i="6"/>
  <c r="A56" i="6"/>
  <c r="S55" i="6"/>
  <c r="R55" i="6"/>
  <c r="Q55" i="6"/>
  <c r="P55" i="6"/>
  <c r="O55" i="6"/>
  <c r="I55" i="6"/>
  <c r="H55" i="6"/>
  <c r="C55" i="6"/>
  <c r="B55" i="6"/>
  <c r="A55" i="6"/>
  <c r="S54" i="6"/>
  <c r="R54" i="6"/>
  <c r="Q54" i="6"/>
  <c r="P54" i="6"/>
  <c r="O54" i="6"/>
  <c r="I54" i="6"/>
  <c r="H54" i="6"/>
  <c r="C54" i="6"/>
  <c r="B54" i="6"/>
  <c r="A54" i="6"/>
  <c r="S53" i="6"/>
  <c r="R53" i="6"/>
  <c r="Q53" i="6"/>
  <c r="P53" i="6"/>
  <c r="O53" i="6"/>
  <c r="I53" i="6"/>
  <c r="H53" i="6"/>
  <c r="C53" i="6"/>
  <c r="B53" i="6"/>
  <c r="A53" i="6"/>
  <c r="S52" i="6"/>
  <c r="R52" i="6"/>
  <c r="Q52" i="6"/>
  <c r="P52" i="6"/>
  <c r="O52" i="6"/>
  <c r="I52" i="6"/>
  <c r="H52" i="6"/>
  <c r="C52" i="6"/>
  <c r="B52" i="6"/>
  <c r="A52" i="6"/>
  <c r="S51" i="6"/>
  <c r="R51" i="6"/>
  <c r="Q51" i="6"/>
  <c r="P51" i="6"/>
  <c r="O51" i="6"/>
  <c r="I51" i="6"/>
  <c r="H51" i="6"/>
  <c r="C51" i="6"/>
  <c r="B51" i="6"/>
  <c r="A51" i="6"/>
  <c r="S50" i="6"/>
  <c r="R50" i="6"/>
  <c r="Q50" i="6"/>
  <c r="P50" i="6"/>
  <c r="O50" i="6"/>
  <c r="I50" i="6"/>
  <c r="H50" i="6"/>
  <c r="C50" i="6"/>
  <c r="B50" i="6"/>
  <c r="A50" i="6"/>
  <c r="S49" i="6"/>
  <c r="R49" i="6"/>
  <c r="Q49" i="6"/>
  <c r="P49" i="6"/>
  <c r="O49" i="6"/>
  <c r="I49" i="6"/>
  <c r="H49" i="6"/>
  <c r="C49" i="6"/>
  <c r="B49" i="6"/>
  <c r="A49" i="6"/>
  <c r="S48" i="6"/>
  <c r="R48" i="6"/>
  <c r="Q48" i="6"/>
  <c r="P48" i="6"/>
  <c r="O48" i="6"/>
  <c r="I48" i="6"/>
  <c r="H48" i="6"/>
  <c r="C48" i="6"/>
  <c r="B48" i="6"/>
  <c r="A48" i="6"/>
  <c r="S47" i="6"/>
  <c r="R47" i="6"/>
  <c r="Q47" i="6"/>
  <c r="P47" i="6"/>
  <c r="O47" i="6"/>
  <c r="I47" i="6"/>
  <c r="H47" i="6"/>
  <c r="C47" i="6"/>
  <c r="B47" i="6"/>
  <c r="A47" i="6"/>
  <c r="S46" i="6"/>
  <c r="R46" i="6"/>
  <c r="Q46" i="6"/>
  <c r="P46" i="6"/>
  <c r="O46" i="6"/>
  <c r="I46" i="6"/>
  <c r="H46" i="6"/>
  <c r="C46" i="6"/>
  <c r="B46" i="6"/>
  <c r="A46" i="6"/>
  <c r="S45" i="6"/>
  <c r="R45" i="6"/>
  <c r="Q45" i="6"/>
  <c r="P45" i="6"/>
  <c r="O45" i="6"/>
  <c r="I45" i="6"/>
  <c r="H45" i="6"/>
  <c r="C45" i="6"/>
  <c r="B45" i="6"/>
  <c r="A45" i="6"/>
  <c r="S44" i="6"/>
  <c r="R44" i="6"/>
  <c r="Q44" i="6"/>
  <c r="P44" i="6"/>
  <c r="O44" i="6"/>
  <c r="I44" i="6"/>
  <c r="H44" i="6"/>
  <c r="C44" i="6"/>
  <c r="B44" i="6"/>
  <c r="A44" i="6"/>
  <c r="S43" i="6"/>
  <c r="R43" i="6"/>
  <c r="Q43" i="6"/>
  <c r="P43" i="6"/>
  <c r="O43" i="6"/>
  <c r="I43" i="6"/>
  <c r="H43" i="6"/>
  <c r="C43" i="6"/>
  <c r="B43" i="6"/>
  <c r="A43" i="6"/>
  <c r="S42" i="6"/>
  <c r="R42" i="6"/>
  <c r="Q42" i="6"/>
  <c r="P42" i="6"/>
  <c r="O42" i="6"/>
  <c r="I42" i="6"/>
  <c r="H42" i="6"/>
  <c r="C42" i="6"/>
  <c r="B42" i="6"/>
  <c r="A42" i="6"/>
  <c r="S41" i="6"/>
  <c r="R41" i="6"/>
  <c r="Q41" i="6"/>
  <c r="P41" i="6"/>
  <c r="O41" i="6"/>
  <c r="I41" i="6"/>
  <c r="H41" i="6"/>
  <c r="C41" i="6"/>
  <c r="B41" i="6"/>
  <c r="A41" i="6"/>
  <c r="S40" i="6"/>
  <c r="R40" i="6"/>
  <c r="Q40" i="6"/>
  <c r="P40" i="6"/>
  <c r="O40" i="6"/>
  <c r="I40" i="6"/>
  <c r="H40" i="6"/>
  <c r="C40" i="6"/>
  <c r="B40" i="6"/>
  <c r="A40" i="6"/>
  <c r="S39" i="6"/>
  <c r="R39" i="6"/>
  <c r="Q39" i="6"/>
  <c r="P39" i="6"/>
  <c r="O39" i="6"/>
  <c r="I39" i="6"/>
  <c r="H39" i="6"/>
  <c r="C39" i="6"/>
  <c r="B39" i="6"/>
  <c r="A39" i="6"/>
  <c r="S38" i="6"/>
  <c r="R38" i="6"/>
  <c r="Q38" i="6"/>
  <c r="P38" i="6"/>
  <c r="O38" i="6"/>
  <c r="I38" i="6"/>
  <c r="H38" i="6"/>
  <c r="C38" i="6"/>
  <c r="B38" i="6"/>
  <c r="A38" i="6"/>
  <c r="S37" i="6"/>
  <c r="R37" i="6"/>
  <c r="Q37" i="6"/>
  <c r="P37" i="6"/>
  <c r="O37" i="6"/>
  <c r="I37" i="6"/>
  <c r="H37" i="6"/>
  <c r="C37" i="6"/>
  <c r="B37" i="6"/>
  <c r="A37" i="6"/>
  <c r="S36" i="6"/>
  <c r="R36" i="6"/>
  <c r="Q36" i="6"/>
  <c r="P36" i="6"/>
  <c r="O36" i="6"/>
  <c r="I36" i="6"/>
  <c r="H36" i="6"/>
  <c r="C36" i="6"/>
  <c r="B36" i="6"/>
  <c r="A36" i="6"/>
  <c r="S35" i="6"/>
  <c r="R35" i="6"/>
  <c r="Q35" i="6"/>
  <c r="P35" i="6"/>
  <c r="O35" i="6"/>
  <c r="I35" i="6"/>
  <c r="H35" i="6"/>
  <c r="C35" i="6"/>
  <c r="B35" i="6"/>
  <c r="A35" i="6"/>
  <c r="S34" i="6"/>
  <c r="R34" i="6"/>
  <c r="Q34" i="6"/>
  <c r="P34" i="6"/>
  <c r="O34" i="6"/>
  <c r="I34" i="6"/>
  <c r="H34" i="6"/>
  <c r="C34" i="6"/>
  <c r="B34" i="6"/>
  <c r="A34" i="6"/>
  <c r="S33" i="6"/>
  <c r="R33" i="6"/>
  <c r="Q33" i="6"/>
  <c r="P33" i="6"/>
  <c r="O33" i="6"/>
  <c r="I33" i="6"/>
  <c r="H33" i="6"/>
  <c r="C33" i="6"/>
  <c r="B33" i="6"/>
  <c r="A33" i="6"/>
  <c r="S32" i="6"/>
  <c r="R32" i="6"/>
  <c r="Q32" i="6"/>
  <c r="P32" i="6"/>
  <c r="O32" i="6"/>
  <c r="I32" i="6"/>
  <c r="H32" i="6"/>
  <c r="C32" i="6"/>
  <c r="B32" i="6"/>
  <c r="A32" i="6"/>
  <c r="S31" i="6"/>
  <c r="R31" i="6"/>
  <c r="Q31" i="6"/>
  <c r="P31" i="6"/>
  <c r="O31" i="6"/>
  <c r="I31" i="6"/>
  <c r="H31" i="6"/>
  <c r="C31" i="6"/>
  <c r="B31" i="6"/>
  <c r="A31" i="6"/>
  <c r="S30" i="6"/>
  <c r="R30" i="6"/>
  <c r="Q30" i="6"/>
  <c r="P30" i="6"/>
  <c r="O30" i="6"/>
  <c r="I30" i="6"/>
  <c r="H30" i="6"/>
  <c r="C30" i="6"/>
  <c r="B30" i="6"/>
  <c r="A30" i="6"/>
  <c r="S29" i="6"/>
  <c r="R29" i="6"/>
  <c r="Q29" i="6"/>
  <c r="P29" i="6"/>
  <c r="O29" i="6"/>
  <c r="I29" i="6"/>
  <c r="H29" i="6"/>
  <c r="C29" i="6"/>
  <c r="B29" i="6"/>
  <c r="A29" i="6"/>
  <c r="S28" i="6"/>
  <c r="R28" i="6"/>
  <c r="Q28" i="6"/>
  <c r="P28" i="6"/>
  <c r="O28" i="6"/>
  <c r="I28" i="6"/>
  <c r="H28" i="6"/>
  <c r="C28" i="6"/>
  <c r="B28" i="6"/>
  <c r="A28" i="6"/>
  <c r="S27" i="6"/>
  <c r="R27" i="6"/>
  <c r="Q27" i="6"/>
  <c r="P27" i="6"/>
  <c r="O27" i="6"/>
  <c r="I27" i="6"/>
  <c r="H27" i="6"/>
  <c r="C27" i="6"/>
  <c r="B27" i="6"/>
  <c r="A27" i="6"/>
  <c r="S26" i="6"/>
  <c r="R26" i="6"/>
  <c r="Q26" i="6"/>
  <c r="P26" i="6"/>
  <c r="O26" i="6"/>
  <c r="I26" i="6"/>
  <c r="H26" i="6"/>
  <c r="C26" i="6"/>
  <c r="B26" i="6"/>
  <c r="A26" i="6"/>
  <c r="S25" i="6"/>
  <c r="R25" i="6"/>
  <c r="Q25" i="6"/>
  <c r="P25" i="6"/>
  <c r="O25" i="6"/>
  <c r="I25" i="6"/>
  <c r="H25" i="6"/>
  <c r="C25" i="6"/>
  <c r="B25" i="6"/>
  <c r="A25" i="6"/>
  <c r="S24" i="6"/>
  <c r="R24" i="6"/>
  <c r="Q24" i="6"/>
  <c r="P24" i="6"/>
  <c r="O24" i="6"/>
  <c r="I24" i="6"/>
  <c r="H24" i="6"/>
  <c r="C24" i="6"/>
  <c r="B24" i="6"/>
  <c r="A24" i="6"/>
  <c r="S23" i="6"/>
  <c r="R23" i="6"/>
  <c r="Q23" i="6"/>
  <c r="P23" i="6"/>
  <c r="O23" i="6"/>
  <c r="I23" i="6"/>
  <c r="H23" i="6"/>
  <c r="C23" i="6"/>
  <c r="B23" i="6"/>
  <c r="A23" i="6"/>
  <c r="S22" i="6"/>
  <c r="R22" i="6"/>
  <c r="Q22" i="6"/>
  <c r="P22" i="6"/>
  <c r="O22" i="6"/>
  <c r="I22" i="6"/>
  <c r="H22" i="6"/>
  <c r="C22" i="6"/>
  <c r="B22" i="6"/>
  <c r="A22" i="6"/>
  <c r="S21" i="6"/>
  <c r="R21" i="6"/>
  <c r="Q21" i="6"/>
  <c r="P21" i="6"/>
  <c r="O21" i="6"/>
  <c r="I21" i="6"/>
  <c r="H21" i="6"/>
  <c r="C21" i="6"/>
  <c r="B21" i="6"/>
  <c r="A21" i="6"/>
  <c r="S20" i="6"/>
  <c r="R20" i="6"/>
  <c r="Q20" i="6"/>
  <c r="P20" i="6"/>
  <c r="O20" i="6"/>
  <c r="I20" i="6"/>
  <c r="H20" i="6"/>
  <c r="C20" i="6"/>
  <c r="B20" i="6"/>
  <c r="A20" i="6"/>
  <c r="S19" i="6"/>
  <c r="R19" i="6"/>
  <c r="Q19" i="6"/>
  <c r="P19" i="6"/>
  <c r="O19" i="6"/>
  <c r="I19" i="6"/>
  <c r="H19" i="6"/>
  <c r="C19" i="6"/>
  <c r="B19" i="6"/>
  <c r="A19" i="6"/>
  <c r="S18" i="6"/>
  <c r="R18" i="6"/>
  <c r="Q18" i="6"/>
  <c r="P18" i="6"/>
  <c r="O18" i="6"/>
  <c r="I18" i="6"/>
  <c r="H18" i="6"/>
  <c r="C18" i="6"/>
  <c r="B18" i="6"/>
  <c r="A18" i="6"/>
  <c r="S17" i="6"/>
  <c r="R17" i="6"/>
  <c r="Q17" i="6"/>
  <c r="P17" i="6"/>
  <c r="O17" i="6"/>
  <c r="I17" i="6"/>
  <c r="H17" i="6"/>
  <c r="C17" i="6"/>
  <c r="B17" i="6"/>
  <c r="A17" i="6"/>
  <c r="S16" i="6"/>
  <c r="R16" i="6"/>
  <c r="Q16" i="6"/>
  <c r="P16" i="6"/>
  <c r="O16" i="6"/>
  <c r="I16" i="6"/>
  <c r="H16" i="6"/>
  <c r="C16" i="6"/>
  <c r="B16" i="6"/>
  <c r="A16" i="6"/>
  <c r="S15" i="6"/>
  <c r="R15" i="6"/>
  <c r="Q15" i="6"/>
  <c r="P15" i="6"/>
  <c r="O15" i="6"/>
  <c r="I15" i="6"/>
  <c r="H15" i="6"/>
  <c r="C15" i="6"/>
  <c r="B15" i="6"/>
  <c r="A15" i="6"/>
  <c r="S14" i="6"/>
  <c r="R14" i="6"/>
  <c r="Q14" i="6"/>
  <c r="P14" i="6"/>
  <c r="O14" i="6"/>
  <c r="I14" i="6"/>
  <c r="H14" i="6"/>
  <c r="C14" i="6"/>
  <c r="B14" i="6"/>
  <c r="A14" i="6"/>
  <c r="S13" i="6"/>
  <c r="R13" i="6"/>
  <c r="Q13" i="6"/>
  <c r="P13" i="6"/>
  <c r="O13" i="6"/>
  <c r="I13" i="6"/>
  <c r="H13" i="6"/>
  <c r="C13" i="6"/>
  <c r="B13" i="6"/>
  <c r="A13" i="6"/>
  <c r="S12" i="6"/>
  <c r="R12" i="6"/>
  <c r="Q12" i="6"/>
  <c r="P12" i="6"/>
  <c r="O12" i="6"/>
  <c r="I12" i="6"/>
  <c r="H12" i="6"/>
  <c r="C12" i="6"/>
  <c r="B12" i="6"/>
  <c r="A12" i="6"/>
  <c r="S11" i="6"/>
  <c r="R11" i="6"/>
  <c r="Q11" i="6"/>
  <c r="P11" i="6"/>
  <c r="O11" i="6"/>
  <c r="I11" i="6"/>
  <c r="H11" i="6"/>
  <c r="C11" i="6"/>
  <c r="B11" i="6"/>
  <c r="A11" i="6"/>
  <c r="S10" i="6"/>
  <c r="R10" i="6"/>
  <c r="Q10" i="6"/>
  <c r="P10" i="6"/>
  <c r="O10" i="6"/>
  <c r="I10" i="6"/>
  <c r="H10" i="6"/>
  <c r="C10" i="6"/>
  <c r="B10" i="6"/>
  <c r="A10" i="6"/>
  <c r="S9" i="6"/>
  <c r="R9" i="6"/>
  <c r="Q9" i="6"/>
  <c r="P9" i="6"/>
  <c r="O9" i="6"/>
  <c r="I9" i="6"/>
  <c r="H9" i="6"/>
  <c r="C9" i="6"/>
  <c r="B9" i="6"/>
  <c r="A9" i="6"/>
  <c r="S8" i="6"/>
  <c r="R8" i="6"/>
  <c r="Q8" i="6"/>
  <c r="P8" i="6"/>
  <c r="O8" i="6"/>
  <c r="I8" i="6"/>
  <c r="H8" i="6"/>
  <c r="C8" i="6"/>
  <c r="B8" i="6"/>
  <c r="A8" i="6"/>
  <c r="S7" i="6"/>
  <c r="R7" i="6"/>
  <c r="Q7" i="6"/>
  <c r="P7" i="6"/>
  <c r="O7" i="6"/>
  <c r="I7" i="6"/>
  <c r="H7" i="6"/>
  <c r="C7" i="6"/>
  <c r="B7" i="6"/>
  <c r="A7" i="6"/>
  <c r="S6" i="6"/>
  <c r="R6" i="6"/>
  <c r="Q6" i="6"/>
  <c r="P6" i="6"/>
  <c r="O6" i="6"/>
  <c r="I6" i="6"/>
  <c r="H6" i="6"/>
  <c r="C6" i="6"/>
  <c r="B6" i="6"/>
  <c r="A6" i="6"/>
  <c r="S5" i="6"/>
  <c r="R5" i="6"/>
  <c r="Q5" i="6"/>
  <c r="P5" i="6"/>
  <c r="O5" i="6"/>
  <c r="I5" i="6"/>
  <c r="H5" i="6"/>
  <c r="C5" i="6"/>
  <c r="B5" i="6"/>
  <c r="A5" i="6"/>
  <c r="S4" i="6"/>
  <c r="R4" i="6"/>
  <c r="Q4" i="6"/>
  <c r="P4" i="6"/>
  <c r="O4" i="6"/>
  <c r="I4" i="6"/>
  <c r="H4" i="6"/>
  <c r="C4" i="6"/>
  <c r="B4" i="6"/>
  <c r="A4" i="6"/>
  <c r="S3" i="6"/>
  <c r="R3" i="6"/>
  <c r="Q3" i="6"/>
  <c r="P3" i="6"/>
  <c r="O3" i="6"/>
  <c r="I3" i="6"/>
  <c r="H3" i="6"/>
  <c r="C3" i="6"/>
  <c r="B3" i="6"/>
  <c r="A3" i="6"/>
  <c r="S2" i="6"/>
  <c r="R2" i="6"/>
  <c r="Q2" i="6"/>
  <c r="P2" i="6"/>
  <c r="O2" i="6"/>
  <c r="I2" i="6"/>
  <c r="H2" i="6"/>
  <c r="C2" i="6"/>
  <c r="B2" i="6"/>
  <c r="A2" i="6"/>
  <c r="X98" i="5"/>
  <c r="W98" i="5"/>
  <c r="V98" i="5"/>
  <c r="U98" i="5"/>
  <c r="T98" i="5"/>
  <c r="S98" i="5"/>
  <c r="M98" i="5"/>
  <c r="L98" i="5"/>
  <c r="H98" i="5"/>
  <c r="C98" i="5"/>
  <c r="B98" i="5"/>
  <c r="A98" i="5"/>
  <c r="X97" i="5"/>
  <c r="W97" i="5"/>
  <c r="V97" i="5"/>
  <c r="U97" i="5"/>
  <c r="T97" i="5"/>
  <c r="S97" i="5"/>
  <c r="M97" i="5"/>
  <c r="L97" i="5"/>
  <c r="H97" i="5"/>
  <c r="C97" i="5"/>
  <c r="B97" i="5"/>
  <c r="A97" i="5"/>
  <c r="X96" i="5"/>
  <c r="W96" i="5"/>
  <c r="V96" i="5"/>
  <c r="U96" i="5"/>
  <c r="T96" i="5"/>
  <c r="S96" i="5"/>
  <c r="M96" i="5"/>
  <c r="L96" i="5"/>
  <c r="H96" i="5"/>
  <c r="C96" i="5"/>
  <c r="B96" i="5"/>
  <c r="A96" i="5"/>
  <c r="X95" i="5"/>
  <c r="W95" i="5"/>
  <c r="V95" i="5"/>
  <c r="U95" i="5"/>
  <c r="T95" i="5"/>
  <c r="S95" i="5"/>
  <c r="M95" i="5"/>
  <c r="L95" i="5"/>
  <c r="H95" i="5"/>
  <c r="C95" i="5"/>
  <c r="B95" i="5"/>
  <c r="A95" i="5"/>
  <c r="X94" i="5"/>
  <c r="W94" i="5"/>
  <c r="V94" i="5"/>
  <c r="U94" i="5"/>
  <c r="T94" i="5"/>
  <c r="S94" i="5"/>
  <c r="M94" i="5"/>
  <c r="L94" i="5"/>
  <c r="H94" i="5"/>
  <c r="C94" i="5"/>
  <c r="B94" i="5"/>
  <c r="A94" i="5"/>
  <c r="X93" i="5"/>
  <c r="W93" i="5"/>
  <c r="V93" i="5"/>
  <c r="U93" i="5"/>
  <c r="T93" i="5"/>
  <c r="S93" i="5"/>
  <c r="M93" i="5"/>
  <c r="L93" i="5"/>
  <c r="H93" i="5"/>
  <c r="C93" i="5"/>
  <c r="B93" i="5"/>
  <c r="A93" i="5"/>
  <c r="X92" i="5"/>
  <c r="W92" i="5"/>
  <c r="V92" i="5"/>
  <c r="U92" i="5"/>
  <c r="T92" i="5"/>
  <c r="S92" i="5"/>
  <c r="M92" i="5"/>
  <c r="L92" i="5"/>
  <c r="H92" i="5"/>
  <c r="C92" i="5"/>
  <c r="B92" i="5"/>
  <c r="A92" i="5"/>
  <c r="X91" i="5"/>
  <c r="W91" i="5"/>
  <c r="V91" i="5"/>
  <c r="U91" i="5"/>
  <c r="T91" i="5"/>
  <c r="S91" i="5"/>
  <c r="M91" i="5"/>
  <c r="L91" i="5"/>
  <c r="H91" i="5"/>
  <c r="C91" i="5"/>
  <c r="B91" i="5"/>
  <c r="A91" i="5"/>
  <c r="X90" i="5"/>
  <c r="W90" i="5"/>
  <c r="V90" i="5"/>
  <c r="U90" i="5"/>
  <c r="T90" i="5"/>
  <c r="S90" i="5"/>
  <c r="M90" i="5"/>
  <c r="L90" i="5"/>
  <c r="H90" i="5"/>
  <c r="C90" i="5"/>
  <c r="B90" i="5"/>
  <c r="A90" i="5"/>
  <c r="X89" i="5"/>
  <c r="W89" i="5"/>
  <c r="V89" i="5"/>
  <c r="U89" i="5"/>
  <c r="T89" i="5"/>
  <c r="S89" i="5"/>
  <c r="M89" i="5"/>
  <c r="L89" i="5"/>
  <c r="H89" i="5"/>
  <c r="C89" i="5"/>
  <c r="B89" i="5"/>
  <c r="A89" i="5"/>
  <c r="X88" i="5"/>
  <c r="W88" i="5"/>
  <c r="V88" i="5"/>
  <c r="U88" i="5"/>
  <c r="T88" i="5"/>
  <c r="S88" i="5"/>
  <c r="M88" i="5"/>
  <c r="L88" i="5"/>
  <c r="H88" i="5"/>
  <c r="C88" i="5"/>
  <c r="B88" i="5"/>
  <c r="A88" i="5"/>
  <c r="X87" i="5"/>
  <c r="W87" i="5"/>
  <c r="V87" i="5"/>
  <c r="U87" i="5"/>
  <c r="T87" i="5"/>
  <c r="S87" i="5"/>
  <c r="M87" i="5"/>
  <c r="L87" i="5"/>
  <c r="H87" i="5"/>
  <c r="C87" i="5"/>
  <c r="B87" i="5"/>
  <c r="A87" i="5"/>
  <c r="X86" i="5"/>
  <c r="W86" i="5"/>
  <c r="V86" i="5"/>
  <c r="U86" i="5"/>
  <c r="T86" i="5"/>
  <c r="S86" i="5"/>
  <c r="M86" i="5"/>
  <c r="L86" i="5"/>
  <c r="H86" i="5"/>
  <c r="C86" i="5"/>
  <c r="B86" i="5"/>
  <c r="A86" i="5"/>
  <c r="X85" i="5"/>
  <c r="W85" i="5"/>
  <c r="V85" i="5"/>
  <c r="U85" i="5"/>
  <c r="T85" i="5"/>
  <c r="S85" i="5"/>
  <c r="M85" i="5"/>
  <c r="L85" i="5"/>
  <c r="H85" i="5"/>
  <c r="C85" i="5"/>
  <c r="B85" i="5"/>
  <c r="A85" i="5"/>
  <c r="X84" i="5"/>
  <c r="W84" i="5"/>
  <c r="V84" i="5"/>
  <c r="U84" i="5"/>
  <c r="T84" i="5"/>
  <c r="S84" i="5"/>
  <c r="M84" i="5"/>
  <c r="L84" i="5"/>
  <c r="H84" i="5"/>
  <c r="C84" i="5"/>
  <c r="B84" i="5"/>
  <c r="A84" i="5"/>
  <c r="X83" i="5"/>
  <c r="W83" i="5"/>
  <c r="V83" i="5"/>
  <c r="U83" i="5"/>
  <c r="T83" i="5"/>
  <c r="S83" i="5"/>
  <c r="M83" i="5"/>
  <c r="L83" i="5"/>
  <c r="H83" i="5"/>
  <c r="C83" i="5"/>
  <c r="B83" i="5"/>
  <c r="A83" i="5"/>
  <c r="X82" i="5"/>
  <c r="W82" i="5"/>
  <c r="V82" i="5"/>
  <c r="U82" i="5"/>
  <c r="T82" i="5"/>
  <c r="S82" i="5"/>
  <c r="M82" i="5"/>
  <c r="L82" i="5"/>
  <c r="H82" i="5"/>
  <c r="C82" i="5"/>
  <c r="B82" i="5"/>
  <c r="A82" i="5"/>
  <c r="X81" i="5"/>
  <c r="W81" i="5"/>
  <c r="V81" i="5"/>
  <c r="U81" i="5"/>
  <c r="T81" i="5"/>
  <c r="S81" i="5"/>
  <c r="M81" i="5"/>
  <c r="L81" i="5"/>
  <c r="H81" i="5"/>
  <c r="C81" i="5"/>
  <c r="B81" i="5"/>
  <c r="A81" i="5"/>
  <c r="X80" i="5"/>
  <c r="W80" i="5"/>
  <c r="V80" i="5"/>
  <c r="U80" i="5"/>
  <c r="T80" i="5"/>
  <c r="S80" i="5"/>
  <c r="M80" i="5"/>
  <c r="L80" i="5"/>
  <c r="H80" i="5"/>
  <c r="C80" i="5"/>
  <c r="B80" i="5"/>
  <c r="A80" i="5"/>
  <c r="X79" i="5"/>
  <c r="W79" i="5"/>
  <c r="V79" i="5"/>
  <c r="U79" i="5"/>
  <c r="T79" i="5"/>
  <c r="S79" i="5"/>
  <c r="M79" i="5"/>
  <c r="L79" i="5"/>
  <c r="H79" i="5"/>
  <c r="C79" i="5"/>
  <c r="B79" i="5"/>
  <c r="A79" i="5"/>
  <c r="X78" i="5"/>
  <c r="W78" i="5"/>
  <c r="V78" i="5"/>
  <c r="U78" i="5"/>
  <c r="T78" i="5"/>
  <c r="S78" i="5"/>
  <c r="M78" i="5"/>
  <c r="L78" i="5"/>
  <c r="H78" i="5"/>
  <c r="C78" i="5"/>
  <c r="B78" i="5"/>
  <c r="A78" i="5"/>
  <c r="X77" i="5"/>
  <c r="W77" i="5"/>
  <c r="V77" i="5"/>
  <c r="U77" i="5"/>
  <c r="T77" i="5"/>
  <c r="S77" i="5"/>
  <c r="M77" i="5"/>
  <c r="L77" i="5"/>
  <c r="H77" i="5"/>
  <c r="C77" i="5"/>
  <c r="B77" i="5"/>
  <c r="A77" i="5"/>
  <c r="X76" i="5"/>
  <c r="W76" i="5"/>
  <c r="V76" i="5"/>
  <c r="U76" i="5"/>
  <c r="T76" i="5"/>
  <c r="S76" i="5"/>
  <c r="M76" i="5"/>
  <c r="L76" i="5"/>
  <c r="H76" i="5"/>
  <c r="C76" i="5"/>
  <c r="B76" i="5"/>
  <c r="A76" i="5"/>
  <c r="X75" i="5"/>
  <c r="W75" i="5"/>
  <c r="V75" i="5"/>
  <c r="U75" i="5"/>
  <c r="T75" i="5"/>
  <c r="S75" i="5"/>
  <c r="M75" i="5"/>
  <c r="L75" i="5"/>
  <c r="H75" i="5"/>
  <c r="C75" i="5"/>
  <c r="B75" i="5"/>
  <c r="A75" i="5"/>
  <c r="X74" i="5"/>
  <c r="W74" i="5"/>
  <c r="V74" i="5"/>
  <c r="U74" i="5"/>
  <c r="T74" i="5"/>
  <c r="S74" i="5"/>
  <c r="M74" i="5"/>
  <c r="L74" i="5"/>
  <c r="H74" i="5"/>
  <c r="C74" i="5"/>
  <c r="B74" i="5"/>
  <c r="A74" i="5"/>
  <c r="X73" i="5"/>
  <c r="W73" i="5"/>
  <c r="V73" i="5"/>
  <c r="U73" i="5"/>
  <c r="T73" i="5"/>
  <c r="S73" i="5"/>
  <c r="M73" i="5"/>
  <c r="L73" i="5"/>
  <c r="H73" i="5"/>
  <c r="C73" i="5"/>
  <c r="B73" i="5"/>
  <c r="A73" i="5"/>
  <c r="X72" i="5"/>
  <c r="W72" i="5"/>
  <c r="V72" i="5"/>
  <c r="U72" i="5"/>
  <c r="T72" i="5"/>
  <c r="S72" i="5"/>
  <c r="M72" i="5"/>
  <c r="L72" i="5"/>
  <c r="H72" i="5"/>
  <c r="C72" i="5"/>
  <c r="B72" i="5"/>
  <c r="A72" i="5"/>
  <c r="X71" i="5"/>
  <c r="W71" i="5"/>
  <c r="V71" i="5"/>
  <c r="U71" i="5"/>
  <c r="T71" i="5"/>
  <c r="S71" i="5"/>
  <c r="M71" i="5"/>
  <c r="L71" i="5"/>
  <c r="H71" i="5"/>
  <c r="C71" i="5"/>
  <c r="B71" i="5"/>
  <c r="A71" i="5"/>
  <c r="X70" i="5"/>
  <c r="W70" i="5"/>
  <c r="V70" i="5"/>
  <c r="U70" i="5"/>
  <c r="T70" i="5"/>
  <c r="S70" i="5"/>
  <c r="M70" i="5"/>
  <c r="L70" i="5"/>
  <c r="H70" i="5"/>
  <c r="C70" i="5"/>
  <c r="B70" i="5"/>
  <c r="A70" i="5"/>
  <c r="X69" i="5"/>
  <c r="W69" i="5"/>
  <c r="V69" i="5"/>
  <c r="U69" i="5"/>
  <c r="T69" i="5"/>
  <c r="S69" i="5"/>
  <c r="M69" i="5"/>
  <c r="L69" i="5"/>
  <c r="H69" i="5"/>
  <c r="C69" i="5"/>
  <c r="B69" i="5"/>
  <c r="A69" i="5"/>
  <c r="X68" i="5"/>
  <c r="W68" i="5"/>
  <c r="V68" i="5"/>
  <c r="U68" i="5"/>
  <c r="T68" i="5"/>
  <c r="S68" i="5"/>
  <c r="M68" i="5"/>
  <c r="L68" i="5"/>
  <c r="H68" i="5"/>
  <c r="C68" i="5"/>
  <c r="B68" i="5"/>
  <c r="A68" i="5"/>
  <c r="X67" i="5"/>
  <c r="W67" i="5"/>
  <c r="V67" i="5"/>
  <c r="U67" i="5"/>
  <c r="T67" i="5"/>
  <c r="S67" i="5"/>
  <c r="M67" i="5"/>
  <c r="L67" i="5"/>
  <c r="H67" i="5"/>
  <c r="C67" i="5"/>
  <c r="B67" i="5"/>
  <c r="A67" i="5"/>
  <c r="X66" i="5"/>
  <c r="W66" i="5"/>
  <c r="V66" i="5"/>
  <c r="U66" i="5"/>
  <c r="T66" i="5"/>
  <c r="S66" i="5"/>
  <c r="M66" i="5"/>
  <c r="L66" i="5"/>
  <c r="H66" i="5"/>
  <c r="C66" i="5"/>
  <c r="B66" i="5"/>
  <c r="A66" i="5"/>
  <c r="X65" i="5"/>
  <c r="W65" i="5"/>
  <c r="V65" i="5"/>
  <c r="U65" i="5"/>
  <c r="T65" i="5"/>
  <c r="S65" i="5"/>
  <c r="M65" i="5"/>
  <c r="L65" i="5"/>
  <c r="H65" i="5"/>
  <c r="C65" i="5"/>
  <c r="B65" i="5"/>
  <c r="A65" i="5"/>
  <c r="X64" i="5"/>
  <c r="W64" i="5"/>
  <c r="V64" i="5"/>
  <c r="U64" i="5"/>
  <c r="T64" i="5"/>
  <c r="S64" i="5"/>
  <c r="M64" i="5"/>
  <c r="L64" i="5"/>
  <c r="H64" i="5"/>
  <c r="C64" i="5"/>
  <c r="B64" i="5"/>
  <c r="A64" i="5"/>
  <c r="X63" i="5"/>
  <c r="W63" i="5"/>
  <c r="V63" i="5"/>
  <c r="U63" i="5"/>
  <c r="T63" i="5"/>
  <c r="S63" i="5"/>
  <c r="M63" i="5"/>
  <c r="L63" i="5"/>
  <c r="H63" i="5"/>
  <c r="C63" i="5"/>
  <c r="B63" i="5"/>
  <c r="A63" i="5"/>
  <c r="X62" i="5"/>
  <c r="W62" i="5"/>
  <c r="V62" i="5"/>
  <c r="U62" i="5"/>
  <c r="T62" i="5"/>
  <c r="S62" i="5"/>
  <c r="M62" i="5"/>
  <c r="L62" i="5"/>
  <c r="H62" i="5"/>
  <c r="C62" i="5"/>
  <c r="B62" i="5"/>
  <c r="A62" i="5"/>
  <c r="X61" i="5"/>
  <c r="W61" i="5"/>
  <c r="V61" i="5"/>
  <c r="U61" i="5"/>
  <c r="T61" i="5"/>
  <c r="S61" i="5"/>
  <c r="M61" i="5"/>
  <c r="L61" i="5"/>
  <c r="H61" i="5"/>
  <c r="C61" i="5"/>
  <c r="B61" i="5"/>
  <c r="A61" i="5"/>
  <c r="X60" i="5"/>
  <c r="W60" i="5"/>
  <c r="V60" i="5"/>
  <c r="U60" i="5"/>
  <c r="T60" i="5"/>
  <c r="S60" i="5"/>
  <c r="M60" i="5"/>
  <c r="L60" i="5"/>
  <c r="H60" i="5"/>
  <c r="C60" i="5"/>
  <c r="B60" i="5"/>
  <c r="A60" i="5"/>
  <c r="X59" i="5"/>
  <c r="W59" i="5"/>
  <c r="V59" i="5"/>
  <c r="U59" i="5"/>
  <c r="T59" i="5"/>
  <c r="S59" i="5"/>
  <c r="M59" i="5"/>
  <c r="L59" i="5"/>
  <c r="H59" i="5"/>
  <c r="C59" i="5"/>
  <c r="B59" i="5"/>
  <c r="A59" i="5"/>
  <c r="X58" i="5"/>
  <c r="W58" i="5"/>
  <c r="V58" i="5"/>
  <c r="U58" i="5"/>
  <c r="T58" i="5"/>
  <c r="S58" i="5"/>
  <c r="M58" i="5"/>
  <c r="L58" i="5"/>
  <c r="H58" i="5"/>
  <c r="C58" i="5"/>
  <c r="B58" i="5"/>
  <c r="A58" i="5"/>
  <c r="X57" i="5"/>
  <c r="W57" i="5"/>
  <c r="V57" i="5"/>
  <c r="U57" i="5"/>
  <c r="T57" i="5"/>
  <c r="S57" i="5"/>
  <c r="M57" i="5"/>
  <c r="L57" i="5"/>
  <c r="H57" i="5"/>
  <c r="C57" i="5"/>
  <c r="B57" i="5"/>
  <c r="A57" i="5"/>
  <c r="X56" i="5"/>
  <c r="W56" i="5"/>
  <c r="V56" i="5"/>
  <c r="U56" i="5"/>
  <c r="T56" i="5"/>
  <c r="S56" i="5"/>
  <c r="M56" i="5"/>
  <c r="L56" i="5"/>
  <c r="H56" i="5"/>
  <c r="C56" i="5"/>
  <c r="B56" i="5"/>
  <c r="A56" i="5"/>
  <c r="X55" i="5"/>
  <c r="W55" i="5"/>
  <c r="V55" i="5"/>
  <c r="U55" i="5"/>
  <c r="T55" i="5"/>
  <c r="S55" i="5"/>
  <c r="M55" i="5"/>
  <c r="L55" i="5"/>
  <c r="H55" i="5"/>
  <c r="C55" i="5"/>
  <c r="B55" i="5"/>
  <c r="A55" i="5"/>
  <c r="X54" i="5"/>
  <c r="W54" i="5"/>
  <c r="V54" i="5"/>
  <c r="U54" i="5"/>
  <c r="T54" i="5"/>
  <c r="S54" i="5"/>
  <c r="M54" i="5"/>
  <c r="L54" i="5"/>
  <c r="H54" i="5"/>
  <c r="C54" i="5"/>
  <c r="B54" i="5"/>
  <c r="A54" i="5"/>
  <c r="X53" i="5"/>
  <c r="W53" i="5"/>
  <c r="V53" i="5"/>
  <c r="U53" i="5"/>
  <c r="T53" i="5"/>
  <c r="S53" i="5"/>
  <c r="M53" i="5"/>
  <c r="L53" i="5"/>
  <c r="H53" i="5"/>
  <c r="C53" i="5"/>
  <c r="B53" i="5"/>
  <c r="A53" i="5"/>
  <c r="X52" i="5"/>
  <c r="W52" i="5"/>
  <c r="V52" i="5"/>
  <c r="U52" i="5"/>
  <c r="T52" i="5"/>
  <c r="S52" i="5"/>
  <c r="M52" i="5"/>
  <c r="L52" i="5"/>
  <c r="H52" i="5"/>
  <c r="C52" i="5"/>
  <c r="B52" i="5"/>
  <c r="A52" i="5"/>
  <c r="X51" i="5"/>
  <c r="W51" i="5"/>
  <c r="V51" i="5"/>
  <c r="U51" i="5"/>
  <c r="T51" i="5"/>
  <c r="S51" i="5"/>
  <c r="M51" i="5"/>
  <c r="L51" i="5"/>
  <c r="H51" i="5"/>
  <c r="C51" i="5"/>
  <c r="B51" i="5"/>
  <c r="A51" i="5"/>
  <c r="X50" i="5"/>
  <c r="W50" i="5"/>
  <c r="V50" i="5"/>
  <c r="U50" i="5"/>
  <c r="T50" i="5"/>
  <c r="S50" i="5"/>
  <c r="M50" i="5"/>
  <c r="L50" i="5"/>
  <c r="H50" i="5"/>
  <c r="C50" i="5"/>
  <c r="B50" i="5"/>
  <c r="A50" i="5"/>
  <c r="X49" i="5"/>
  <c r="W49" i="5"/>
  <c r="V49" i="5"/>
  <c r="U49" i="5"/>
  <c r="T49" i="5"/>
  <c r="S49" i="5"/>
  <c r="M49" i="5"/>
  <c r="L49" i="5"/>
  <c r="H49" i="5"/>
  <c r="C49" i="5"/>
  <c r="B49" i="5"/>
  <c r="A49" i="5"/>
  <c r="X48" i="5"/>
  <c r="W48" i="5"/>
  <c r="V48" i="5"/>
  <c r="U48" i="5"/>
  <c r="T48" i="5"/>
  <c r="S48" i="5"/>
  <c r="M48" i="5"/>
  <c r="L48" i="5"/>
  <c r="H48" i="5"/>
  <c r="C48" i="5"/>
  <c r="B48" i="5"/>
  <c r="A48" i="5"/>
  <c r="X47" i="5"/>
  <c r="W47" i="5"/>
  <c r="V47" i="5"/>
  <c r="U47" i="5"/>
  <c r="T47" i="5"/>
  <c r="S47" i="5"/>
  <c r="M47" i="5"/>
  <c r="L47" i="5"/>
  <c r="H47" i="5"/>
  <c r="C47" i="5"/>
  <c r="B47" i="5"/>
  <c r="A47" i="5"/>
  <c r="X46" i="5"/>
  <c r="W46" i="5"/>
  <c r="V46" i="5"/>
  <c r="U46" i="5"/>
  <c r="T46" i="5"/>
  <c r="S46" i="5"/>
  <c r="M46" i="5"/>
  <c r="L46" i="5"/>
  <c r="H46" i="5"/>
  <c r="C46" i="5"/>
  <c r="B46" i="5"/>
  <c r="A46" i="5"/>
  <c r="X45" i="5"/>
  <c r="W45" i="5"/>
  <c r="V45" i="5"/>
  <c r="U45" i="5"/>
  <c r="T45" i="5"/>
  <c r="S45" i="5"/>
  <c r="M45" i="5"/>
  <c r="L45" i="5"/>
  <c r="H45" i="5"/>
  <c r="C45" i="5"/>
  <c r="B45" i="5"/>
  <c r="A45" i="5"/>
  <c r="X44" i="5"/>
  <c r="W44" i="5"/>
  <c r="V44" i="5"/>
  <c r="U44" i="5"/>
  <c r="T44" i="5"/>
  <c r="S44" i="5"/>
  <c r="M44" i="5"/>
  <c r="L44" i="5"/>
  <c r="H44" i="5"/>
  <c r="C44" i="5"/>
  <c r="B44" i="5"/>
  <c r="A44" i="5"/>
  <c r="X43" i="5"/>
  <c r="W43" i="5"/>
  <c r="V43" i="5"/>
  <c r="U43" i="5"/>
  <c r="T43" i="5"/>
  <c r="S43" i="5"/>
  <c r="M43" i="5"/>
  <c r="L43" i="5"/>
  <c r="H43" i="5"/>
  <c r="C43" i="5"/>
  <c r="B43" i="5"/>
  <c r="A43" i="5"/>
  <c r="X42" i="5"/>
  <c r="W42" i="5"/>
  <c r="V42" i="5"/>
  <c r="U42" i="5"/>
  <c r="T42" i="5"/>
  <c r="S42" i="5"/>
  <c r="M42" i="5"/>
  <c r="L42" i="5"/>
  <c r="H42" i="5"/>
  <c r="C42" i="5"/>
  <c r="B42" i="5"/>
  <c r="A42" i="5"/>
  <c r="X41" i="5"/>
  <c r="W41" i="5"/>
  <c r="V41" i="5"/>
  <c r="U41" i="5"/>
  <c r="T41" i="5"/>
  <c r="S41" i="5"/>
  <c r="M41" i="5"/>
  <c r="L41" i="5"/>
  <c r="H41" i="5"/>
  <c r="C41" i="5"/>
  <c r="B41" i="5"/>
  <c r="A41" i="5"/>
  <c r="X40" i="5"/>
  <c r="W40" i="5"/>
  <c r="V40" i="5"/>
  <c r="U40" i="5"/>
  <c r="T40" i="5"/>
  <c r="S40" i="5"/>
  <c r="M40" i="5"/>
  <c r="L40" i="5"/>
  <c r="H40" i="5"/>
  <c r="C40" i="5"/>
  <c r="B40" i="5"/>
  <c r="A40" i="5"/>
  <c r="X39" i="5"/>
  <c r="W39" i="5"/>
  <c r="V39" i="5"/>
  <c r="U39" i="5"/>
  <c r="T39" i="5"/>
  <c r="S39" i="5"/>
  <c r="M39" i="5"/>
  <c r="L39" i="5"/>
  <c r="H39" i="5"/>
  <c r="C39" i="5"/>
  <c r="B39" i="5"/>
  <c r="A39" i="5"/>
  <c r="X38" i="5"/>
  <c r="W38" i="5"/>
  <c r="V38" i="5"/>
  <c r="U38" i="5"/>
  <c r="T38" i="5"/>
  <c r="S38" i="5"/>
  <c r="M38" i="5"/>
  <c r="L38" i="5"/>
  <c r="H38" i="5"/>
  <c r="C38" i="5"/>
  <c r="B38" i="5"/>
  <c r="A38" i="5"/>
  <c r="X37" i="5"/>
  <c r="W37" i="5"/>
  <c r="V37" i="5"/>
  <c r="U37" i="5"/>
  <c r="T37" i="5"/>
  <c r="S37" i="5"/>
  <c r="M37" i="5"/>
  <c r="L37" i="5"/>
  <c r="H37" i="5"/>
  <c r="C37" i="5"/>
  <c r="B37" i="5"/>
  <c r="A37" i="5"/>
  <c r="X36" i="5"/>
  <c r="W36" i="5"/>
  <c r="V36" i="5"/>
  <c r="U36" i="5"/>
  <c r="T36" i="5"/>
  <c r="S36" i="5"/>
  <c r="M36" i="5"/>
  <c r="L36" i="5"/>
  <c r="H36" i="5"/>
  <c r="C36" i="5"/>
  <c r="B36" i="5"/>
  <c r="A36" i="5"/>
  <c r="X35" i="5"/>
  <c r="W35" i="5"/>
  <c r="V35" i="5"/>
  <c r="U35" i="5"/>
  <c r="T35" i="5"/>
  <c r="S35" i="5"/>
  <c r="M35" i="5"/>
  <c r="L35" i="5"/>
  <c r="H35" i="5"/>
  <c r="C35" i="5"/>
  <c r="B35" i="5"/>
  <c r="A35" i="5"/>
  <c r="X34" i="5"/>
  <c r="W34" i="5"/>
  <c r="V34" i="5"/>
  <c r="U34" i="5"/>
  <c r="T34" i="5"/>
  <c r="S34" i="5"/>
  <c r="M34" i="5"/>
  <c r="L34" i="5"/>
  <c r="H34" i="5"/>
  <c r="C34" i="5"/>
  <c r="B34" i="5"/>
  <c r="A34" i="5"/>
  <c r="X33" i="5"/>
  <c r="W33" i="5"/>
  <c r="V33" i="5"/>
  <c r="U33" i="5"/>
  <c r="T33" i="5"/>
  <c r="S33" i="5"/>
  <c r="M33" i="5"/>
  <c r="L33" i="5"/>
  <c r="H33" i="5"/>
  <c r="C33" i="5"/>
  <c r="B33" i="5"/>
  <c r="A33" i="5"/>
  <c r="X32" i="5"/>
  <c r="W32" i="5"/>
  <c r="V32" i="5"/>
  <c r="U32" i="5"/>
  <c r="T32" i="5"/>
  <c r="S32" i="5"/>
  <c r="M32" i="5"/>
  <c r="L32" i="5"/>
  <c r="H32" i="5"/>
  <c r="C32" i="5"/>
  <c r="B32" i="5"/>
  <c r="A32" i="5"/>
  <c r="X31" i="5"/>
  <c r="W31" i="5"/>
  <c r="V31" i="5"/>
  <c r="U31" i="5"/>
  <c r="T31" i="5"/>
  <c r="S31" i="5"/>
  <c r="M31" i="5"/>
  <c r="L31" i="5"/>
  <c r="H31" i="5"/>
  <c r="C31" i="5"/>
  <c r="B31" i="5"/>
  <c r="A31" i="5"/>
  <c r="X30" i="5"/>
  <c r="W30" i="5"/>
  <c r="V30" i="5"/>
  <c r="U30" i="5"/>
  <c r="T30" i="5"/>
  <c r="S30" i="5"/>
  <c r="M30" i="5"/>
  <c r="L30" i="5"/>
  <c r="H30" i="5"/>
  <c r="C30" i="5"/>
  <c r="B30" i="5"/>
  <c r="A30" i="5"/>
  <c r="X29" i="5"/>
  <c r="W29" i="5"/>
  <c r="V29" i="5"/>
  <c r="U29" i="5"/>
  <c r="T29" i="5"/>
  <c r="S29" i="5"/>
  <c r="M29" i="5"/>
  <c r="L29" i="5"/>
  <c r="H29" i="5"/>
  <c r="C29" i="5"/>
  <c r="B29" i="5"/>
  <c r="A29" i="5"/>
  <c r="X28" i="5"/>
  <c r="W28" i="5"/>
  <c r="V28" i="5"/>
  <c r="U28" i="5"/>
  <c r="T28" i="5"/>
  <c r="S28" i="5"/>
  <c r="M28" i="5"/>
  <c r="L28" i="5"/>
  <c r="H28" i="5"/>
  <c r="C28" i="5"/>
  <c r="B28" i="5"/>
  <c r="A28" i="5"/>
  <c r="X27" i="5"/>
  <c r="W27" i="5"/>
  <c r="V27" i="5"/>
  <c r="U27" i="5"/>
  <c r="T27" i="5"/>
  <c r="S27" i="5"/>
  <c r="M27" i="5"/>
  <c r="L27" i="5"/>
  <c r="H27" i="5"/>
  <c r="C27" i="5"/>
  <c r="B27" i="5"/>
  <c r="A27" i="5"/>
  <c r="X26" i="5"/>
  <c r="W26" i="5"/>
  <c r="V26" i="5"/>
  <c r="U26" i="5"/>
  <c r="T26" i="5"/>
  <c r="S26" i="5"/>
  <c r="M26" i="5"/>
  <c r="L26" i="5"/>
  <c r="H26" i="5"/>
  <c r="C26" i="5"/>
  <c r="B26" i="5"/>
  <c r="A26" i="5"/>
  <c r="X25" i="5"/>
  <c r="W25" i="5"/>
  <c r="V25" i="5"/>
  <c r="U25" i="5"/>
  <c r="T25" i="5"/>
  <c r="S25" i="5"/>
  <c r="M25" i="5"/>
  <c r="L25" i="5"/>
  <c r="H25" i="5"/>
  <c r="C25" i="5"/>
  <c r="B25" i="5"/>
  <c r="A25" i="5"/>
  <c r="X24" i="5"/>
  <c r="W24" i="5"/>
  <c r="V24" i="5"/>
  <c r="U24" i="5"/>
  <c r="T24" i="5"/>
  <c r="S24" i="5"/>
  <c r="M24" i="5"/>
  <c r="L24" i="5"/>
  <c r="H24" i="5"/>
  <c r="C24" i="5"/>
  <c r="B24" i="5"/>
  <c r="A24" i="5"/>
  <c r="X23" i="5"/>
  <c r="W23" i="5"/>
  <c r="V23" i="5"/>
  <c r="U23" i="5"/>
  <c r="T23" i="5"/>
  <c r="S23" i="5"/>
  <c r="M23" i="5"/>
  <c r="L23" i="5"/>
  <c r="H23" i="5"/>
  <c r="C23" i="5"/>
  <c r="B23" i="5"/>
  <c r="A23" i="5"/>
  <c r="X22" i="5"/>
  <c r="W22" i="5"/>
  <c r="V22" i="5"/>
  <c r="U22" i="5"/>
  <c r="T22" i="5"/>
  <c r="S22" i="5"/>
  <c r="M22" i="5"/>
  <c r="L22" i="5"/>
  <c r="H22" i="5"/>
  <c r="C22" i="5"/>
  <c r="B22" i="5"/>
  <c r="A22" i="5"/>
  <c r="X21" i="5"/>
  <c r="W21" i="5"/>
  <c r="V21" i="5"/>
  <c r="U21" i="5"/>
  <c r="T21" i="5"/>
  <c r="S21" i="5"/>
  <c r="M21" i="5"/>
  <c r="L21" i="5"/>
  <c r="H21" i="5"/>
  <c r="C21" i="5"/>
  <c r="B21" i="5"/>
  <c r="A21" i="5"/>
  <c r="X20" i="5"/>
  <c r="W20" i="5"/>
  <c r="V20" i="5"/>
  <c r="U20" i="5"/>
  <c r="T20" i="5"/>
  <c r="S20" i="5"/>
  <c r="M20" i="5"/>
  <c r="L20" i="5"/>
  <c r="H20" i="5"/>
  <c r="C20" i="5"/>
  <c r="B20" i="5"/>
  <c r="A20" i="5"/>
  <c r="X19" i="5"/>
  <c r="W19" i="5"/>
  <c r="V19" i="5"/>
  <c r="U19" i="5"/>
  <c r="T19" i="5"/>
  <c r="S19" i="5"/>
  <c r="M19" i="5"/>
  <c r="L19" i="5"/>
  <c r="H19" i="5"/>
  <c r="C19" i="5"/>
  <c r="B19" i="5"/>
  <c r="A19" i="5"/>
  <c r="X18" i="5"/>
  <c r="W18" i="5"/>
  <c r="V18" i="5"/>
  <c r="U18" i="5"/>
  <c r="T18" i="5"/>
  <c r="S18" i="5"/>
  <c r="M18" i="5"/>
  <c r="L18" i="5"/>
  <c r="H18" i="5"/>
  <c r="C18" i="5"/>
  <c r="B18" i="5"/>
  <c r="A18" i="5"/>
  <c r="X17" i="5"/>
  <c r="W17" i="5"/>
  <c r="V17" i="5"/>
  <c r="U17" i="5"/>
  <c r="T17" i="5"/>
  <c r="S17" i="5"/>
  <c r="M17" i="5"/>
  <c r="L17" i="5"/>
  <c r="H17" i="5"/>
  <c r="C17" i="5"/>
  <c r="B17" i="5"/>
  <c r="A17" i="5"/>
  <c r="X16" i="5"/>
  <c r="W16" i="5"/>
  <c r="V16" i="5"/>
  <c r="U16" i="5"/>
  <c r="T16" i="5"/>
  <c r="S16" i="5"/>
  <c r="M16" i="5"/>
  <c r="L16" i="5"/>
  <c r="H16" i="5"/>
  <c r="C16" i="5"/>
  <c r="B16" i="5"/>
  <c r="A16" i="5"/>
  <c r="X15" i="5"/>
  <c r="W15" i="5"/>
  <c r="V15" i="5"/>
  <c r="U15" i="5"/>
  <c r="T15" i="5"/>
  <c r="S15" i="5"/>
  <c r="M15" i="5"/>
  <c r="L15" i="5"/>
  <c r="H15" i="5"/>
  <c r="C15" i="5"/>
  <c r="B15" i="5"/>
  <c r="A15" i="5"/>
  <c r="X14" i="5"/>
  <c r="W14" i="5"/>
  <c r="V14" i="5"/>
  <c r="U14" i="5"/>
  <c r="T14" i="5"/>
  <c r="S14" i="5"/>
  <c r="M14" i="5"/>
  <c r="L14" i="5"/>
  <c r="H14" i="5"/>
  <c r="C14" i="5"/>
  <c r="B14" i="5"/>
  <c r="A14" i="5"/>
  <c r="X13" i="5"/>
  <c r="W13" i="5"/>
  <c r="V13" i="5"/>
  <c r="U13" i="5"/>
  <c r="T13" i="5"/>
  <c r="S13" i="5"/>
  <c r="M13" i="5"/>
  <c r="L13" i="5"/>
  <c r="H13" i="5"/>
  <c r="C13" i="5"/>
  <c r="B13" i="5"/>
  <c r="A13" i="5"/>
  <c r="X12" i="5"/>
  <c r="W12" i="5"/>
  <c r="V12" i="5"/>
  <c r="U12" i="5"/>
  <c r="T12" i="5"/>
  <c r="S12" i="5"/>
  <c r="M12" i="5"/>
  <c r="L12" i="5"/>
  <c r="H12" i="5"/>
  <c r="C12" i="5"/>
  <c r="B12" i="5"/>
  <c r="A12" i="5"/>
  <c r="X11" i="5"/>
  <c r="W11" i="5"/>
  <c r="V11" i="5"/>
  <c r="U11" i="5"/>
  <c r="T11" i="5"/>
  <c r="S11" i="5"/>
  <c r="M11" i="5"/>
  <c r="L11" i="5"/>
  <c r="H11" i="5"/>
  <c r="C11" i="5"/>
  <c r="B11" i="5"/>
  <c r="A11" i="5"/>
  <c r="X10" i="5"/>
  <c r="W10" i="5"/>
  <c r="V10" i="5"/>
  <c r="U10" i="5"/>
  <c r="T10" i="5"/>
  <c r="S10" i="5"/>
  <c r="M10" i="5"/>
  <c r="L10" i="5"/>
  <c r="H10" i="5"/>
  <c r="C10" i="5"/>
  <c r="B10" i="5"/>
  <c r="A10" i="5"/>
  <c r="X9" i="5"/>
  <c r="W9" i="5"/>
  <c r="V9" i="5"/>
  <c r="U9" i="5"/>
  <c r="T9" i="5"/>
  <c r="S9" i="5"/>
  <c r="M9" i="5"/>
  <c r="L9" i="5"/>
  <c r="H9" i="5"/>
  <c r="C9" i="5"/>
  <c r="B9" i="5"/>
  <c r="A9" i="5"/>
  <c r="X8" i="5"/>
  <c r="W8" i="5"/>
  <c r="V8" i="5"/>
  <c r="U8" i="5"/>
  <c r="T8" i="5"/>
  <c r="S8" i="5"/>
  <c r="M8" i="5"/>
  <c r="L8" i="5"/>
  <c r="H8" i="5"/>
  <c r="C8" i="5"/>
  <c r="B8" i="5"/>
  <c r="A8" i="5"/>
  <c r="X7" i="5"/>
  <c r="W7" i="5"/>
  <c r="V7" i="5"/>
  <c r="U7" i="5"/>
  <c r="T7" i="5"/>
  <c r="S7" i="5"/>
  <c r="M7" i="5"/>
  <c r="L7" i="5"/>
  <c r="H7" i="5"/>
  <c r="C7" i="5"/>
  <c r="B7" i="5"/>
  <c r="A7" i="5"/>
  <c r="X6" i="5"/>
  <c r="W6" i="5"/>
  <c r="V6" i="5"/>
  <c r="U6" i="5"/>
  <c r="T6" i="5"/>
  <c r="S6" i="5"/>
  <c r="M6" i="5"/>
  <c r="L6" i="5"/>
  <c r="H6" i="5"/>
  <c r="C6" i="5"/>
  <c r="B6" i="5"/>
  <c r="A6" i="5"/>
  <c r="X5" i="5"/>
  <c r="W5" i="5"/>
  <c r="V5" i="5"/>
  <c r="U5" i="5"/>
  <c r="T5" i="5"/>
  <c r="S5" i="5"/>
  <c r="M5" i="5"/>
  <c r="L5" i="5"/>
  <c r="H5" i="5"/>
  <c r="C5" i="5"/>
  <c r="B5" i="5"/>
  <c r="A5" i="5"/>
  <c r="X4" i="5"/>
  <c r="W4" i="5"/>
  <c r="V4" i="5"/>
  <c r="U4" i="5"/>
  <c r="T4" i="5"/>
  <c r="S4" i="5"/>
  <c r="M4" i="5"/>
  <c r="L4" i="5"/>
  <c r="H4" i="5"/>
  <c r="C4" i="5"/>
  <c r="B4" i="5"/>
  <c r="A4" i="5"/>
  <c r="X3" i="5"/>
  <c r="W3" i="5"/>
  <c r="V3" i="5"/>
  <c r="U3" i="5"/>
  <c r="T3" i="5"/>
  <c r="S3" i="5"/>
  <c r="M3" i="5"/>
  <c r="L3" i="5"/>
  <c r="H3" i="5"/>
  <c r="C3" i="5"/>
  <c r="B3" i="5"/>
  <c r="A3" i="5"/>
  <c r="X2" i="5"/>
  <c r="W2" i="5"/>
  <c r="V2" i="5"/>
  <c r="U2" i="5"/>
  <c r="T2" i="5"/>
  <c r="S2" i="5"/>
  <c r="Q2" i="5"/>
  <c r="M2" i="5"/>
  <c r="L2" i="5"/>
  <c r="H2" i="5"/>
  <c r="C2" i="5"/>
  <c r="B2" i="5"/>
  <c r="A2" i="5"/>
  <c r="AE98" i="4"/>
  <c r="AD98" i="4"/>
  <c r="AB98" i="4"/>
  <c r="AA98" i="4"/>
  <c r="Z98" i="4"/>
  <c r="Y98" i="4"/>
  <c r="X98" i="4"/>
  <c r="W98" i="4"/>
  <c r="U98" i="4"/>
  <c r="R98" i="4"/>
  <c r="N98" i="4"/>
  <c r="J98" i="4"/>
  <c r="D98" i="4"/>
  <c r="C98" i="4"/>
  <c r="B98" i="4"/>
  <c r="A98" i="4"/>
  <c r="AE97" i="4"/>
  <c r="AD97" i="4"/>
  <c r="AB97" i="4"/>
  <c r="AA97" i="4"/>
  <c r="Z97" i="4"/>
  <c r="Y97" i="4"/>
  <c r="X97" i="4"/>
  <c r="W97" i="4"/>
  <c r="U97" i="4"/>
  <c r="R97" i="4"/>
  <c r="N97" i="4"/>
  <c r="J97" i="4"/>
  <c r="D97" i="4"/>
  <c r="C97" i="4"/>
  <c r="B97" i="4"/>
  <c r="A97" i="4"/>
  <c r="AE96" i="4"/>
  <c r="AD96" i="4"/>
  <c r="AB96" i="4"/>
  <c r="AA96" i="4"/>
  <c r="Z96" i="4"/>
  <c r="Y96" i="4"/>
  <c r="X96" i="4"/>
  <c r="W96" i="4"/>
  <c r="U96" i="4"/>
  <c r="R96" i="4"/>
  <c r="N96" i="4"/>
  <c r="J96" i="4"/>
  <c r="D96" i="4"/>
  <c r="C96" i="4"/>
  <c r="B96" i="4"/>
  <c r="A96" i="4"/>
  <c r="AE95" i="4"/>
  <c r="AD95" i="4"/>
  <c r="AB95" i="4"/>
  <c r="AA95" i="4"/>
  <c r="Z95" i="4"/>
  <c r="Y95" i="4"/>
  <c r="X95" i="4"/>
  <c r="W95" i="4"/>
  <c r="U95" i="4"/>
  <c r="R95" i="4"/>
  <c r="N95" i="4"/>
  <c r="J95" i="4"/>
  <c r="D95" i="4"/>
  <c r="C95" i="4"/>
  <c r="B95" i="4"/>
  <c r="A95" i="4"/>
  <c r="AE94" i="4"/>
  <c r="AD94" i="4"/>
  <c r="AB94" i="4"/>
  <c r="AA94" i="4"/>
  <c r="Z94" i="4"/>
  <c r="Y94" i="4"/>
  <c r="X94" i="4"/>
  <c r="W94" i="4"/>
  <c r="U94" i="4"/>
  <c r="R94" i="4"/>
  <c r="N94" i="4"/>
  <c r="J94" i="4"/>
  <c r="D94" i="4"/>
  <c r="C94" i="4"/>
  <c r="B94" i="4"/>
  <c r="A94" i="4"/>
  <c r="AE93" i="4"/>
  <c r="AD93" i="4"/>
  <c r="AB93" i="4"/>
  <c r="AA93" i="4"/>
  <c r="Z93" i="4"/>
  <c r="Y93" i="4"/>
  <c r="X93" i="4"/>
  <c r="W93" i="4"/>
  <c r="U93" i="4"/>
  <c r="R93" i="4"/>
  <c r="N93" i="4"/>
  <c r="J93" i="4"/>
  <c r="D93" i="4"/>
  <c r="C93" i="4"/>
  <c r="B93" i="4"/>
  <c r="A93" i="4"/>
  <c r="AE92" i="4"/>
  <c r="AD92" i="4"/>
  <c r="AB92" i="4"/>
  <c r="AA92" i="4"/>
  <c r="Z92" i="4"/>
  <c r="Y92" i="4"/>
  <c r="X92" i="4"/>
  <c r="W92" i="4"/>
  <c r="U92" i="4"/>
  <c r="R92" i="4"/>
  <c r="N92" i="4"/>
  <c r="J92" i="4"/>
  <c r="D92" i="4"/>
  <c r="C92" i="4"/>
  <c r="B92" i="4"/>
  <c r="A92" i="4"/>
  <c r="AE91" i="4"/>
  <c r="AD91" i="4"/>
  <c r="AB91" i="4"/>
  <c r="AA91" i="4"/>
  <c r="Z91" i="4"/>
  <c r="Y91" i="4"/>
  <c r="X91" i="4"/>
  <c r="W91" i="4"/>
  <c r="U91" i="4"/>
  <c r="R91" i="4"/>
  <c r="N91" i="4"/>
  <c r="J91" i="4"/>
  <c r="D91" i="4"/>
  <c r="C91" i="4"/>
  <c r="B91" i="4"/>
  <c r="A91" i="4"/>
  <c r="AE90" i="4"/>
  <c r="AD90" i="4"/>
  <c r="AB90" i="4"/>
  <c r="AA90" i="4"/>
  <c r="Z90" i="4"/>
  <c r="Y90" i="4"/>
  <c r="X90" i="4"/>
  <c r="W90" i="4"/>
  <c r="U90" i="4"/>
  <c r="R90" i="4"/>
  <c r="N90" i="4"/>
  <c r="J90" i="4"/>
  <c r="D90" i="4"/>
  <c r="C90" i="4"/>
  <c r="B90" i="4"/>
  <c r="A90" i="4"/>
  <c r="AE89" i="4"/>
  <c r="AD89" i="4"/>
  <c r="AB89" i="4"/>
  <c r="AA89" i="4"/>
  <c r="Z89" i="4"/>
  <c r="Y89" i="4"/>
  <c r="X89" i="4"/>
  <c r="W89" i="4"/>
  <c r="U89" i="4"/>
  <c r="R89" i="4"/>
  <c r="N89" i="4"/>
  <c r="J89" i="4"/>
  <c r="D89" i="4"/>
  <c r="C89" i="4"/>
  <c r="B89" i="4"/>
  <c r="A89" i="4"/>
  <c r="AE88" i="4"/>
  <c r="AD88" i="4"/>
  <c r="AB88" i="4"/>
  <c r="AA88" i="4"/>
  <c r="Z88" i="4"/>
  <c r="Y88" i="4"/>
  <c r="X88" i="4"/>
  <c r="W88" i="4"/>
  <c r="U88" i="4"/>
  <c r="R88" i="4"/>
  <c r="N88" i="4"/>
  <c r="J88" i="4"/>
  <c r="D88" i="4"/>
  <c r="C88" i="4"/>
  <c r="B88" i="4"/>
  <c r="A88" i="4"/>
  <c r="AE87" i="4"/>
  <c r="AD87" i="4"/>
  <c r="AB87" i="4"/>
  <c r="AA87" i="4"/>
  <c r="Z87" i="4"/>
  <c r="Y87" i="4"/>
  <c r="X87" i="4"/>
  <c r="W87" i="4"/>
  <c r="U87" i="4"/>
  <c r="R87" i="4"/>
  <c r="N87" i="4"/>
  <c r="J87" i="4"/>
  <c r="D87" i="4"/>
  <c r="C87" i="4"/>
  <c r="B87" i="4"/>
  <c r="A87" i="4"/>
  <c r="AE86" i="4"/>
  <c r="AD86" i="4"/>
  <c r="AB86" i="4"/>
  <c r="AA86" i="4"/>
  <c r="Z86" i="4"/>
  <c r="Y86" i="4"/>
  <c r="X86" i="4"/>
  <c r="W86" i="4"/>
  <c r="U86" i="4"/>
  <c r="R86" i="4"/>
  <c r="N86" i="4"/>
  <c r="J86" i="4"/>
  <c r="D86" i="4"/>
  <c r="C86" i="4"/>
  <c r="B86" i="4"/>
  <c r="A86" i="4"/>
  <c r="AE85" i="4"/>
  <c r="AD85" i="4"/>
  <c r="AB85" i="4"/>
  <c r="AA85" i="4"/>
  <c r="Z85" i="4"/>
  <c r="Y85" i="4"/>
  <c r="X85" i="4"/>
  <c r="W85" i="4"/>
  <c r="U85" i="4"/>
  <c r="R85" i="4"/>
  <c r="N85" i="4"/>
  <c r="J85" i="4"/>
  <c r="D85" i="4"/>
  <c r="C85" i="4"/>
  <c r="B85" i="4"/>
  <c r="A85" i="4"/>
  <c r="AE84" i="4"/>
  <c r="AD84" i="4"/>
  <c r="AB84" i="4"/>
  <c r="AA84" i="4"/>
  <c r="Z84" i="4"/>
  <c r="Y84" i="4"/>
  <c r="X84" i="4"/>
  <c r="W84" i="4"/>
  <c r="U84" i="4"/>
  <c r="R84" i="4"/>
  <c r="N84" i="4"/>
  <c r="J84" i="4"/>
  <c r="D84" i="4"/>
  <c r="C84" i="4"/>
  <c r="B84" i="4"/>
  <c r="A84" i="4"/>
  <c r="AE83" i="4"/>
  <c r="AD83" i="4"/>
  <c r="AB83" i="4"/>
  <c r="AA83" i="4"/>
  <c r="Z83" i="4"/>
  <c r="Y83" i="4"/>
  <c r="X83" i="4"/>
  <c r="W83" i="4"/>
  <c r="U83" i="4"/>
  <c r="R83" i="4"/>
  <c r="N83" i="4"/>
  <c r="J83" i="4"/>
  <c r="D83" i="4"/>
  <c r="C83" i="4"/>
  <c r="B83" i="4"/>
  <c r="A83" i="4"/>
  <c r="AE82" i="4"/>
  <c r="AD82" i="4"/>
  <c r="AB82" i="4"/>
  <c r="AA82" i="4"/>
  <c r="Z82" i="4"/>
  <c r="Y82" i="4"/>
  <c r="X82" i="4"/>
  <c r="W82" i="4"/>
  <c r="U82" i="4"/>
  <c r="R82" i="4"/>
  <c r="N82" i="4"/>
  <c r="J82" i="4"/>
  <c r="D82" i="4"/>
  <c r="C82" i="4"/>
  <c r="B82" i="4"/>
  <c r="A82" i="4"/>
  <c r="AE81" i="4"/>
  <c r="AD81" i="4"/>
  <c r="AB81" i="4"/>
  <c r="AA81" i="4"/>
  <c r="Z81" i="4"/>
  <c r="Y81" i="4"/>
  <c r="X81" i="4"/>
  <c r="W81" i="4"/>
  <c r="U81" i="4"/>
  <c r="R81" i="4"/>
  <c r="N81" i="4"/>
  <c r="J81" i="4"/>
  <c r="D81" i="4"/>
  <c r="C81" i="4"/>
  <c r="B81" i="4"/>
  <c r="A81" i="4"/>
  <c r="AE80" i="4"/>
  <c r="AD80" i="4"/>
  <c r="AB80" i="4"/>
  <c r="AA80" i="4"/>
  <c r="Z80" i="4"/>
  <c r="Y80" i="4"/>
  <c r="X80" i="4"/>
  <c r="W80" i="4"/>
  <c r="U80" i="4"/>
  <c r="R80" i="4"/>
  <c r="N80" i="4"/>
  <c r="J80" i="4"/>
  <c r="D80" i="4"/>
  <c r="C80" i="4"/>
  <c r="B80" i="4"/>
  <c r="A80" i="4"/>
  <c r="AE79" i="4"/>
  <c r="AD79" i="4"/>
  <c r="AB79" i="4"/>
  <c r="AA79" i="4"/>
  <c r="Z79" i="4"/>
  <c r="Y79" i="4"/>
  <c r="X79" i="4"/>
  <c r="W79" i="4"/>
  <c r="U79" i="4"/>
  <c r="R79" i="4"/>
  <c r="N79" i="4"/>
  <c r="J79" i="4"/>
  <c r="D79" i="4"/>
  <c r="C79" i="4"/>
  <c r="B79" i="4"/>
  <c r="A79" i="4"/>
  <c r="AE78" i="4"/>
  <c r="AD78" i="4"/>
  <c r="AB78" i="4"/>
  <c r="AA78" i="4"/>
  <c r="Z78" i="4"/>
  <c r="Y78" i="4"/>
  <c r="X78" i="4"/>
  <c r="W78" i="4"/>
  <c r="U78" i="4"/>
  <c r="R78" i="4"/>
  <c r="N78" i="4"/>
  <c r="J78" i="4"/>
  <c r="D78" i="4"/>
  <c r="C78" i="4"/>
  <c r="B78" i="4"/>
  <c r="A78" i="4"/>
  <c r="AE77" i="4"/>
  <c r="AD77" i="4"/>
  <c r="AB77" i="4"/>
  <c r="AA77" i="4"/>
  <c r="Z77" i="4"/>
  <c r="Y77" i="4"/>
  <c r="X77" i="4"/>
  <c r="W77" i="4"/>
  <c r="U77" i="4"/>
  <c r="R77" i="4"/>
  <c r="N77" i="4"/>
  <c r="J77" i="4"/>
  <c r="D77" i="4"/>
  <c r="C77" i="4"/>
  <c r="B77" i="4"/>
  <c r="A77" i="4"/>
  <c r="AE76" i="4"/>
  <c r="AD76" i="4"/>
  <c r="AB76" i="4"/>
  <c r="AA76" i="4"/>
  <c r="Z76" i="4"/>
  <c r="Y76" i="4"/>
  <c r="X76" i="4"/>
  <c r="W76" i="4"/>
  <c r="U76" i="4"/>
  <c r="R76" i="4"/>
  <c r="N76" i="4"/>
  <c r="J76" i="4"/>
  <c r="D76" i="4"/>
  <c r="C76" i="4"/>
  <c r="B76" i="4"/>
  <c r="A76" i="4"/>
  <c r="AE75" i="4"/>
  <c r="AD75" i="4"/>
  <c r="AB75" i="4"/>
  <c r="AA75" i="4"/>
  <c r="Z75" i="4"/>
  <c r="Y75" i="4"/>
  <c r="X75" i="4"/>
  <c r="W75" i="4"/>
  <c r="U75" i="4"/>
  <c r="R75" i="4"/>
  <c r="N75" i="4"/>
  <c r="J75" i="4"/>
  <c r="D75" i="4"/>
  <c r="C75" i="4"/>
  <c r="B75" i="4"/>
  <c r="A75" i="4"/>
  <c r="AE74" i="4"/>
  <c r="AD74" i="4"/>
  <c r="AB74" i="4"/>
  <c r="AA74" i="4"/>
  <c r="Z74" i="4"/>
  <c r="Y74" i="4"/>
  <c r="X74" i="4"/>
  <c r="W74" i="4"/>
  <c r="U74" i="4"/>
  <c r="R74" i="4"/>
  <c r="N74" i="4"/>
  <c r="J74" i="4"/>
  <c r="D74" i="4"/>
  <c r="C74" i="4"/>
  <c r="B74" i="4"/>
  <c r="A74" i="4"/>
  <c r="AE73" i="4"/>
  <c r="AD73" i="4"/>
  <c r="AB73" i="4"/>
  <c r="AA73" i="4"/>
  <c r="Z73" i="4"/>
  <c r="Y73" i="4"/>
  <c r="X73" i="4"/>
  <c r="W73" i="4"/>
  <c r="U73" i="4"/>
  <c r="R73" i="4"/>
  <c r="N73" i="4"/>
  <c r="J73" i="4"/>
  <c r="D73" i="4"/>
  <c r="C73" i="4"/>
  <c r="B73" i="4"/>
  <c r="A73" i="4"/>
  <c r="AE72" i="4"/>
  <c r="AD72" i="4"/>
  <c r="AB72" i="4"/>
  <c r="AA72" i="4"/>
  <c r="Z72" i="4"/>
  <c r="Y72" i="4"/>
  <c r="X72" i="4"/>
  <c r="W72" i="4"/>
  <c r="U72" i="4"/>
  <c r="R72" i="4"/>
  <c r="N72" i="4"/>
  <c r="J72" i="4"/>
  <c r="D72" i="4"/>
  <c r="C72" i="4"/>
  <c r="B72" i="4"/>
  <c r="A72" i="4"/>
  <c r="AE71" i="4"/>
  <c r="AD71" i="4"/>
  <c r="AB71" i="4"/>
  <c r="AA71" i="4"/>
  <c r="Z71" i="4"/>
  <c r="Y71" i="4"/>
  <c r="X71" i="4"/>
  <c r="W71" i="4"/>
  <c r="U71" i="4"/>
  <c r="R71" i="4"/>
  <c r="N71" i="4"/>
  <c r="J71" i="4"/>
  <c r="D71" i="4"/>
  <c r="C71" i="4"/>
  <c r="B71" i="4"/>
  <c r="A71" i="4"/>
  <c r="AE70" i="4"/>
  <c r="AD70" i="4"/>
  <c r="AB70" i="4"/>
  <c r="AA70" i="4"/>
  <c r="Z70" i="4"/>
  <c r="Y70" i="4"/>
  <c r="X70" i="4"/>
  <c r="W70" i="4"/>
  <c r="U70" i="4"/>
  <c r="R70" i="4"/>
  <c r="N70" i="4"/>
  <c r="J70" i="4"/>
  <c r="D70" i="4"/>
  <c r="C70" i="4"/>
  <c r="B70" i="4"/>
  <c r="A70" i="4"/>
  <c r="AE69" i="4"/>
  <c r="AD69" i="4"/>
  <c r="AB69" i="4"/>
  <c r="AA69" i="4"/>
  <c r="Z69" i="4"/>
  <c r="Y69" i="4"/>
  <c r="X69" i="4"/>
  <c r="W69" i="4"/>
  <c r="U69" i="4"/>
  <c r="R69" i="4"/>
  <c r="N69" i="4"/>
  <c r="J69" i="4"/>
  <c r="D69" i="4"/>
  <c r="C69" i="4"/>
  <c r="B69" i="4"/>
  <c r="A69" i="4"/>
  <c r="AE68" i="4"/>
  <c r="AD68" i="4"/>
  <c r="AB68" i="4"/>
  <c r="AA68" i="4"/>
  <c r="Z68" i="4"/>
  <c r="Y68" i="4"/>
  <c r="X68" i="4"/>
  <c r="W68" i="4"/>
  <c r="U68" i="4"/>
  <c r="R68" i="4"/>
  <c r="N68" i="4"/>
  <c r="J68" i="4"/>
  <c r="D68" i="4"/>
  <c r="C68" i="4"/>
  <c r="B68" i="4"/>
  <c r="A68" i="4"/>
  <c r="AE67" i="4"/>
  <c r="AD67" i="4"/>
  <c r="AB67" i="4"/>
  <c r="AA67" i="4"/>
  <c r="Z67" i="4"/>
  <c r="Y67" i="4"/>
  <c r="X67" i="4"/>
  <c r="W67" i="4"/>
  <c r="U67" i="4"/>
  <c r="R67" i="4"/>
  <c r="N67" i="4"/>
  <c r="J67" i="4"/>
  <c r="D67" i="4"/>
  <c r="C67" i="4"/>
  <c r="B67" i="4"/>
  <c r="A67" i="4"/>
  <c r="AE66" i="4"/>
  <c r="AD66" i="4"/>
  <c r="AB66" i="4"/>
  <c r="AA66" i="4"/>
  <c r="Z66" i="4"/>
  <c r="Y66" i="4"/>
  <c r="X66" i="4"/>
  <c r="W66" i="4"/>
  <c r="U66" i="4"/>
  <c r="R66" i="4"/>
  <c r="N66" i="4"/>
  <c r="J66" i="4"/>
  <c r="D66" i="4"/>
  <c r="C66" i="4"/>
  <c r="B66" i="4"/>
  <c r="A66" i="4"/>
  <c r="AE65" i="4"/>
  <c r="AD65" i="4"/>
  <c r="AB65" i="4"/>
  <c r="AA65" i="4"/>
  <c r="Z65" i="4"/>
  <c r="Y65" i="4"/>
  <c r="X65" i="4"/>
  <c r="W65" i="4"/>
  <c r="U65" i="4"/>
  <c r="R65" i="4"/>
  <c r="N65" i="4"/>
  <c r="J65" i="4"/>
  <c r="D65" i="4"/>
  <c r="C65" i="4"/>
  <c r="B65" i="4"/>
  <c r="A65" i="4"/>
  <c r="AE64" i="4"/>
  <c r="AD64" i="4"/>
  <c r="AB64" i="4"/>
  <c r="AA64" i="4"/>
  <c r="Z64" i="4"/>
  <c r="Y64" i="4"/>
  <c r="X64" i="4"/>
  <c r="W64" i="4"/>
  <c r="U64" i="4"/>
  <c r="R64" i="4"/>
  <c r="N64" i="4"/>
  <c r="J64" i="4"/>
  <c r="D64" i="4"/>
  <c r="C64" i="4"/>
  <c r="B64" i="4"/>
  <c r="A64" i="4"/>
  <c r="AE63" i="4"/>
  <c r="AD63" i="4"/>
  <c r="AB63" i="4"/>
  <c r="AA63" i="4"/>
  <c r="Z63" i="4"/>
  <c r="Y63" i="4"/>
  <c r="X63" i="4"/>
  <c r="W63" i="4"/>
  <c r="U63" i="4"/>
  <c r="R63" i="4"/>
  <c r="N63" i="4"/>
  <c r="J63" i="4"/>
  <c r="D63" i="4"/>
  <c r="C63" i="4"/>
  <c r="B63" i="4"/>
  <c r="A63" i="4"/>
  <c r="AE62" i="4"/>
  <c r="AD62" i="4"/>
  <c r="AB62" i="4"/>
  <c r="AA62" i="4"/>
  <c r="Z62" i="4"/>
  <c r="Y62" i="4"/>
  <c r="X62" i="4"/>
  <c r="W62" i="4"/>
  <c r="U62" i="4"/>
  <c r="R62" i="4"/>
  <c r="N62" i="4"/>
  <c r="J62" i="4"/>
  <c r="D62" i="4"/>
  <c r="C62" i="4"/>
  <c r="B62" i="4"/>
  <c r="A62" i="4"/>
  <c r="AE61" i="4"/>
  <c r="AD61" i="4"/>
  <c r="AB61" i="4"/>
  <c r="AA61" i="4"/>
  <c r="Z61" i="4"/>
  <c r="Y61" i="4"/>
  <c r="X61" i="4"/>
  <c r="W61" i="4"/>
  <c r="U61" i="4"/>
  <c r="R61" i="4"/>
  <c r="N61" i="4"/>
  <c r="J61" i="4"/>
  <c r="D61" i="4"/>
  <c r="C61" i="4"/>
  <c r="B61" i="4"/>
  <c r="A61" i="4"/>
  <c r="AE60" i="4"/>
  <c r="AD60" i="4"/>
  <c r="AB60" i="4"/>
  <c r="AA60" i="4"/>
  <c r="Z60" i="4"/>
  <c r="Y60" i="4"/>
  <c r="X60" i="4"/>
  <c r="W60" i="4"/>
  <c r="U60" i="4"/>
  <c r="R60" i="4"/>
  <c r="N60" i="4"/>
  <c r="J60" i="4"/>
  <c r="D60" i="4"/>
  <c r="C60" i="4"/>
  <c r="B60" i="4"/>
  <c r="A60" i="4"/>
  <c r="AE59" i="4"/>
  <c r="AD59" i="4"/>
  <c r="AB59" i="4"/>
  <c r="AA59" i="4"/>
  <c r="Z59" i="4"/>
  <c r="Y59" i="4"/>
  <c r="X59" i="4"/>
  <c r="W59" i="4"/>
  <c r="U59" i="4"/>
  <c r="R59" i="4"/>
  <c r="N59" i="4"/>
  <c r="J59" i="4"/>
  <c r="D59" i="4"/>
  <c r="C59" i="4"/>
  <c r="B59" i="4"/>
  <c r="A59" i="4"/>
  <c r="AE58" i="4"/>
  <c r="AD58" i="4"/>
  <c r="AB58" i="4"/>
  <c r="AA58" i="4"/>
  <c r="Z58" i="4"/>
  <c r="Y58" i="4"/>
  <c r="X58" i="4"/>
  <c r="W58" i="4"/>
  <c r="U58" i="4"/>
  <c r="R58" i="4"/>
  <c r="N58" i="4"/>
  <c r="J58" i="4"/>
  <c r="D58" i="4"/>
  <c r="C58" i="4"/>
  <c r="B58" i="4"/>
  <c r="A58" i="4"/>
  <c r="AE57" i="4"/>
  <c r="AD57" i="4"/>
  <c r="AB57" i="4"/>
  <c r="AA57" i="4"/>
  <c r="Z57" i="4"/>
  <c r="Y57" i="4"/>
  <c r="X57" i="4"/>
  <c r="W57" i="4"/>
  <c r="U57" i="4"/>
  <c r="R57" i="4"/>
  <c r="N57" i="4"/>
  <c r="J57" i="4"/>
  <c r="D57" i="4"/>
  <c r="C57" i="4"/>
  <c r="B57" i="4"/>
  <c r="A57" i="4"/>
  <c r="AE56" i="4"/>
  <c r="AD56" i="4"/>
  <c r="AB56" i="4"/>
  <c r="AA56" i="4"/>
  <c r="Z56" i="4"/>
  <c r="Y56" i="4"/>
  <c r="X56" i="4"/>
  <c r="W56" i="4"/>
  <c r="U56" i="4"/>
  <c r="R56" i="4"/>
  <c r="N56" i="4"/>
  <c r="J56" i="4"/>
  <c r="D56" i="4"/>
  <c r="C56" i="4"/>
  <c r="B56" i="4"/>
  <c r="A56" i="4"/>
  <c r="AE55" i="4"/>
  <c r="AD55" i="4"/>
  <c r="AB55" i="4"/>
  <c r="AA55" i="4"/>
  <c r="Z55" i="4"/>
  <c r="Y55" i="4"/>
  <c r="X55" i="4"/>
  <c r="W55" i="4"/>
  <c r="U55" i="4"/>
  <c r="R55" i="4"/>
  <c r="N55" i="4"/>
  <c r="J55" i="4"/>
  <c r="D55" i="4"/>
  <c r="C55" i="4"/>
  <c r="B55" i="4"/>
  <c r="A55" i="4"/>
  <c r="AE54" i="4"/>
  <c r="AD54" i="4"/>
  <c r="AB54" i="4"/>
  <c r="AA54" i="4"/>
  <c r="Z54" i="4"/>
  <c r="Y54" i="4"/>
  <c r="X54" i="4"/>
  <c r="W54" i="4"/>
  <c r="U54" i="4"/>
  <c r="R54" i="4"/>
  <c r="N54" i="4"/>
  <c r="J54" i="4"/>
  <c r="D54" i="4"/>
  <c r="C54" i="4"/>
  <c r="B54" i="4"/>
  <c r="A54" i="4"/>
  <c r="AE53" i="4"/>
  <c r="AD53" i="4"/>
  <c r="AB53" i="4"/>
  <c r="AA53" i="4"/>
  <c r="Z53" i="4"/>
  <c r="Y53" i="4"/>
  <c r="X53" i="4"/>
  <c r="W53" i="4"/>
  <c r="U53" i="4"/>
  <c r="R53" i="4"/>
  <c r="N53" i="4"/>
  <c r="J53" i="4"/>
  <c r="D53" i="4"/>
  <c r="C53" i="4"/>
  <c r="B53" i="4"/>
  <c r="A53" i="4"/>
  <c r="AE52" i="4"/>
  <c r="AD52" i="4"/>
  <c r="AB52" i="4"/>
  <c r="AA52" i="4"/>
  <c r="Z52" i="4"/>
  <c r="Y52" i="4"/>
  <c r="X52" i="4"/>
  <c r="W52" i="4"/>
  <c r="U52" i="4"/>
  <c r="R52" i="4"/>
  <c r="N52" i="4"/>
  <c r="J52" i="4"/>
  <c r="D52" i="4"/>
  <c r="C52" i="4"/>
  <c r="B52" i="4"/>
  <c r="A52" i="4"/>
  <c r="AE51" i="4"/>
  <c r="AD51" i="4"/>
  <c r="AB51" i="4"/>
  <c r="AA51" i="4"/>
  <c r="Z51" i="4"/>
  <c r="Y51" i="4"/>
  <c r="X51" i="4"/>
  <c r="W51" i="4"/>
  <c r="U51" i="4"/>
  <c r="R51" i="4"/>
  <c r="N51" i="4"/>
  <c r="J51" i="4"/>
  <c r="D51" i="4"/>
  <c r="C51" i="4"/>
  <c r="B51" i="4"/>
  <c r="A51" i="4"/>
  <c r="AE50" i="4"/>
  <c r="AD50" i="4"/>
  <c r="AB50" i="4"/>
  <c r="AA50" i="4"/>
  <c r="Z50" i="4"/>
  <c r="Y50" i="4"/>
  <c r="X50" i="4"/>
  <c r="W50" i="4"/>
  <c r="U50" i="4"/>
  <c r="R50" i="4"/>
  <c r="N50" i="4"/>
  <c r="J50" i="4"/>
  <c r="D50" i="4"/>
  <c r="C50" i="4"/>
  <c r="B50" i="4"/>
  <c r="A50" i="4"/>
  <c r="AE49" i="4"/>
  <c r="AD49" i="4"/>
  <c r="AB49" i="4"/>
  <c r="AA49" i="4"/>
  <c r="Z49" i="4"/>
  <c r="Y49" i="4"/>
  <c r="X49" i="4"/>
  <c r="W49" i="4"/>
  <c r="U49" i="4"/>
  <c r="R49" i="4"/>
  <c r="N49" i="4"/>
  <c r="J49" i="4"/>
  <c r="D49" i="4"/>
  <c r="C49" i="4"/>
  <c r="B49" i="4"/>
  <c r="A49" i="4"/>
  <c r="AE48" i="4"/>
  <c r="AD48" i="4"/>
  <c r="AB48" i="4"/>
  <c r="AA48" i="4"/>
  <c r="Z48" i="4"/>
  <c r="Y48" i="4"/>
  <c r="X48" i="4"/>
  <c r="W48" i="4"/>
  <c r="U48" i="4"/>
  <c r="R48" i="4"/>
  <c r="N48" i="4"/>
  <c r="J48" i="4"/>
  <c r="D48" i="4"/>
  <c r="C48" i="4"/>
  <c r="B48" i="4"/>
  <c r="A48" i="4"/>
  <c r="AE47" i="4"/>
  <c r="AD47" i="4"/>
  <c r="AB47" i="4"/>
  <c r="AA47" i="4"/>
  <c r="Z47" i="4"/>
  <c r="Y47" i="4"/>
  <c r="X47" i="4"/>
  <c r="W47" i="4"/>
  <c r="U47" i="4"/>
  <c r="R47" i="4"/>
  <c r="N47" i="4"/>
  <c r="J47" i="4"/>
  <c r="D47" i="4"/>
  <c r="C47" i="4"/>
  <c r="B47" i="4"/>
  <c r="A47" i="4"/>
  <c r="AE46" i="4"/>
  <c r="AD46" i="4"/>
  <c r="AB46" i="4"/>
  <c r="AA46" i="4"/>
  <c r="Z46" i="4"/>
  <c r="Y46" i="4"/>
  <c r="X46" i="4"/>
  <c r="W46" i="4"/>
  <c r="U46" i="4"/>
  <c r="R46" i="4"/>
  <c r="N46" i="4"/>
  <c r="J46" i="4"/>
  <c r="D46" i="4"/>
  <c r="C46" i="4"/>
  <c r="B46" i="4"/>
  <c r="A46" i="4"/>
  <c r="AE45" i="4"/>
  <c r="AD45" i="4"/>
  <c r="AB45" i="4"/>
  <c r="AA45" i="4"/>
  <c r="Z45" i="4"/>
  <c r="Y45" i="4"/>
  <c r="X45" i="4"/>
  <c r="W45" i="4"/>
  <c r="U45" i="4"/>
  <c r="R45" i="4"/>
  <c r="N45" i="4"/>
  <c r="J45" i="4"/>
  <c r="D45" i="4"/>
  <c r="C45" i="4"/>
  <c r="B45" i="4"/>
  <c r="A45" i="4"/>
  <c r="AE44" i="4"/>
  <c r="AD44" i="4"/>
  <c r="AB44" i="4"/>
  <c r="AA44" i="4"/>
  <c r="Z44" i="4"/>
  <c r="Y44" i="4"/>
  <c r="X44" i="4"/>
  <c r="W44" i="4"/>
  <c r="U44" i="4"/>
  <c r="R44" i="4"/>
  <c r="N44" i="4"/>
  <c r="J44" i="4"/>
  <c r="D44" i="4"/>
  <c r="C44" i="4"/>
  <c r="B44" i="4"/>
  <c r="A44" i="4"/>
  <c r="AE43" i="4"/>
  <c r="AD43" i="4"/>
  <c r="AB43" i="4"/>
  <c r="AA43" i="4"/>
  <c r="Z43" i="4"/>
  <c r="Y43" i="4"/>
  <c r="X43" i="4"/>
  <c r="W43" i="4"/>
  <c r="U43" i="4"/>
  <c r="R43" i="4"/>
  <c r="N43" i="4"/>
  <c r="J43" i="4"/>
  <c r="D43" i="4"/>
  <c r="C43" i="4"/>
  <c r="B43" i="4"/>
  <c r="A43" i="4"/>
  <c r="AE42" i="4"/>
  <c r="AD42" i="4"/>
  <c r="AB42" i="4"/>
  <c r="AA42" i="4"/>
  <c r="Z42" i="4"/>
  <c r="Y42" i="4"/>
  <c r="X42" i="4"/>
  <c r="W42" i="4"/>
  <c r="U42" i="4"/>
  <c r="R42" i="4"/>
  <c r="N42" i="4"/>
  <c r="J42" i="4"/>
  <c r="D42" i="4"/>
  <c r="C42" i="4"/>
  <c r="B42" i="4"/>
  <c r="A42" i="4"/>
  <c r="AE41" i="4"/>
  <c r="AD41" i="4"/>
  <c r="AB41" i="4"/>
  <c r="AA41" i="4"/>
  <c r="Z41" i="4"/>
  <c r="Y41" i="4"/>
  <c r="X41" i="4"/>
  <c r="W41" i="4"/>
  <c r="U41" i="4"/>
  <c r="R41" i="4"/>
  <c r="N41" i="4"/>
  <c r="J41" i="4"/>
  <c r="D41" i="4"/>
  <c r="C41" i="4"/>
  <c r="B41" i="4"/>
  <c r="A41" i="4"/>
  <c r="AE40" i="4"/>
  <c r="AD40" i="4"/>
  <c r="AB40" i="4"/>
  <c r="AA40" i="4"/>
  <c r="Z40" i="4"/>
  <c r="Y40" i="4"/>
  <c r="X40" i="4"/>
  <c r="W40" i="4"/>
  <c r="U40" i="4"/>
  <c r="R40" i="4"/>
  <c r="N40" i="4"/>
  <c r="J40" i="4"/>
  <c r="D40" i="4"/>
  <c r="C40" i="4"/>
  <c r="B40" i="4"/>
  <c r="A40" i="4"/>
  <c r="AE39" i="4"/>
  <c r="AD39" i="4"/>
  <c r="AB39" i="4"/>
  <c r="AA39" i="4"/>
  <c r="Z39" i="4"/>
  <c r="Y39" i="4"/>
  <c r="X39" i="4"/>
  <c r="W39" i="4"/>
  <c r="U39" i="4"/>
  <c r="R39" i="4"/>
  <c r="N39" i="4"/>
  <c r="J39" i="4"/>
  <c r="D39" i="4"/>
  <c r="C39" i="4"/>
  <c r="B39" i="4"/>
  <c r="A39" i="4"/>
  <c r="AE38" i="4"/>
  <c r="AD38" i="4"/>
  <c r="AB38" i="4"/>
  <c r="AA38" i="4"/>
  <c r="Z38" i="4"/>
  <c r="Y38" i="4"/>
  <c r="X38" i="4"/>
  <c r="W38" i="4"/>
  <c r="U38" i="4"/>
  <c r="R38" i="4"/>
  <c r="N38" i="4"/>
  <c r="J38" i="4"/>
  <c r="D38" i="4"/>
  <c r="C38" i="4"/>
  <c r="B38" i="4"/>
  <c r="A38" i="4"/>
  <c r="AE37" i="4"/>
  <c r="AD37" i="4"/>
  <c r="AB37" i="4"/>
  <c r="AA37" i="4"/>
  <c r="Z37" i="4"/>
  <c r="Y37" i="4"/>
  <c r="X37" i="4"/>
  <c r="W37" i="4"/>
  <c r="U37" i="4"/>
  <c r="R37" i="4"/>
  <c r="N37" i="4"/>
  <c r="J37" i="4"/>
  <c r="D37" i="4"/>
  <c r="C37" i="4"/>
  <c r="B37" i="4"/>
  <c r="A37" i="4"/>
  <c r="AE36" i="4"/>
  <c r="AD36" i="4"/>
  <c r="AB36" i="4"/>
  <c r="AA36" i="4"/>
  <c r="Z36" i="4"/>
  <c r="Y36" i="4"/>
  <c r="X36" i="4"/>
  <c r="W36" i="4"/>
  <c r="U36" i="4"/>
  <c r="R36" i="4"/>
  <c r="N36" i="4"/>
  <c r="J36" i="4"/>
  <c r="D36" i="4"/>
  <c r="C36" i="4"/>
  <c r="B36" i="4"/>
  <c r="A36" i="4"/>
  <c r="AE35" i="4"/>
  <c r="AD35" i="4"/>
  <c r="AB35" i="4"/>
  <c r="AA35" i="4"/>
  <c r="Z35" i="4"/>
  <c r="Y35" i="4"/>
  <c r="X35" i="4"/>
  <c r="W35" i="4"/>
  <c r="U35" i="4"/>
  <c r="R35" i="4"/>
  <c r="N35" i="4"/>
  <c r="J35" i="4"/>
  <c r="D35" i="4"/>
  <c r="C35" i="4"/>
  <c r="B35" i="4"/>
  <c r="A35" i="4"/>
  <c r="AE34" i="4"/>
  <c r="AD34" i="4"/>
  <c r="AB34" i="4"/>
  <c r="AA34" i="4"/>
  <c r="Z34" i="4"/>
  <c r="Y34" i="4"/>
  <c r="X34" i="4"/>
  <c r="W34" i="4"/>
  <c r="U34" i="4"/>
  <c r="R34" i="4"/>
  <c r="N34" i="4"/>
  <c r="J34" i="4"/>
  <c r="D34" i="4"/>
  <c r="C34" i="4"/>
  <c r="B34" i="4"/>
  <c r="A34" i="4"/>
  <c r="AE33" i="4"/>
  <c r="AD33" i="4"/>
  <c r="AB33" i="4"/>
  <c r="AA33" i="4"/>
  <c r="Z33" i="4"/>
  <c r="Y33" i="4"/>
  <c r="X33" i="4"/>
  <c r="W33" i="4"/>
  <c r="U33" i="4"/>
  <c r="R33" i="4"/>
  <c r="N33" i="4"/>
  <c r="J33" i="4"/>
  <c r="D33" i="4"/>
  <c r="C33" i="4"/>
  <c r="B33" i="4"/>
  <c r="A33" i="4"/>
  <c r="AE32" i="4"/>
  <c r="AD32" i="4"/>
  <c r="AB32" i="4"/>
  <c r="AA32" i="4"/>
  <c r="Z32" i="4"/>
  <c r="Y32" i="4"/>
  <c r="X32" i="4"/>
  <c r="W32" i="4"/>
  <c r="U32" i="4"/>
  <c r="R32" i="4"/>
  <c r="N32" i="4"/>
  <c r="J32" i="4"/>
  <c r="D32" i="4"/>
  <c r="C32" i="4"/>
  <c r="B32" i="4"/>
  <c r="A32" i="4"/>
  <c r="AE31" i="4"/>
  <c r="AD31" i="4"/>
  <c r="AB31" i="4"/>
  <c r="AA31" i="4"/>
  <c r="Z31" i="4"/>
  <c r="Y31" i="4"/>
  <c r="X31" i="4"/>
  <c r="W31" i="4"/>
  <c r="U31" i="4"/>
  <c r="R31" i="4"/>
  <c r="N31" i="4"/>
  <c r="J31" i="4"/>
  <c r="D31" i="4"/>
  <c r="C31" i="4"/>
  <c r="B31" i="4"/>
  <c r="A31" i="4"/>
  <c r="AE30" i="4"/>
  <c r="AD30" i="4"/>
  <c r="AB30" i="4"/>
  <c r="AA30" i="4"/>
  <c r="Z30" i="4"/>
  <c r="Y30" i="4"/>
  <c r="X30" i="4"/>
  <c r="W30" i="4"/>
  <c r="U30" i="4"/>
  <c r="R30" i="4"/>
  <c r="N30" i="4"/>
  <c r="J30" i="4"/>
  <c r="D30" i="4"/>
  <c r="C30" i="4"/>
  <c r="B30" i="4"/>
  <c r="A30" i="4"/>
  <c r="AE29" i="4"/>
  <c r="AD29" i="4"/>
  <c r="AB29" i="4"/>
  <c r="AA29" i="4"/>
  <c r="Z29" i="4"/>
  <c r="Y29" i="4"/>
  <c r="X29" i="4"/>
  <c r="W29" i="4"/>
  <c r="U29" i="4"/>
  <c r="R29" i="4"/>
  <c r="N29" i="4"/>
  <c r="J29" i="4"/>
  <c r="D29" i="4"/>
  <c r="C29" i="4"/>
  <c r="B29" i="4"/>
  <c r="A29" i="4"/>
  <c r="AE28" i="4"/>
  <c r="AD28" i="4"/>
  <c r="AB28" i="4"/>
  <c r="AA28" i="4"/>
  <c r="Z28" i="4"/>
  <c r="Y28" i="4"/>
  <c r="X28" i="4"/>
  <c r="W28" i="4"/>
  <c r="U28" i="4"/>
  <c r="R28" i="4"/>
  <c r="N28" i="4"/>
  <c r="J28" i="4"/>
  <c r="D28" i="4"/>
  <c r="C28" i="4"/>
  <c r="B28" i="4"/>
  <c r="A28" i="4"/>
  <c r="AE27" i="4"/>
  <c r="AD27" i="4"/>
  <c r="AB27" i="4"/>
  <c r="AA27" i="4"/>
  <c r="Z27" i="4"/>
  <c r="Y27" i="4"/>
  <c r="X27" i="4"/>
  <c r="W27" i="4"/>
  <c r="U27" i="4"/>
  <c r="R27" i="4"/>
  <c r="N27" i="4"/>
  <c r="J27" i="4"/>
  <c r="D27" i="4"/>
  <c r="C27" i="4"/>
  <c r="B27" i="4"/>
  <c r="A27" i="4"/>
  <c r="AE26" i="4"/>
  <c r="AD26" i="4"/>
  <c r="AB26" i="4"/>
  <c r="AA26" i="4"/>
  <c r="Z26" i="4"/>
  <c r="Y26" i="4"/>
  <c r="X26" i="4"/>
  <c r="W26" i="4"/>
  <c r="U26" i="4"/>
  <c r="R26" i="4"/>
  <c r="N26" i="4"/>
  <c r="J26" i="4"/>
  <c r="D26" i="4"/>
  <c r="C26" i="4"/>
  <c r="B26" i="4"/>
  <c r="A26" i="4"/>
  <c r="AE25" i="4"/>
  <c r="AD25" i="4"/>
  <c r="AB25" i="4"/>
  <c r="AA25" i="4"/>
  <c r="Z25" i="4"/>
  <c r="Y25" i="4"/>
  <c r="X25" i="4"/>
  <c r="W25" i="4"/>
  <c r="U25" i="4"/>
  <c r="R25" i="4"/>
  <c r="N25" i="4"/>
  <c r="J25" i="4"/>
  <c r="D25" i="4"/>
  <c r="C25" i="4"/>
  <c r="B25" i="4"/>
  <c r="A25" i="4"/>
  <c r="AE24" i="4"/>
  <c r="AD24" i="4"/>
  <c r="AB24" i="4"/>
  <c r="AA24" i="4"/>
  <c r="Z24" i="4"/>
  <c r="Y24" i="4"/>
  <c r="X24" i="4"/>
  <c r="W24" i="4"/>
  <c r="U24" i="4"/>
  <c r="R24" i="4"/>
  <c r="N24" i="4"/>
  <c r="J24" i="4"/>
  <c r="D24" i="4"/>
  <c r="C24" i="4"/>
  <c r="B24" i="4"/>
  <c r="A24" i="4"/>
  <c r="AE23" i="4"/>
  <c r="AD23" i="4"/>
  <c r="AB23" i="4"/>
  <c r="AA23" i="4"/>
  <c r="Z23" i="4"/>
  <c r="Y23" i="4"/>
  <c r="X23" i="4"/>
  <c r="W23" i="4"/>
  <c r="U23" i="4"/>
  <c r="R23" i="4"/>
  <c r="N23" i="4"/>
  <c r="J23" i="4"/>
  <c r="D23" i="4"/>
  <c r="C23" i="4"/>
  <c r="B23" i="4"/>
  <c r="A23" i="4"/>
  <c r="AE22" i="4"/>
  <c r="AD22" i="4"/>
  <c r="AB22" i="4"/>
  <c r="AA22" i="4"/>
  <c r="Z22" i="4"/>
  <c r="Y22" i="4"/>
  <c r="X22" i="4"/>
  <c r="W22" i="4"/>
  <c r="U22" i="4"/>
  <c r="R22" i="4"/>
  <c r="N22" i="4"/>
  <c r="J22" i="4"/>
  <c r="D22" i="4"/>
  <c r="C22" i="4"/>
  <c r="B22" i="4"/>
  <c r="A22" i="4"/>
  <c r="AE21" i="4"/>
  <c r="AD21" i="4"/>
  <c r="AB21" i="4"/>
  <c r="AA21" i="4"/>
  <c r="Z21" i="4"/>
  <c r="Y21" i="4"/>
  <c r="X21" i="4"/>
  <c r="W21" i="4"/>
  <c r="U21" i="4"/>
  <c r="R21" i="4"/>
  <c r="N21" i="4"/>
  <c r="J21" i="4"/>
  <c r="D21" i="4"/>
  <c r="C21" i="4"/>
  <c r="B21" i="4"/>
  <c r="A21" i="4"/>
  <c r="AE20" i="4"/>
  <c r="AD20" i="4"/>
  <c r="AB20" i="4"/>
  <c r="AA20" i="4"/>
  <c r="Z20" i="4"/>
  <c r="Y20" i="4"/>
  <c r="X20" i="4"/>
  <c r="W20" i="4"/>
  <c r="U20" i="4"/>
  <c r="R20" i="4"/>
  <c r="N20" i="4"/>
  <c r="J20" i="4"/>
  <c r="D20" i="4"/>
  <c r="C20" i="4"/>
  <c r="B20" i="4"/>
  <c r="A20" i="4"/>
  <c r="AE19" i="4"/>
  <c r="AD19" i="4"/>
  <c r="AB19" i="4"/>
  <c r="AA19" i="4"/>
  <c r="Z19" i="4"/>
  <c r="Y19" i="4"/>
  <c r="X19" i="4"/>
  <c r="W19" i="4"/>
  <c r="U19" i="4"/>
  <c r="R19" i="4"/>
  <c r="N19" i="4"/>
  <c r="J19" i="4"/>
  <c r="D19" i="4"/>
  <c r="C19" i="4"/>
  <c r="B19" i="4"/>
  <c r="A19" i="4"/>
  <c r="AE18" i="4"/>
  <c r="AD18" i="4"/>
  <c r="AB18" i="4"/>
  <c r="AA18" i="4"/>
  <c r="Z18" i="4"/>
  <c r="Y18" i="4"/>
  <c r="X18" i="4"/>
  <c r="W18" i="4"/>
  <c r="U18" i="4"/>
  <c r="R18" i="4"/>
  <c r="N18" i="4"/>
  <c r="J18" i="4"/>
  <c r="D18" i="4"/>
  <c r="C18" i="4"/>
  <c r="B18" i="4"/>
  <c r="A18" i="4"/>
  <c r="AE17" i="4"/>
  <c r="AD17" i="4"/>
  <c r="AB17" i="4"/>
  <c r="AA17" i="4"/>
  <c r="Z17" i="4"/>
  <c r="Y17" i="4"/>
  <c r="X17" i="4"/>
  <c r="W17" i="4"/>
  <c r="U17" i="4"/>
  <c r="R17" i="4"/>
  <c r="N17" i="4"/>
  <c r="J17" i="4"/>
  <c r="D17" i="4"/>
  <c r="C17" i="4"/>
  <c r="B17" i="4"/>
  <c r="A17" i="4"/>
  <c r="AE16" i="4"/>
  <c r="AD16" i="4"/>
  <c r="AB16" i="4"/>
  <c r="AA16" i="4"/>
  <c r="Z16" i="4"/>
  <c r="Y16" i="4"/>
  <c r="X16" i="4"/>
  <c r="W16" i="4"/>
  <c r="U16" i="4"/>
  <c r="R16" i="4"/>
  <c r="N16" i="4"/>
  <c r="J16" i="4"/>
  <c r="D16" i="4"/>
  <c r="C16" i="4"/>
  <c r="B16" i="4"/>
  <c r="A16" i="4"/>
  <c r="AE15" i="4"/>
  <c r="AD15" i="4"/>
  <c r="AB15" i="4"/>
  <c r="AA15" i="4"/>
  <c r="Z15" i="4"/>
  <c r="Y15" i="4"/>
  <c r="X15" i="4"/>
  <c r="W15" i="4"/>
  <c r="U15" i="4"/>
  <c r="R15" i="4"/>
  <c r="N15" i="4"/>
  <c r="J15" i="4"/>
  <c r="D15" i="4"/>
  <c r="C15" i="4"/>
  <c r="B15" i="4"/>
  <c r="A15" i="4"/>
  <c r="AE14" i="4"/>
  <c r="AD14" i="4"/>
  <c r="AB14" i="4"/>
  <c r="AA14" i="4"/>
  <c r="Z14" i="4"/>
  <c r="Y14" i="4"/>
  <c r="X14" i="4"/>
  <c r="W14" i="4"/>
  <c r="U14" i="4"/>
  <c r="R14" i="4"/>
  <c r="N14" i="4"/>
  <c r="J14" i="4"/>
  <c r="D14" i="4"/>
  <c r="C14" i="4"/>
  <c r="B14" i="4"/>
  <c r="A14" i="4"/>
  <c r="AE13" i="4"/>
  <c r="AD13" i="4"/>
  <c r="AB13" i="4"/>
  <c r="AA13" i="4"/>
  <c r="Z13" i="4"/>
  <c r="Y13" i="4"/>
  <c r="X13" i="4"/>
  <c r="W13" i="4"/>
  <c r="U13" i="4"/>
  <c r="R13" i="4"/>
  <c r="N13" i="4"/>
  <c r="J13" i="4"/>
  <c r="D13" i="4"/>
  <c r="C13" i="4"/>
  <c r="B13" i="4"/>
  <c r="A13" i="4"/>
  <c r="AE12" i="4"/>
  <c r="AD12" i="4"/>
  <c r="AB12" i="4"/>
  <c r="AA12" i="4"/>
  <c r="Z12" i="4"/>
  <c r="Y12" i="4"/>
  <c r="X12" i="4"/>
  <c r="W12" i="4"/>
  <c r="U12" i="4"/>
  <c r="R12" i="4"/>
  <c r="N12" i="4"/>
  <c r="J12" i="4"/>
  <c r="D12" i="4"/>
  <c r="C12" i="4"/>
  <c r="B12" i="4"/>
  <c r="A12" i="4"/>
  <c r="AE11" i="4"/>
  <c r="AD11" i="4"/>
  <c r="AB11" i="4"/>
  <c r="AA11" i="4"/>
  <c r="Z11" i="4"/>
  <c r="Y11" i="4"/>
  <c r="X11" i="4"/>
  <c r="W11" i="4"/>
  <c r="U11" i="4"/>
  <c r="R11" i="4"/>
  <c r="N11" i="4"/>
  <c r="J11" i="4"/>
  <c r="D11" i="4"/>
  <c r="C11" i="4"/>
  <c r="B11" i="4"/>
  <c r="A11" i="4"/>
  <c r="AE10" i="4"/>
  <c r="AD10" i="4"/>
  <c r="AB10" i="4"/>
  <c r="AA10" i="4"/>
  <c r="Z10" i="4"/>
  <c r="Y10" i="4"/>
  <c r="X10" i="4"/>
  <c r="W10" i="4"/>
  <c r="U10" i="4"/>
  <c r="R10" i="4"/>
  <c r="N10" i="4"/>
  <c r="J10" i="4"/>
  <c r="D10" i="4"/>
  <c r="C10" i="4"/>
  <c r="B10" i="4"/>
  <c r="A10" i="4"/>
  <c r="AE9" i="4"/>
  <c r="AD9" i="4"/>
  <c r="AB9" i="4"/>
  <c r="AA9" i="4"/>
  <c r="Z9" i="4"/>
  <c r="Y9" i="4"/>
  <c r="X9" i="4"/>
  <c r="W9" i="4"/>
  <c r="U9" i="4"/>
  <c r="R9" i="4"/>
  <c r="N9" i="4"/>
  <c r="J9" i="4"/>
  <c r="D9" i="4"/>
  <c r="C9" i="4"/>
  <c r="B9" i="4"/>
  <c r="A9" i="4"/>
  <c r="AE8" i="4"/>
  <c r="AD8" i="4"/>
  <c r="AB8" i="4"/>
  <c r="AA8" i="4"/>
  <c r="Z8" i="4"/>
  <c r="Y8" i="4"/>
  <c r="X8" i="4"/>
  <c r="W8" i="4"/>
  <c r="U8" i="4"/>
  <c r="R8" i="4"/>
  <c r="N8" i="4"/>
  <c r="J8" i="4"/>
  <c r="D8" i="4"/>
  <c r="C8" i="4"/>
  <c r="B8" i="4"/>
  <c r="A8" i="4"/>
  <c r="AE7" i="4"/>
  <c r="AD7" i="4"/>
  <c r="AB7" i="4"/>
  <c r="AA7" i="4"/>
  <c r="Z7" i="4"/>
  <c r="Y7" i="4"/>
  <c r="X7" i="4"/>
  <c r="W7" i="4"/>
  <c r="U7" i="4"/>
  <c r="R7" i="4"/>
  <c r="N7" i="4"/>
  <c r="J7" i="4"/>
  <c r="D7" i="4"/>
  <c r="C7" i="4"/>
  <c r="B7" i="4"/>
  <c r="A7" i="4"/>
  <c r="AE6" i="4"/>
  <c r="AD6" i="4"/>
  <c r="AB6" i="4"/>
  <c r="AA6" i="4"/>
  <c r="Z6" i="4"/>
  <c r="Y6" i="4"/>
  <c r="X6" i="4"/>
  <c r="W6" i="4"/>
  <c r="U6" i="4"/>
  <c r="R6" i="4"/>
  <c r="N6" i="4"/>
  <c r="J6" i="4"/>
  <c r="D6" i="4"/>
  <c r="C6" i="4"/>
  <c r="B6" i="4"/>
  <c r="A6" i="4"/>
  <c r="AE5" i="4"/>
  <c r="AD5" i="4"/>
  <c r="AB5" i="4"/>
  <c r="AA5" i="4"/>
  <c r="Z5" i="4"/>
  <c r="Y5" i="4"/>
  <c r="X5" i="4"/>
  <c r="W5" i="4"/>
  <c r="U5" i="4"/>
  <c r="R5" i="4"/>
  <c r="N5" i="4"/>
  <c r="J5" i="4"/>
  <c r="D5" i="4"/>
  <c r="C5" i="4"/>
  <c r="B5" i="4"/>
  <c r="A5" i="4"/>
  <c r="AE4" i="4"/>
  <c r="AD4" i="4"/>
  <c r="AB4" i="4"/>
  <c r="AA4" i="4"/>
  <c r="Z4" i="4"/>
  <c r="Y4" i="4"/>
  <c r="X4" i="4"/>
  <c r="W4" i="4"/>
  <c r="U4" i="4"/>
  <c r="R4" i="4"/>
  <c r="N4" i="4"/>
  <c r="J4" i="4"/>
  <c r="D4" i="4"/>
  <c r="C4" i="4"/>
  <c r="B4" i="4"/>
  <c r="A4" i="4"/>
  <c r="AE3" i="4"/>
  <c r="AD3" i="4"/>
  <c r="AB3" i="4"/>
  <c r="AA3" i="4"/>
  <c r="Z3" i="4"/>
  <c r="Y3" i="4"/>
  <c r="X3" i="4"/>
  <c r="W3" i="4"/>
  <c r="U3" i="4"/>
  <c r="R3" i="4"/>
  <c r="N3" i="4"/>
  <c r="J3" i="4"/>
  <c r="D3" i="4"/>
  <c r="C3" i="4"/>
  <c r="B3" i="4"/>
  <c r="A3" i="4"/>
  <c r="AE2" i="4"/>
  <c r="AD2" i="4"/>
  <c r="AB2" i="4"/>
  <c r="AA2" i="4"/>
  <c r="Z2" i="4"/>
  <c r="Y2" i="4"/>
  <c r="X2" i="4"/>
  <c r="W2" i="4"/>
  <c r="U2" i="4"/>
  <c r="R2" i="4"/>
  <c r="N2" i="4"/>
  <c r="J2" i="4"/>
  <c r="D2" i="4"/>
  <c r="C2" i="4"/>
  <c r="B2" i="4"/>
  <c r="A2" i="4"/>
  <c r="AP98" i="3"/>
  <c r="V98" i="4" s="1"/>
  <c r="AN98" i="3"/>
  <c r="N98" i="6" s="1"/>
  <c r="AJ98" i="3"/>
  <c r="J98" i="6" s="1"/>
  <c r="AC98" i="3"/>
  <c r="N98" i="5" s="1"/>
  <c r="Y98" i="3"/>
  <c r="V98" i="3"/>
  <c r="P98" i="4" s="1"/>
  <c r="U98" i="3"/>
  <c r="W98" i="3" s="1"/>
  <c r="Q98" i="4" s="1"/>
  <c r="I98" i="3"/>
  <c r="E98" i="4" s="1"/>
  <c r="E98" i="3"/>
  <c r="C98" i="3"/>
  <c r="AP97" i="3"/>
  <c r="V97" i="4" s="1"/>
  <c r="AJ97" i="3"/>
  <c r="J97" i="6" s="1"/>
  <c r="AC97" i="3"/>
  <c r="Y97" i="3"/>
  <c r="S97" i="4" s="1"/>
  <c r="V97" i="3"/>
  <c r="P97" i="4" s="1"/>
  <c r="U97" i="3"/>
  <c r="O97" i="4" s="1"/>
  <c r="I97" i="3"/>
  <c r="E97" i="4" s="1"/>
  <c r="E97" i="3"/>
  <c r="F97" i="4" s="1"/>
  <c r="C97" i="3"/>
  <c r="AP96" i="3"/>
  <c r="V96" i="4" s="1"/>
  <c r="AJ96" i="3"/>
  <c r="J96" i="6" s="1"/>
  <c r="AC96" i="3"/>
  <c r="Y96" i="3"/>
  <c r="Z96" i="3" s="1"/>
  <c r="T96" i="4" s="1"/>
  <c r="V96" i="3"/>
  <c r="P96" i="4" s="1"/>
  <c r="U96" i="3"/>
  <c r="I96" i="3"/>
  <c r="E96" i="4" s="1"/>
  <c r="E96" i="3"/>
  <c r="C96" i="3"/>
  <c r="AP95" i="3"/>
  <c r="V95" i="4" s="1"/>
  <c r="AJ95" i="3"/>
  <c r="AC95" i="3"/>
  <c r="Y95" i="3"/>
  <c r="V95" i="3"/>
  <c r="P95" i="4" s="1"/>
  <c r="U95" i="3"/>
  <c r="O95" i="4" s="1"/>
  <c r="I95" i="3"/>
  <c r="E95" i="4" s="1"/>
  <c r="E95" i="3"/>
  <c r="F95" i="4" s="1"/>
  <c r="C95" i="3"/>
  <c r="AP94" i="3"/>
  <c r="V94" i="4" s="1"/>
  <c r="AJ94" i="3"/>
  <c r="J94" i="6" s="1"/>
  <c r="AC94" i="3"/>
  <c r="Y94" i="3"/>
  <c r="V94" i="3"/>
  <c r="P94" i="4" s="1"/>
  <c r="U94" i="3"/>
  <c r="O94" i="4" s="1"/>
  <c r="I94" i="3"/>
  <c r="E94" i="4" s="1"/>
  <c r="E94" i="3"/>
  <c r="C94" i="3"/>
  <c r="AP93" i="3"/>
  <c r="AW93" i="3" s="1"/>
  <c r="AC93" i="4" s="1"/>
  <c r="AJ93" i="3"/>
  <c r="J93" i="6" s="1"/>
  <c r="AC93" i="3"/>
  <c r="Y93" i="3"/>
  <c r="Z93" i="3" s="1"/>
  <c r="T93" i="4" s="1"/>
  <c r="V93" i="3"/>
  <c r="P93" i="4" s="1"/>
  <c r="U93" i="3"/>
  <c r="I93" i="3"/>
  <c r="E93" i="4" s="1"/>
  <c r="E93" i="3"/>
  <c r="C93" i="3"/>
  <c r="AP92" i="3"/>
  <c r="V92" i="4" s="1"/>
  <c r="AJ92" i="3"/>
  <c r="AC92" i="3"/>
  <c r="N92" i="5" s="1"/>
  <c r="Y92" i="3"/>
  <c r="V92" i="3"/>
  <c r="P92" i="4" s="1"/>
  <c r="U92" i="3"/>
  <c r="I92" i="3"/>
  <c r="E92" i="4" s="1"/>
  <c r="E92" i="3"/>
  <c r="C92" i="3"/>
  <c r="AP91" i="3"/>
  <c r="V91" i="4" s="1"/>
  <c r="AJ91" i="3"/>
  <c r="J91" i="6" s="1"/>
  <c r="AC91" i="3"/>
  <c r="Y91" i="3"/>
  <c r="S91" i="4" s="1"/>
  <c r="V91" i="3"/>
  <c r="P91" i="4" s="1"/>
  <c r="U91" i="3"/>
  <c r="O91" i="4" s="1"/>
  <c r="I91" i="3"/>
  <c r="E91" i="4" s="1"/>
  <c r="E91" i="3"/>
  <c r="C91" i="3"/>
  <c r="AP90" i="3"/>
  <c r="AJ90" i="3"/>
  <c r="J90" i="6" s="1"/>
  <c r="AC90" i="3"/>
  <c r="N90" i="5" s="1"/>
  <c r="Y90" i="3"/>
  <c r="V90" i="3"/>
  <c r="P90" i="4" s="1"/>
  <c r="U90" i="3"/>
  <c r="I90" i="3"/>
  <c r="E90" i="4" s="1"/>
  <c r="E90" i="3"/>
  <c r="C90" i="3"/>
  <c r="AP89" i="3"/>
  <c r="V89" i="4" s="1"/>
  <c r="AJ89" i="3"/>
  <c r="AC89" i="3"/>
  <c r="Y89" i="3"/>
  <c r="S89" i="4" s="1"/>
  <c r="V89" i="3"/>
  <c r="P89" i="4" s="1"/>
  <c r="U89" i="3"/>
  <c r="O89" i="4" s="1"/>
  <c r="I89" i="3"/>
  <c r="E89" i="4" s="1"/>
  <c r="E89" i="3"/>
  <c r="D89" i="6" s="1"/>
  <c r="C89" i="3"/>
  <c r="AP88" i="3"/>
  <c r="AJ88" i="3"/>
  <c r="J88" i="6" s="1"/>
  <c r="AC88" i="3"/>
  <c r="N88" i="5" s="1"/>
  <c r="Y88" i="3"/>
  <c r="S88" i="4" s="1"/>
  <c r="V88" i="3"/>
  <c r="P88" i="4" s="1"/>
  <c r="U88" i="3"/>
  <c r="O88" i="4" s="1"/>
  <c r="I88" i="3"/>
  <c r="E88" i="4" s="1"/>
  <c r="E88" i="3"/>
  <c r="C88" i="3"/>
  <c r="AP87" i="3"/>
  <c r="V87" i="4" s="1"/>
  <c r="AJ87" i="3"/>
  <c r="J87" i="6" s="1"/>
  <c r="AC87" i="3"/>
  <c r="Y87" i="3"/>
  <c r="S87" i="4" s="1"/>
  <c r="V87" i="3"/>
  <c r="P87" i="4" s="1"/>
  <c r="U87" i="3"/>
  <c r="O87" i="4" s="1"/>
  <c r="I87" i="3"/>
  <c r="E87" i="4" s="1"/>
  <c r="E87" i="3"/>
  <c r="C87" i="3"/>
  <c r="AP86" i="3"/>
  <c r="AJ86" i="3"/>
  <c r="J86" i="6" s="1"/>
  <c r="AC86" i="3"/>
  <c r="N86" i="5" s="1"/>
  <c r="Y86" i="3"/>
  <c r="S86" i="4" s="1"/>
  <c r="V86" i="3"/>
  <c r="P86" i="4" s="1"/>
  <c r="U86" i="3"/>
  <c r="O86" i="4" s="1"/>
  <c r="I86" i="3"/>
  <c r="E86" i="4" s="1"/>
  <c r="E86" i="3"/>
  <c r="C86" i="3"/>
  <c r="AP85" i="3"/>
  <c r="V85" i="4" s="1"/>
  <c r="AJ85" i="3"/>
  <c r="J85" i="6" s="1"/>
  <c r="AC85" i="3"/>
  <c r="Y85" i="3"/>
  <c r="S85" i="4" s="1"/>
  <c r="V85" i="3"/>
  <c r="P85" i="4" s="1"/>
  <c r="U85" i="3"/>
  <c r="O85" i="4" s="1"/>
  <c r="I85" i="3"/>
  <c r="E85" i="4" s="1"/>
  <c r="E85" i="3"/>
  <c r="C85" i="3"/>
  <c r="AP84" i="3"/>
  <c r="AJ84" i="3"/>
  <c r="AC84" i="3"/>
  <c r="N84" i="5" s="1"/>
  <c r="Y84" i="3"/>
  <c r="S84" i="4" s="1"/>
  <c r="V84" i="3"/>
  <c r="P84" i="4" s="1"/>
  <c r="U84" i="3"/>
  <c r="O84" i="4" s="1"/>
  <c r="I84" i="3"/>
  <c r="E84" i="4" s="1"/>
  <c r="E84" i="3"/>
  <c r="C84" i="3"/>
  <c r="AP83" i="3"/>
  <c r="AJ83" i="3"/>
  <c r="AC83" i="3"/>
  <c r="Y83" i="3"/>
  <c r="S83" i="4" s="1"/>
  <c r="V83" i="3"/>
  <c r="P83" i="4" s="1"/>
  <c r="U83" i="3"/>
  <c r="O83" i="4" s="1"/>
  <c r="I83" i="3"/>
  <c r="E83" i="4" s="1"/>
  <c r="E83" i="3"/>
  <c r="C83" i="3"/>
  <c r="AP82" i="3"/>
  <c r="AJ82" i="3"/>
  <c r="J82" i="6" s="1"/>
  <c r="AC82" i="3"/>
  <c r="N82" i="5" s="1"/>
  <c r="Y82" i="3"/>
  <c r="S82" i="4" s="1"/>
  <c r="V82" i="3"/>
  <c r="P82" i="4" s="1"/>
  <c r="U82" i="3"/>
  <c r="I82" i="3"/>
  <c r="E82" i="4" s="1"/>
  <c r="E82" i="3"/>
  <c r="C82" i="3"/>
  <c r="AP81" i="3"/>
  <c r="V81" i="4" s="1"/>
  <c r="AJ81" i="3"/>
  <c r="AC81" i="3"/>
  <c r="Y81" i="3"/>
  <c r="V81" i="3"/>
  <c r="P81" i="4" s="1"/>
  <c r="U81" i="3"/>
  <c r="O81" i="4" s="1"/>
  <c r="I81" i="3"/>
  <c r="E81" i="4" s="1"/>
  <c r="E81" i="3"/>
  <c r="F81" i="4" s="1"/>
  <c r="C81" i="3"/>
  <c r="AP80" i="3"/>
  <c r="AJ80" i="3"/>
  <c r="J80" i="6" s="1"/>
  <c r="AC80" i="3"/>
  <c r="N80" i="5" s="1"/>
  <c r="Y80" i="3"/>
  <c r="S80" i="4" s="1"/>
  <c r="V80" i="3"/>
  <c r="P80" i="4" s="1"/>
  <c r="U80" i="3"/>
  <c r="W80" i="3" s="1"/>
  <c r="Q80" i="4" s="1"/>
  <c r="I80" i="3"/>
  <c r="E80" i="4" s="1"/>
  <c r="E80" i="3"/>
  <c r="C80" i="3"/>
  <c r="AP79" i="3"/>
  <c r="AW79" i="3" s="1"/>
  <c r="AC79" i="4" s="1"/>
  <c r="AJ79" i="3"/>
  <c r="J79" i="6" s="1"/>
  <c r="AC79" i="3"/>
  <c r="N79" i="5" s="1"/>
  <c r="Y79" i="3"/>
  <c r="S79" i="4" s="1"/>
  <c r="V79" i="3"/>
  <c r="P79" i="4" s="1"/>
  <c r="U79" i="3"/>
  <c r="O79" i="4" s="1"/>
  <c r="I79" i="3"/>
  <c r="E79" i="4" s="1"/>
  <c r="E79" i="3"/>
  <c r="C79" i="3"/>
  <c r="AP78" i="3"/>
  <c r="AW78" i="3" s="1"/>
  <c r="AC78" i="4" s="1"/>
  <c r="AJ78" i="3"/>
  <c r="J78" i="6" s="1"/>
  <c r="AC78" i="3"/>
  <c r="N78" i="5" s="1"/>
  <c r="Y78" i="3"/>
  <c r="S78" i="4" s="1"/>
  <c r="V78" i="3"/>
  <c r="P78" i="4" s="1"/>
  <c r="U78" i="3"/>
  <c r="O78" i="4" s="1"/>
  <c r="I78" i="3"/>
  <c r="E78" i="4" s="1"/>
  <c r="E78" i="3"/>
  <c r="C78" i="3"/>
  <c r="AP77" i="3"/>
  <c r="V77" i="4" s="1"/>
  <c r="AJ77" i="3"/>
  <c r="J77" i="6" s="1"/>
  <c r="AC77" i="3"/>
  <c r="Y77" i="3"/>
  <c r="S77" i="4" s="1"/>
  <c r="V77" i="3"/>
  <c r="P77" i="4" s="1"/>
  <c r="U77" i="3"/>
  <c r="W77" i="3" s="1"/>
  <c r="Q77" i="4" s="1"/>
  <c r="I77" i="3"/>
  <c r="E77" i="4" s="1"/>
  <c r="E77" i="3"/>
  <c r="C77" i="3"/>
  <c r="AP76" i="3"/>
  <c r="AJ76" i="3"/>
  <c r="AC76" i="3"/>
  <c r="N76" i="5" s="1"/>
  <c r="Y76" i="3"/>
  <c r="S76" i="4" s="1"/>
  <c r="V76" i="3"/>
  <c r="P76" i="4" s="1"/>
  <c r="U76" i="3"/>
  <c r="O76" i="4" s="1"/>
  <c r="I76" i="3"/>
  <c r="E76" i="4" s="1"/>
  <c r="E76" i="3"/>
  <c r="D76" i="5" s="1"/>
  <c r="C76" i="3"/>
  <c r="AP75" i="3"/>
  <c r="AJ75" i="3"/>
  <c r="J75" i="6" s="1"/>
  <c r="AC75" i="3"/>
  <c r="Y75" i="3"/>
  <c r="V75" i="3"/>
  <c r="P75" i="4" s="1"/>
  <c r="U75" i="3"/>
  <c r="W75" i="3" s="1"/>
  <c r="Q75" i="4" s="1"/>
  <c r="I75" i="3"/>
  <c r="E75" i="4" s="1"/>
  <c r="E75" i="3"/>
  <c r="C75" i="3"/>
  <c r="AP74" i="3"/>
  <c r="AJ74" i="3"/>
  <c r="J74" i="6" s="1"/>
  <c r="AC74" i="3"/>
  <c r="N74" i="5" s="1"/>
  <c r="Y74" i="3"/>
  <c r="S74" i="4" s="1"/>
  <c r="V74" i="3"/>
  <c r="P74" i="4" s="1"/>
  <c r="U74" i="3"/>
  <c r="I74" i="3"/>
  <c r="E74" i="4" s="1"/>
  <c r="E74" i="3"/>
  <c r="C74" i="3"/>
  <c r="AP73" i="3"/>
  <c r="AJ73" i="3"/>
  <c r="J73" i="6" s="1"/>
  <c r="AC73" i="3"/>
  <c r="Y73" i="3"/>
  <c r="S73" i="4" s="1"/>
  <c r="V73" i="3"/>
  <c r="P73" i="4" s="1"/>
  <c r="U73" i="3"/>
  <c r="O73" i="4" s="1"/>
  <c r="I73" i="3"/>
  <c r="E73" i="4" s="1"/>
  <c r="E73" i="3"/>
  <c r="C73" i="3"/>
  <c r="AP72" i="3"/>
  <c r="V72" i="4" s="1"/>
  <c r="AJ72" i="3"/>
  <c r="J72" i="6" s="1"/>
  <c r="AC72" i="3"/>
  <c r="Y72" i="3"/>
  <c r="S72" i="4" s="1"/>
  <c r="V72" i="3"/>
  <c r="P72" i="4" s="1"/>
  <c r="U72" i="3"/>
  <c r="O72" i="4" s="1"/>
  <c r="I72" i="3"/>
  <c r="E72" i="4" s="1"/>
  <c r="E72" i="3"/>
  <c r="F72" i="4" s="1"/>
  <c r="C72" i="3"/>
  <c r="AP71" i="3"/>
  <c r="AJ71" i="3"/>
  <c r="J71" i="6" s="1"/>
  <c r="AC71" i="3"/>
  <c r="N71" i="5" s="1"/>
  <c r="Y71" i="3"/>
  <c r="S71" i="4" s="1"/>
  <c r="V71" i="3"/>
  <c r="P71" i="4" s="1"/>
  <c r="U71" i="3"/>
  <c r="O71" i="4" s="1"/>
  <c r="I71" i="3"/>
  <c r="E71" i="4" s="1"/>
  <c r="E71" i="3"/>
  <c r="C71" i="3"/>
  <c r="AP70" i="3"/>
  <c r="V70" i="4" s="1"/>
  <c r="AJ70" i="3"/>
  <c r="AC70" i="3"/>
  <c r="Y70" i="3"/>
  <c r="S70" i="4" s="1"/>
  <c r="V70" i="3"/>
  <c r="P70" i="4" s="1"/>
  <c r="U70" i="3"/>
  <c r="O70" i="4" s="1"/>
  <c r="I70" i="3"/>
  <c r="E70" i="4" s="1"/>
  <c r="E70" i="3"/>
  <c r="C70" i="3"/>
  <c r="AP69" i="3"/>
  <c r="AJ69" i="3"/>
  <c r="J69" i="6" s="1"/>
  <c r="AC69" i="3"/>
  <c r="Y69" i="3"/>
  <c r="S69" i="4" s="1"/>
  <c r="V69" i="3"/>
  <c r="P69" i="4" s="1"/>
  <c r="U69" i="3"/>
  <c r="O69" i="4" s="1"/>
  <c r="I69" i="3"/>
  <c r="E69" i="4" s="1"/>
  <c r="E69" i="3"/>
  <c r="C69" i="3"/>
  <c r="AP68" i="3"/>
  <c r="V68" i="4" s="1"/>
  <c r="AJ68" i="3"/>
  <c r="J68" i="6" s="1"/>
  <c r="AC68" i="3"/>
  <c r="Y68" i="3"/>
  <c r="S68" i="4" s="1"/>
  <c r="V68" i="3"/>
  <c r="P68" i="4" s="1"/>
  <c r="U68" i="3"/>
  <c r="O68" i="4" s="1"/>
  <c r="I68" i="3"/>
  <c r="E68" i="4" s="1"/>
  <c r="E68" i="3"/>
  <c r="C68" i="3"/>
  <c r="AP67" i="3"/>
  <c r="AJ67" i="3"/>
  <c r="J67" i="6" s="1"/>
  <c r="AC67" i="3"/>
  <c r="N67" i="5" s="1"/>
  <c r="Y67" i="3"/>
  <c r="S67" i="4" s="1"/>
  <c r="V67" i="3"/>
  <c r="P67" i="4" s="1"/>
  <c r="U67" i="3"/>
  <c r="O67" i="4" s="1"/>
  <c r="I67" i="3"/>
  <c r="E67" i="4" s="1"/>
  <c r="E67" i="3"/>
  <c r="C67" i="3"/>
  <c r="AP66" i="3"/>
  <c r="V66" i="4" s="1"/>
  <c r="AJ66" i="3"/>
  <c r="AC66" i="3"/>
  <c r="Y66" i="3"/>
  <c r="S66" i="4" s="1"/>
  <c r="V66" i="3"/>
  <c r="P66" i="4" s="1"/>
  <c r="U66" i="3"/>
  <c r="O66" i="4" s="1"/>
  <c r="I66" i="3"/>
  <c r="E66" i="4" s="1"/>
  <c r="E66" i="3"/>
  <c r="F66" i="4" s="1"/>
  <c r="C66" i="3"/>
  <c r="AP65" i="3"/>
  <c r="AW65" i="3" s="1"/>
  <c r="AC65" i="4" s="1"/>
  <c r="AJ65" i="3"/>
  <c r="J65" i="6" s="1"/>
  <c r="AC65" i="3"/>
  <c r="Y65" i="3"/>
  <c r="S65" i="4" s="1"/>
  <c r="V65" i="3"/>
  <c r="P65" i="4" s="1"/>
  <c r="U65" i="3"/>
  <c r="O65" i="4" s="1"/>
  <c r="I65" i="3"/>
  <c r="E65" i="4" s="1"/>
  <c r="E65" i="3"/>
  <c r="C65" i="3"/>
  <c r="AP64" i="3"/>
  <c r="V64" i="4" s="1"/>
  <c r="AJ64" i="3"/>
  <c r="J64" i="6" s="1"/>
  <c r="AC64" i="3"/>
  <c r="Y64" i="3"/>
  <c r="S64" i="4" s="1"/>
  <c r="V64" i="3"/>
  <c r="P64" i="4" s="1"/>
  <c r="U64" i="3"/>
  <c r="O64" i="4" s="1"/>
  <c r="I64" i="3"/>
  <c r="E64" i="4" s="1"/>
  <c r="E64" i="3"/>
  <c r="C64" i="3"/>
  <c r="AP63" i="3"/>
  <c r="AJ63" i="3"/>
  <c r="J63" i="6" s="1"/>
  <c r="AC63" i="3"/>
  <c r="N63" i="5" s="1"/>
  <c r="Y63" i="3"/>
  <c r="S63" i="4" s="1"/>
  <c r="V63" i="3"/>
  <c r="P63" i="4" s="1"/>
  <c r="U63" i="3"/>
  <c r="O63" i="4" s="1"/>
  <c r="I63" i="3"/>
  <c r="E63" i="4" s="1"/>
  <c r="E63" i="3"/>
  <c r="C63" i="3"/>
  <c r="AP62" i="3"/>
  <c r="V62" i="4" s="1"/>
  <c r="AJ62" i="3"/>
  <c r="J62" i="6" s="1"/>
  <c r="AC62" i="3"/>
  <c r="Y62" i="3"/>
  <c r="S62" i="4" s="1"/>
  <c r="V62" i="3"/>
  <c r="P62" i="4" s="1"/>
  <c r="U62" i="3"/>
  <c r="O62" i="4" s="1"/>
  <c r="I62" i="3"/>
  <c r="E62" i="4" s="1"/>
  <c r="E62" i="3"/>
  <c r="F62" i="4" s="1"/>
  <c r="C62" i="3"/>
  <c r="AP61" i="3"/>
  <c r="AJ61" i="3"/>
  <c r="J61" i="6" s="1"/>
  <c r="AC61" i="3"/>
  <c r="Y61" i="3"/>
  <c r="S61" i="4" s="1"/>
  <c r="V61" i="3"/>
  <c r="P61" i="4" s="1"/>
  <c r="U61" i="3"/>
  <c r="O61" i="4" s="1"/>
  <c r="I61" i="3"/>
  <c r="E61" i="4" s="1"/>
  <c r="E61" i="3"/>
  <c r="F61" i="4" s="1"/>
  <c r="C61" i="3"/>
  <c r="AP60" i="3"/>
  <c r="V60" i="4" s="1"/>
  <c r="AJ60" i="3"/>
  <c r="J60" i="6" s="1"/>
  <c r="AC60" i="3"/>
  <c r="Y60" i="3"/>
  <c r="S60" i="4" s="1"/>
  <c r="V60" i="3"/>
  <c r="P60" i="4" s="1"/>
  <c r="U60" i="3"/>
  <c r="O60" i="4" s="1"/>
  <c r="I60" i="3"/>
  <c r="E60" i="4" s="1"/>
  <c r="E60" i="3"/>
  <c r="C60" i="3"/>
  <c r="AP59" i="3"/>
  <c r="AJ59" i="3"/>
  <c r="J59" i="6" s="1"/>
  <c r="AC59" i="3"/>
  <c r="N59" i="5" s="1"/>
  <c r="Y59" i="3"/>
  <c r="S59" i="4" s="1"/>
  <c r="V59" i="3"/>
  <c r="P59" i="4" s="1"/>
  <c r="U59" i="3"/>
  <c r="O59" i="4" s="1"/>
  <c r="I59" i="3"/>
  <c r="E59" i="4" s="1"/>
  <c r="E59" i="3"/>
  <c r="C59" i="3"/>
  <c r="AP58" i="3"/>
  <c r="V58" i="4" s="1"/>
  <c r="AJ58" i="3"/>
  <c r="J58" i="6" s="1"/>
  <c r="AC58" i="3"/>
  <c r="N58" i="5" s="1"/>
  <c r="Y58" i="3"/>
  <c r="S58" i="4" s="1"/>
  <c r="V58" i="3"/>
  <c r="P58" i="4" s="1"/>
  <c r="U58" i="3"/>
  <c r="O58" i="4" s="1"/>
  <c r="I58" i="3"/>
  <c r="E58" i="4" s="1"/>
  <c r="E58" i="3"/>
  <c r="C58" i="3"/>
  <c r="AP57" i="3"/>
  <c r="AJ57" i="3"/>
  <c r="J57" i="6" s="1"/>
  <c r="AC57" i="3"/>
  <c r="Y57" i="3"/>
  <c r="S57" i="4" s="1"/>
  <c r="V57" i="3"/>
  <c r="P57" i="4" s="1"/>
  <c r="U57" i="3"/>
  <c r="O57" i="4" s="1"/>
  <c r="I57" i="3"/>
  <c r="E57" i="4" s="1"/>
  <c r="E57" i="3"/>
  <c r="C57" i="3"/>
  <c r="AP56" i="3"/>
  <c r="V56" i="4" s="1"/>
  <c r="AJ56" i="3"/>
  <c r="J56" i="6" s="1"/>
  <c r="AC56" i="3"/>
  <c r="Y56" i="3"/>
  <c r="S56" i="4" s="1"/>
  <c r="V56" i="3"/>
  <c r="P56" i="4" s="1"/>
  <c r="U56" i="3"/>
  <c r="O56" i="4" s="1"/>
  <c r="I56" i="3"/>
  <c r="E56" i="4" s="1"/>
  <c r="E56" i="3"/>
  <c r="C56" i="3"/>
  <c r="AP55" i="3"/>
  <c r="AJ55" i="3"/>
  <c r="J55" i="6" s="1"/>
  <c r="AC55" i="3"/>
  <c r="N55" i="5" s="1"/>
  <c r="Y55" i="3"/>
  <c r="S55" i="4" s="1"/>
  <c r="V55" i="3"/>
  <c r="P55" i="4" s="1"/>
  <c r="U55" i="3"/>
  <c r="O55" i="4" s="1"/>
  <c r="I55" i="3"/>
  <c r="E55" i="4" s="1"/>
  <c r="E55" i="3"/>
  <c r="C55" i="3"/>
  <c r="AP54" i="3"/>
  <c r="V54" i="4" s="1"/>
  <c r="AJ54" i="3"/>
  <c r="J54" i="6" s="1"/>
  <c r="AC54" i="3"/>
  <c r="Y54" i="3"/>
  <c r="S54" i="4" s="1"/>
  <c r="V54" i="3"/>
  <c r="P54" i="4" s="1"/>
  <c r="U54" i="3"/>
  <c r="W54" i="3" s="1"/>
  <c r="Q54" i="4" s="1"/>
  <c r="I54" i="3"/>
  <c r="E54" i="4" s="1"/>
  <c r="E54" i="3"/>
  <c r="C54" i="3"/>
  <c r="AP53" i="3"/>
  <c r="AJ53" i="3"/>
  <c r="J53" i="6" s="1"/>
  <c r="AC53" i="3"/>
  <c r="Y53" i="3"/>
  <c r="S53" i="4" s="1"/>
  <c r="V53" i="3"/>
  <c r="P53" i="4" s="1"/>
  <c r="U53" i="3"/>
  <c r="O53" i="4" s="1"/>
  <c r="I53" i="3"/>
  <c r="E53" i="4" s="1"/>
  <c r="E53" i="3"/>
  <c r="C53" i="3"/>
  <c r="AP52" i="3"/>
  <c r="V52" i="4" s="1"/>
  <c r="AJ52" i="3"/>
  <c r="J52" i="6" s="1"/>
  <c r="AC52" i="3"/>
  <c r="N52" i="5" s="1"/>
  <c r="Y52" i="3"/>
  <c r="S52" i="4" s="1"/>
  <c r="V52" i="3"/>
  <c r="P52" i="4" s="1"/>
  <c r="U52" i="3"/>
  <c r="I52" i="3"/>
  <c r="E52" i="4" s="1"/>
  <c r="E52" i="3"/>
  <c r="F52" i="4" s="1"/>
  <c r="C52" i="3"/>
  <c r="AP51" i="3"/>
  <c r="V51" i="4" s="1"/>
  <c r="AJ51" i="3"/>
  <c r="J51" i="6" s="1"/>
  <c r="AC51" i="3"/>
  <c r="Y51" i="3"/>
  <c r="S51" i="4" s="1"/>
  <c r="V51" i="3"/>
  <c r="P51" i="4" s="1"/>
  <c r="U51" i="3"/>
  <c r="I51" i="3"/>
  <c r="E51" i="4" s="1"/>
  <c r="E51" i="3"/>
  <c r="C51" i="3"/>
  <c r="AP50" i="3"/>
  <c r="V50" i="4" s="1"/>
  <c r="AJ50" i="3"/>
  <c r="J50" i="6" s="1"/>
  <c r="AC50" i="3"/>
  <c r="N50" i="5" s="1"/>
  <c r="Y50" i="3"/>
  <c r="S50" i="4" s="1"/>
  <c r="V50" i="3"/>
  <c r="P50" i="4" s="1"/>
  <c r="U50" i="3"/>
  <c r="O50" i="4" s="1"/>
  <c r="I50" i="3"/>
  <c r="E50" i="4" s="1"/>
  <c r="E50" i="3"/>
  <c r="D50" i="5" s="1"/>
  <c r="C50" i="3"/>
  <c r="AP49" i="3"/>
  <c r="AJ49" i="3"/>
  <c r="J49" i="6" s="1"/>
  <c r="AC49" i="3"/>
  <c r="N49" i="5" s="1"/>
  <c r="Y49" i="3"/>
  <c r="S49" i="4" s="1"/>
  <c r="V49" i="3"/>
  <c r="P49" i="4" s="1"/>
  <c r="U49" i="3"/>
  <c r="O49" i="4" s="1"/>
  <c r="I49" i="3"/>
  <c r="E49" i="4" s="1"/>
  <c r="E49" i="3"/>
  <c r="C49" i="3"/>
  <c r="AP48" i="3"/>
  <c r="V48" i="4" s="1"/>
  <c r="AJ48" i="3"/>
  <c r="J48" i="6" s="1"/>
  <c r="AC48" i="3"/>
  <c r="N48" i="5" s="1"/>
  <c r="Y48" i="3"/>
  <c r="S48" i="4" s="1"/>
  <c r="V48" i="3"/>
  <c r="P48" i="4" s="1"/>
  <c r="U48" i="3"/>
  <c r="O48" i="4" s="1"/>
  <c r="I48" i="3"/>
  <c r="E48" i="4" s="1"/>
  <c r="E48" i="3"/>
  <c r="C48" i="3"/>
  <c r="AP47" i="3"/>
  <c r="AJ47" i="3"/>
  <c r="AC47" i="3"/>
  <c r="N47" i="5" s="1"/>
  <c r="Y47" i="3"/>
  <c r="S47" i="4" s="1"/>
  <c r="V47" i="3"/>
  <c r="P47" i="4" s="1"/>
  <c r="U47" i="3"/>
  <c r="O47" i="4" s="1"/>
  <c r="I47" i="3"/>
  <c r="E47" i="4" s="1"/>
  <c r="E47" i="3"/>
  <c r="C47" i="3"/>
  <c r="AP46" i="3"/>
  <c r="V46" i="4" s="1"/>
  <c r="AJ46" i="3"/>
  <c r="J46" i="6" s="1"/>
  <c r="AC46" i="3"/>
  <c r="Y46" i="3"/>
  <c r="S46" i="4" s="1"/>
  <c r="V46" i="3"/>
  <c r="P46" i="4" s="1"/>
  <c r="U46" i="3"/>
  <c r="O46" i="4" s="1"/>
  <c r="I46" i="3"/>
  <c r="E46" i="4" s="1"/>
  <c r="E46" i="3"/>
  <c r="C46" i="3"/>
  <c r="AP45" i="3"/>
  <c r="V45" i="4" s="1"/>
  <c r="AJ45" i="3"/>
  <c r="AC45" i="3"/>
  <c r="Y45" i="3"/>
  <c r="V45" i="3"/>
  <c r="P45" i="4" s="1"/>
  <c r="U45" i="3"/>
  <c r="O45" i="4" s="1"/>
  <c r="I45" i="3"/>
  <c r="E45" i="4" s="1"/>
  <c r="E45" i="3"/>
  <c r="C45" i="3"/>
  <c r="AP44" i="3"/>
  <c r="V44" i="4" s="1"/>
  <c r="AJ44" i="3"/>
  <c r="J44" i="6" s="1"/>
  <c r="AC44" i="3"/>
  <c r="N44" i="5" s="1"/>
  <c r="Y44" i="3"/>
  <c r="S44" i="4" s="1"/>
  <c r="V44" i="3"/>
  <c r="P44" i="4" s="1"/>
  <c r="U44" i="3"/>
  <c r="I44" i="3"/>
  <c r="E44" i="4" s="1"/>
  <c r="E44" i="3"/>
  <c r="D44" i="6" s="1"/>
  <c r="C44" i="3"/>
  <c r="AP43" i="3"/>
  <c r="V43" i="4" s="1"/>
  <c r="AJ43" i="3"/>
  <c r="J43" i="6" s="1"/>
  <c r="AC43" i="3"/>
  <c r="Y43" i="3"/>
  <c r="S43" i="4" s="1"/>
  <c r="V43" i="3"/>
  <c r="P43" i="4" s="1"/>
  <c r="U43" i="3"/>
  <c r="I43" i="3"/>
  <c r="E43" i="4" s="1"/>
  <c r="E43" i="3"/>
  <c r="C43" i="3"/>
  <c r="AP42" i="3"/>
  <c r="V42" i="4" s="1"/>
  <c r="AJ42" i="3"/>
  <c r="J42" i="6" s="1"/>
  <c r="AC42" i="3"/>
  <c r="N42" i="5" s="1"/>
  <c r="Y42" i="3"/>
  <c r="S42" i="4" s="1"/>
  <c r="V42" i="3"/>
  <c r="P42" i="4" s="1"/>
  <c r="U42" i="3"/>
  <c r="O42" i="4" s="1"/>
  <c r="I42" i="3"/>
  <c r="E42" i="4" s="1"/>
  <c r="E42" i="3"/>
  <c r="C42" i="3"/>
  <c r="AP41" i="3"/>
  <c r="AJ41" i="3"/>
  <c r="J41" i="6" s="1"/>
  <c r="AC41" i="3"/>
  <c r="N41" i="5" s="1"/>
  <c r="Y41" i="3"/>
  <c r="S41" i="4" s="1"/>
  <c r="V41" i="3"/>
  <c r="P41" i="4" s="1"/>
  <c r="U41" i="3"/>
  <c r="O41" i="4" s="1"/>
  <c r="I41" i="3"/>
  <c r="E41" i="4" s="1"/>
  <c r="E41" i="3"/>
  <c r="C41" i="3"/>
  <c r="AP40" i="3"/>
  <c r="V40" i="4" s="1"/>
  <c r="AJ40" i="3"/>
  <c r="J40" i="6" s="1"/>
  <c r="AC40" i="3"/>
  <c r="N40" i="5" s="1"/>
  <c r="Y40" i="3"/>
  <c r="Z40" i="3" s="1"/>
  <c r="T40" i="4" s="1"/>
  <c r="V40" i="3"/>
  <c r="P40" i="4" s="1"/>
  <c r="U40" i="3"/>
  <c r="O40" i="4" s="1"/>
  <c r="I40" i="3"/>
  <c r="E40" i="4" s="1"/>
  <c r="E40" i="3"/>
  <c r="C40" i="3"/>
  <c r="AP39" i="3"/>
  <c r="AJ39" i="3"/>
  <c r="AC39" i="3"/>
  <c r="N39" i="5" s="1"/>
  <c r="Y39" i="3"/>
  <c r="S39" i="4" s="1"/>
  <c r="V39" i="3"/>
  <c r="P39" i="4" s="1"/>
  <c r="U39" i="3"/>
  <c r="O39" i="4" s="1"/>
  <c r="I39" i="3"/>
  <c r="E39" i="4" s="1"/>
  <c r="E39" i="3"/>
  <c r="C39" i="3"/>
  <c r="AP38" i="3"/>
  <c r="V38" i="4" s="1"/>
  <c r="AJ38" i="3"/>
  <c r="J38" i="6" s="1"/>
  <c r="AC38" i="3"/>
  <c r="Y38" i="3"/>
  <c r="S38" i="4" s="1"/>
  <c r="V38" i="3"/>
  <c r="P38" i="4" s="1"/>
  <c r="U38" i="3"/>
  <c r="O38" i="4" s="1"/>
  <c r="I38" i="3"/>
  <c r="E38" i="4" s="1"/>
  <c r="E38" i="3"/>
  <c r="D38" i="6" s="1"/>
  <c r="C38" i="3"/>
  <c r="AP37" i="3"/>
  <c r="V37" i="4" s="1"/>
  <c r="AJ37" i="3"/>
  <c r="AC37" i="3"/>
  <c r="Y37" i="3"/>
  <c r="V37" i="3"/>
  <c r="P37" i="4" s="1"/>
  <c r="U37" i="3"/>
  <c r="O37" i="4" s="1"/>
  <c r="I37" i="3"/>
  <c r="E37" i="4" s="1"/>
  <c r="E37" i="3"/>
  <c r="C37" i="3"/>
  <c r="AP36" i="3"/>
  <c r="V36" i="4" s="1"/>
  <c r="AJ36" i="3"/>
  <c r="J36" i="6" s="1"/>
  <c r="AC36" i="3"/>
  <c r="N36" i="5" s="1"/>
  <c r="Y36" i="3"/>
  <c r="S36" i="4" s="1"/>
  <c r="V36" i="3"/>
  <c r="P36" i="4" s="1"/>
  <c r="U36" i="3"/>
  <c r="O36" i="4" s="1"/>
  <c r="I36" i="3"/>
  <c r="E36" i="4" s="1"/>
  <c r="E36" i="3"/>
  <c r="C36" i="3"/>
  <c r="AP35" i="3"/>
  <c r="V35" i="4" s="1"/>
  <c r="AJ35" i="3"/>
  <c r="J35" i="6" s="1"/>
  <c r="AC35" i="3"/>
  <c r="Y35" i="3"/>
  <c r="S35" i="4" s="1"/>
  <c r="V35" i="3"/>
  <c r="P35" i="4" s="1"/>
  <c r="U35" i="3"/>
  <c r="I35" i="3"/>
  <c r="E35" i="4" s="1"/>
  <c r="E35" i="3"/>
  <c r="C35" i="3"/>
  <c r="AP34" i="3"/>
  <c r="V34" i="4" s="1"/>
  <c r="AJ34" i="3"/>
  <c r="J34" i="6" s="1"/>
  <c r="AC34" i="3"/>
  <c r="N34" i="5" s="1"/>
  <c r="Y34" i="3"/>
  <c r="S34" i="4" s="1"/>
  <c r="V34" i="3"/>
  <c r="P34" i="4" s="1"/>
  <c r="U34" i="3"/>
  <c r="O34" i="4" s="1"/>
  <c r="I34" i="3"/>
  <c r="E34" i="4" s="1"/>
  <c r="E34" i="3"/>
  <c r="C34" i="3"/>
  <c r="AP33" i="3"/>
  <c r="AJ33" i="3"/>
  <c r="J33" i="6" s="1"/>
  <c r="AC33" i="3"/>
  <c r="N33" i="5" s="1"/>
  <c r="Y33" i="3"/>
  <c r="S33" i="4" s="1"/>
  <c r="V33" i="3"/>
  <c r="P33" i="4" s="1"/>
  <c r="U33" i="3"/>
  <c r="O33" i="4" s="1"/>
  <c r="I33" i="3"/>
  <c r="E33" i="4" s="1"/>
  <c r="E33" i="3"/>
  <c r="C33" i="3"/>
  <c r="AP32" i="3"/>
  <c r="AJ32" i="3"/>
  <c r="J32" i="6" s="1"/>
  <c r="AC32" i="3"/>
  <c r="Y32" i="3"/>
  <c r="V32" i="3"/>
  <c r="P32" i="4" s="1"/>
  <c r="U32" i="3"/>
  <c r="O32" i="4" s="1"/>
  <c r="I32" i="3"/>
  <c r="E32" i="4" s="1"/>
  <c r="E32" i="3"/>
  <c r="F32" i="4" s="1"/>
  <c r="C32" i="3"/>
  <c r="AP31" i="3"/>
  <c r="V31" i="4" s="1"/>
  <c r="AJ31" i="3"/>
  <c r="J31" i="6" s="1"/>
  <c r="AC31" i="3"/>
  <c r="N31" i="5" s="1"/>
  <c r="Y31" i="3"/>
  <c r="V31" i="3"/>
  <c r="P31" i="4" s="1"/>
  <c r="U31" i="3"/>
  <c r="O31" i="4" s="1"/>
  <c r="I31" i="3"/>
  <c r="E31" i="4" s="1"/>
  <c r="E31" i="3"/>
  <c r="F31" i="4" s="1"/>
  <c r="C31" i="3"/>
  <c r="AP30" i="3"/>
  <c r="V30" i="4" s="1"/>
  <c r="AJ30" i="3"/>
  <c r="J30" i="6" s="1"/>
  <c r="AC30" i="3"/>
  <c r="N30" i="5" s="1"/>
  <c r="Y30" i="3"/>
  <c r="S30" i="4" s="1"/>
  <c r="V30" i="3"/>
  <c r="P30" i="4" s="1"/>
  <c r="U30" i="3"/>
  <c r="O30" i="4" s="1"/>
  <c r="I30" i="3"/>
  <c r="E30" i="4" s="1"/>
  <c r="E30" i="3"/>
  <c r="C30" i="3"/>
  <c r="AP29" i="3"/>
  <c r="V29" i="4" s="1"/>
  <c r="AJ29" i="3"/>
  <c r="J29" i="6" s="1"/>
  <c r="AC29" i="3"/>
  <c r="N29" i="5" s="1"/>
  <c r="Y29" i="3"/>
  <c r="S29" i="4" s="1"/>
  <c r="V29" i="3"/>
  <c r="P29" i="4" s="1"/>
  <c r="U29" i="3"/>
  <c r="O29" i="4" s="1"/>
  <c r="I29" i="3"/>
  <c r="E29" i="4" s="1"/>
  <c r="E29" i="3"/>
  <c r="C29" i="3"/>
  <c r="AP28" i="3"/>
  <c r="V28" i="4" s="1"/>
  <c r="AJ28" i="3"/>
  <c r="J28" i="6" s="1"/>
  <c r="AC28" i="3"/>
  <c r="N28" i="5" s="1"/>
  <c r="Y28" i="3"/>
  <c r="S28" i="4" s="1"/>
  <c r="V28" i="3"/>
  <c r="P28" i="4" s="1"/>
  <c r="U28" i="3"/>
  <c r="O28" i="4" s="1"/>
  <c r="I28" i="3"/>
  <c r="E28" i="4" s="1"/>
  <c r="E28" i="3"/>
  <c r="C28" i="3"/>
  <c r="AP27" i="3"/>
  <c r="V27" i="4" s="1"/>
  <c r="AJ27" i="3"/>
  <c r="J27" i="6" s="1"/>
  <c r="AC27" i="3"/>
  <c r="N27" i="5" s="1"/>
  <c r="Y27" i="3"/>
  <c r="S27" i="4" s="1"/>
  <c r="V27" i="3"/>
  <c r="P27" i="4" s="1"/>
  <c r="U27" i="3"/>
  <c r="O27" i="4" s="1"/>
  <c r="I27" i="3"/>
  <c r="E27" i="4" s="1"/>
  <c r="E27" i="3"/>
  <c r="C27" i="3"/>
  <c r="AP26" i="3"/>
  <c r="V26" i="4" s="1"/>
  <c r="AJ26" i="3"/>
  <c r="J26" i="6" s="1"/>
  <c r="AC26" i="3"/>
  <c r="Y26" i="3"/>
  <c r="S26" i="4" s="1"/>
  <c r="V26" i="3"/>
  <c r="P26" i="4" s="1"/>
  <c r="U26" i="3"/>
  <c r="O26" i="4" s="1"/>
  <c r="I26" i="3"/>
  <c r="E26" i="4" s="1"/>
  <c r="E26" i="3"/>
  <c r="C26" i="3"/>
  <c r="AP25" i="3"/>
  <c r="V25" i="4" s="1"/>
  <c r="AJ25" i="3"/>
  <c r="AC25" i="3"/>
  <c r="Y25" i="3"/>
  <c r="S25" i="4" s="1"/>
  <c r="V25" i="3"/>
  <c r="P25" i="4" s="1"/>
  <c r="U25" i="3"/>
  <c r="O25" i="4" s="1"/>
  <c r="I25" i="3"/>
  <c r="E25" i="4" s="1"/>
  <c r="E25" i="3"/>
  <c r="C25" i="3"/>
  <c r="AP24" i="3"/>
  <c r="V24" i="4" s="1"/>
  <c r="AJ24" i="3"/>
  <c r="AC24" i="3"/>
  <c r="N24" i="5" s="1"/>
  <c r="Y24" i="3"/>
  <c r="S24" i="4" s="1"/>
  <c r="V24" i="3"/>
  <c r="P24" i="4" s="1"/>
  <c r="U24" i="3"/>
  <c r="O24" i="4" s="1"/>
  <c r="I24" i="3"/>
  <c r="E24" i="4" s="1"/>
  <c r="E24" i="3"/>
  <c r="C24" i="3"/>
  <c r="AP23" i="3"/>
  <c r="V23" i="4" s="1"/>
  <c r="AJ23" i="3"/>
  <c r="J23" i="6" s="1"/>
  <c r="AC23" i="3"/>
  <c r="Y23" i="3"/>
  <c r="S23" i="4" s="1"/>
  <c r="V23" i="3"/>
  <c r="P23" i="4" s="1"/>
  <c r="U23" i="3"/>
  <c r="O23" i="4" s="1"/>
  <c r="I23" i="3"/>
  <c r="E23" i="4" s="1"/>
  <c r="E23" i="3"/>
  <c r="C23" i="3"/>
  <c r="AP22" i="3"/>
  <c r="V22" i="4" s="1"/>
  <c r="AJ22" i="3"/>
  <c r="J22" i="6" s="1"/>
  <c r="AC22" i="3"/>
  <c r="N22" i="5" s="1"/>
  <c r="Y22" i="3"/>
  <c r="S22" i="4" s="1"/>
  <c r="V22" i="3"/>
  <c r="P22" i="4" s="1"/>
  <c r="U22" i="3"/>
  <c r="O22" i="4" s="1"/>
  <c r="I22" i="3"/>
  <c r="E22" i="4" s="1"/>
  <c r="E22" i="3"/>
  <c r="C22" i="3"/>
  <c r="AP21" i="3"/>
  <c r="V21" i="4" s="1"/>
  <c r="AJ21" i="3"/>
  <c r="J21" i="6" s="1"/>
  <c r="AC21" i="3"/>
  <c r="N21" i="5" s="1"/>
  <c r="Y21" i="3"/>
  <c r="S21" i="4" s="1"/>
  <c r="V21" i="3"/>
  <c r="P21" i="4" s="1"/>
  <c r="U21" i="3"/>
  <c r="O21" i="4" s="1"/>
  <c r="I21" i="3"/>
  <c r="E21" i="4" s="1"/>
  <c r="E21" i="3"/>
  <c r="D21" i="6" s="1"/>
  <c r="C21" i="3"/>
  <c r="AP20" i="3"/>
  <c r="V20" i="4" s="1"/>
  <c r="AJ20" i="3"/>
  <c r="J20" i="6" s="1"/>
  <c r="AC20" i="3"/>
  <c r="N20" i="5" s="1"/>
  <c r="Y20" i="3"/>
  <c r="S20" i="4" s="1"/>
  <c r="V20" i="3"/>
  <c r="P20" i="4" s="1"/>
  <c r="U20" i="3"/>
  <c r="O20" i="4" s="1"/>
  <c r="I20" i="3"/>
  <c r="E20" i="4" s="1"/>
  <c r="E20" i="3"/>
  <c r="C20" i="3"/>
  <c r="AP19" i="3"/>
  <c r="V19" i="4" s="1"/>
  <c r="AJ19" i="3"/>
  <c r="J19" i="6" s="1"/>
  <c r="AC19" i="3"/>
  <c r="N19" i="5" s="1"/>
  <c r="Y19" i="3"/>
  <c r="S19" i="4" s="1"/>
  <c r="V19" i="3"/>
  <c r="P19" i="4" s="1"/>
  <c r="U19" i="3"/>
  <c r="O19" i="4" s="1"/>
  <c r="I19" i="3"/>
  <c r="E19" i="4" s="1"/>
  <c r="E19" i="3"/>
  <c r="C19" i="3"/>
  <c r="AP18" i="3"/>
  <c r="V18" i="4" s="1"/>
  <c r="AJ18" i="3"/>
  <c r="AC18" i="3"/>
  <c r="N18" i="5" s="1"/>
  <c r="Y18" i="3"/>
  <c r="S18" i="4" s="1"/>
  <c r="V18" i="3"/>
  <c r="P18" i="4" s="1"/>
  <c r="U18" i="3"/>
  <c r="O18" i="4" s="1"/>
  <c r="I18" i="3"/>
  <c r="E18" i="4" s="1"/>
  <c r="E18" i="3"/>
  <c r="C18" i="3"/>
  <c r="AP17" i="3"/>
  <c r="V17" i="4" s="1"/>
  <c r="AJ17" i="3"/>
  <c r="J17" i="6" s="1"/>
  <c r="AC17" i="3"/>
  <c r="N17" i="5" s="1"/>
  <c r="Y17" i="3"/>
  <c r="S17" i="4" s="1"/>
  <c r="V17" i="3"/>
  <c r="P17" i="4" s="1"/>
  <c r="U17" i="3"/>
  <c r="O17" i="4" s="1"/>
  <c r="I17" i="3"/>
  <c r="E17" i="4" s="1"/>
  <c r="E17" i="3"/>
  <c r="C17" i="3"/>
  <c r="AP16" i="3"/>
  <c r="V16" i="4" s="1"/>
  <c r="AJ16" i="3"/>
  <c r="J16" i="6" s="1"/>
  <c r="AC16" i="3"/>
  <c r="N16" i="5" s="1"/>
  <c r="Y16" i="3"/>
  <c r="S16" i="4" s="1"/>
  <c r="V16" i="3"/>
  <c r="P16" i="4" s="1"/>
  <c r="U16" i="3"/>
  <c r="O16" i="4" s="1"/>
  <c r="I16" i="3"/>
  <c r="E16" i="4" s="1"/>
  <c r="E16" i="3"/>
  <c r="C16" i="3"/>
  <c r="AP15" i="3"/>
  <c r="AJ15" i="3"/>
  <c r="J15" i="6" s="1"/>
  <c r="AC15" i="3"/>
  <c r="N15" i="5" s="1"/>
  <c r="Y15" i="3"/>
  <c r="S15" i="4" s="1"/>
  <c r="V15" i="3"/>
  <c r="P15" i="4" s="1"/>
  <c r="U15" i="3"/>
  <c r="W15" i="3" s="1"/>
  <c r="Q15" i="4" s="1"/>
  <c r="I15" i="3"/>
  <c r="E15" i="4" s="1"/>
  <c r="E15" i="3"/>
  <c r="C15" i="3"/>
  <c r="AP14" i="3"/>
  <c r="V14" i="4" s="1"/>
  <c r="AJ14" i="3"/>
  <c r="J14" i="6" s="1"/>
  <c r="AC14" i="3"/>
  <c r="N14" i="5" s="1"/>
  <c r="Y14" i="3"/>
  <c r="Z14" i="3" s="1"/>
  <c r="T14" i="4" s="1"/>
  <c r="V14" i="3"/>
  <c r="P14" i="4" s="1"/>
  <c r="U14" i="3"/>
  <c r="O14" i="4" s="1"/>
  <c r="I14" i="3"/>
  <c r="E14" i="4" s="1"/>
  <c r="E14" i="3"/>
  <c r="C14" i="3"/>
  <c r="AP13" i="3"/>
  <c r="V13" i="4" s="1"/>
  <c r="AJ13" i="3"/>
  <c r="J13" i="6" s="1"/>
  <c r="AC13" i="3"/>
  <c r="N13" i="5" s="1"/>
  <c r="Y13" i="3"/>
  <c r="S13" i="4" s="1"/>
  <c r="V13" i="3"/>
  <c r="P13" i="4" s="1"/>
  <c r="U13" i="3"/>
  <c r="O13" i="4" s="1"/>
  <c r="I13" i="3"/>
  <c r="E13" i="4" s="1"/>
  <c r="E13" i="3"/>
  <c r="C13" i="3"/>
  <c r="AP12" i="3"/>
  <c r="V12" i="4" s="1"/>
  <c r="AJ12" i="3"/>
  <c r="J12" i="6" s="1"/>
  <c r="AC12" i="3"/>
  <c r="N12" i="5" s="1"/>
  <c r="Y12" i="3"/>
  <c r="S12" i="4" s="1"/>
  <c r="V12" i="3"/>
  <c r="P12" i="4" s="1"/>
  <c r="U12" i="3"/>
  <c r="O12" i="4" s="1"/>
  <c r="I12" i="3"/>
  <c r="E12" i="4" s="1"/>
  <c r="E12" i="3"/>
  <c r="C12" i="3"/>
  <c r="AP11" i="3"/>
  <c r="V11" i="4" s="1"/>
  <c r="AJ11" i="3"/>
  <c r="J11" i="6" s="1"/>
  <c r="AC11" i="3"/>
  <c r="N11" i="5" s="1"/>
  <c r="Y11" i="3"/>
  <c r="S11" i="4" s="1"/>
  <c r="V11" i="3"/>
  <c r="P11" i="4" s="1"/>
  <c r="U11" i="3"/>
  <c r="O11" i="4" s="1"/>
  <c r="I11" i="3"/>
  <c r="E11" i="4" s="1"/>
  <c r="E11" i="3"/>
  <c r="C11" i="3"/>
  <c r="AP10" i="3"/>
  <c r="V10" i="4" s="1"/>
  <c r="AJ10" i="3"/>
  <c r="J10" i="6" s="1"/>
  <c r="AC10" i="3"/>
  <c r="N10" i="5" s="1"/>
  <c r="Y10" i="3"/>
  <c r="S10" i="4" s="1"/>
  <c r="V10" i="3"/>
  <c r="P10" i="4" s="1"/>
  <c r="U10" i="3"/>
  <c r="O10" i="4" s="1"/>
  <c r="I10" i="3"/>
  <c r="E10" i="4" s="1"/>
  <c r="E10" i="3"/>
  <c r="C10" i="3"/>
  <c r="AP9" i="3"/>
  <c r="V9" i="4" s="1"/>
  <c r="AJ9" i="3"/>
  <c r="J9" i="6" s="1"/>
  <c r="AC9" i="3"/>
  <c r="N9" i="5" s="1"/>
  <c r="Y9" i="3"/>
  <c r="Z9" i="3" s="1"/>
  <c r="T9" i="4" s="1"/>
  <c r="V9" i="3"/>
  <c r="P9" i="4" s="1"/>
  <c r="U9" i="3"/>
  <c r="O9" i="4" s="1"/>
  <c r="I9" i="3"/>
  <c r="E9" i="4" s="1"/>
  <c r="E9" i="3"/>
  <c r="C9" i="3"/>
  <c r="AP8" i="3"/>
  <c r="AW8" i="3" s="1"/>
  <c r="AC8" i="4" s="1"/>
  <c r="AJ8" i="3"/>
  <c r="J8" i="6" s="1"/>
  <c r="AC8" i="3"/>
  <c r="N8" i="5" s="1"/>
  <c r="Y8" i="3"/>
  <c r="S8" i="4" s="1"/>
  <c r="V8" i="3"/>
  <c r="P8" i="4" s="1"/>
  <c r="U8" i="3"/>
  <c r="O8" i="4" s="1"/>
  <c r="I8" i="3"/>
  <c r="E8" i="4" s="1"/>
  <c r="E8" i="3"/>
  <c r="C8" i="3"/>
  <c r="AP7" i="3"/>
  <c r="V7" i="4" s="1"/>
  <c r="AJ7" i="3"/>
  <c r="J7" i="6" s="1"/>
  <c r="AC7" i="3"/>
  <c r="N7" i="5" s="1"/>
  <c r="Y7" i="3"/>
  <c r="V7" i="3"/>
  <c r="P7" i="4" s="1"/>
  <c r="U7" i="3"/>
  <c r="O7" i="4" s="1"/>
  <c r="I7" i="3"/>
  <c r="E7" i="4" s="1"/>
  <c r="E7" i="3"/>
  <c r="C7" i="3"/>
  <c r="AP6" i="3"/>
  <c r="V6" i="4" s="1"/>
  <c r="AJ6" i="3"/>
  <c r="J6" i="6" s="1"/>
  <c r="AC6" i="3"/>
  <c r="N6" i="5" s="1"/>
  <c r="Y6" i="3"/>
  <c r="S6" i="4" s="1"/>
  <c r="V6" i="3"/>
  <c r="P6" i="4" s="1"/>
  <c r="U6" i="3"/>
  <c r="O6" i="4" s="1"/>
  <c r="I6" i="3"/>
  <c r="E6" i="4" s="1"/>
  <c r="E6" i="3"/>
  <c r="C6" i="3"/>
  <c r="AP5" i="3"/>
  <c r="V5" i="4" s="1"/>
  <c r="AJ5" i="3"/>
  <c r="J5" i="6" s="1"/>
  <c r="AC5" i="3"/>
  <c r="N5" i="5" s="1"/>
  <c r="Y5" i="3"/>
  <c r="V5" i="3"/>
  <c r="P5" i="4" s="1"/>
  <c r="U5" i="3"/>
  <c r="O5" i="4" s="1"/>
  <c r="I5" i="3"/>
  <c r="E5" i="4" s="1"/>
  <c r="E5" i="3"/>
  <c r="C5" i="3"/>
  <c r="AP4" i="3"/>
  <c r="V4" i="4" s="1"/>
  <c r="AJ4" i="3"/>
  <c r="J4" i="6" s="1"/>
  <c r="AC4" i="3"/>
  <c r="N4" i="5" s="1"/>
  <c r="Y4" i="3"/>
  <c r="S4" i="4" s="1"/>
  <c r="V4" i="3"/>
  <c r="P4" i="4" s="1"/>
  <c r="U4" i="3"/>
  <c r="O4" i="4" s="1"/>
  <c r="I4" i="3"/>
  <c r="E4" i="4" s="1"/>
  <c r="E4" i="3"/>
  <c r="C4" i="3"/>
  <c r="AP3" i="3"/>
  <c r="V3" i="4" s="1"/>
  <c r="AJ3" i="3"/>
  <c r="J3" i="6" s="1"/>
  <c r="AC3" i="3"/>
  <c r="N3" i="5" s="1"/>
  <c r="Y3" i="3"/>
  <c r="V3" i="3"/>
  <c r="P3" i="4" s="1"/>
  <c r="U3" i="3"/>
  <c r="O3" i="4" s="1"/>
  <c r="I3" i="3"/>
  <c r="E3" i="4" s="1"/>
  <c r="E3" i="3"/>
  <c r="C3" i="3"/>
  <c r="AP2" i="3"/>
  <c r="V2" i="4" s="1"/>
  <c r="AJ2" i="3"/>
  <c r="J2" i="6" s="1"/>
  <c r="AG2" i="3"/>
  <c r="R2" i="5" s="1"/>
  <c r="AC2" i="3"/>
  <c r="N2" i="5" s="1"/>
  <c r="Y2" i="3"/>
  <c r="S2" i="4" s="1"/>
  <c r="V2" i="3"/>
  <c r="P2" i="4" s="1"/>
  <c r="U2" i="3"/>
  <c r="O2" i="4" s="1"/>
  <c r="I2" i="3"/>
  <c r="E2" i="4" s="1"/>
  <c r="E2" i="3"/>
  <c r="C2" i="3"/>
  <c r="F105" i="2"/>
  <c r="F98" i="3" s="1"/>
  <c r="D105" i="2"/>
  <c r="D98" i="3" s="1"/>
  <c r="F104" i="2"/>
  <c r="F97" i="3" s="1"/>
  <c r="D104" i="2"/>
  <c r="D97" i="3" s="1"/>
  <c r="K97" i="4" s="1"/>
  <c r="F103" i="2"/>
  <c r="F96" i="3" s="1"/>
  <c r="D103" i="2"/>
  <c r="D96" i="3" s="1"/>
  <c r="O96" i="3" s="1"/>
  <c r="F102" i="2"/>
  <c r="F95" i="3" s="1"/>
  <c r="D102" i="2"/>
  <c r="D95" i="3" s="1"/>
  <c r="F101" i="2"/>
  <c r="F94" i="3" s="1"/>
  <c r="D101" i="2"/>
  <c r="D94" i="3" s="1"/>
  <c r="O94" i="3" s="1"/>
  <c r="F100" i="2"/>
  <c r="F93" i="3" s="1"/>
  <c r="D100" i="2"/>
  <c r="D93" i="3" s="1"/>
  <c r="O93" i="3" s="1"/>
  <c r="F99" i="2"/>
  <c r="F92" i="3" s="1"/>
  <c r="D99" i="2"/>
  <c r="D92" i="3" s="1"/>
  <c r="F98" i="2"/>
  <c r="F91" i="3" s="1"/>
  <c r="D98" i="2"/>
  <c r="D91" i="3" s="1"/>
  <c r="O91" i="3" s="1"/>
  <c r="F97" i="2"/>
  <c r="F90" i="3" s="1"/>
  <c r="D97" i="2"/>
  <c r="D90" i="3" s="1"/>
  <c r="F96" i="2"/>
  <c r="F89" i="3" s="1"/>
  <c r="D96" i="2"/>
  <c r="D89" i="3" s="1"/>
  <c r="F95" i="2"/>
  <c r="F88" i="3" s="1"/>
  <c r="D95" i="2"/>
  <c r="D88" i="3" s="1"/>
  <c r="F94" i="2"/>
  <c r="F87" i="3" s="1"/>
  <c r="D94" i="2"/>
  <c r="D87" i="3" s="1"/>
  <c r="F93" i="2"/>
  <c r="F86" i="3" s="1"/>
  <c r="D93" i="2"/>
  <c r="D86" i="3" s="1"/>
  <c r="F92" i="2"/>
  <c r="F85" i="3" s="1"/>
  <c r="D92" i="2"/>
  <c r="D85" i="3" s="1"/>
  <c r="R85" i="3" s="1"/>
  <c r="F91" i="2"/>
  <c r="F84" i="3" s="1"/>
  <c r="D91" i="2"/>
  <c r="D84" i="3" s="1"/>
  <c r="F90" i="2"/>
  <c r="F83" i="3" s="1"/>
  <c r="D90" i="2"/>
  <c r="D83" i="3" s="1"/>
  <c r="F89" i="2"/>
  <c r="F82" i="3" s="1"/>
  <c r="D89" i="2"/>
  <c r="D82" i="3" s="1"/>
  <c r="F88" i="2"/>
  <c r="F81" i="3" s="1"/>
  <c r="D88" i="2"/>
  <c r="D81" i="3" s="1"/>
  <c r="F87" i="2"/>
  <c r="F80" i="3" s="1"/>
  <c r="J80" i="3" s="1"/>
  <c r="D87" i="2"/>
  <c r="D80" i="3" s="1"/>
  <c r="F86" i="2"/>
  <c r="F79" i="3" s="1"/>
  <c r="D86" i="2"/>
  <c r="D79" i="3" s="1"/>
  <c r="R79" i="3" s="1"/>
  <c r="F85" i="2"/>
  <c r="F78" i="3" s="1"/>
  <c r="D85" i="2"/>
  <c r="D78" i="3" s="1"/>
  <c r="F84" i="2"/>
  <c r="F77" i="3" s="1"/>
  <c r="D84" i="2"/>
  <c r="D77" i="3" s="1"/>
  <c r="F83" i="2"/>
  <c r="F76" i="3" s="1"/>
  <c r="D83" i="2"/>
  <c r="D76" i="3" s="1"/>
  <c r="F82" i="2"/>
  <c r="F75" i="3" s="1"/>
  <c r="D82" i="2"/>
  <c r="D75" i="3" s="1"/>
  <c r="F81" i="2"/>
  <c r="F74" i="3" s="1"/>
  <c r="D81" i="2"/>
  <c r="D74" i="3" s="1"/>
  <c r="F80" i="2"/>
  <c r="F73" i="3" s="1"/>
  <c r="D80" i="2"/>
  <c r="D73" i="3" s="1"/>
  <c r="F79" i="2"/>
  <c r="F72" i="3" s="1"/>
  <c r="D79" i="2"/>
  <c r="D72" i="3" s="1"/>
  <c r="R72" i="3" s="1"/>
  <c r="J72" i="5" s="1"/>
  <c r="F78" i="2"/>
  <c r="F71" i="3" s="1"/>
  <c r="D78" i="2"/>
  <c r="D71" i="3" s="1"/>
  <c r="F77" i="2"/>
  <c r="F70" i="3" s="1"/>
  <c r="J70" i="3" s="1"/>
  <c r="D77" i="2"/>
  <c r="D70" i="3" s="1"/>
  <c r="O70" i="3" s="1"/>
  <c r="F76" i="2"/>
  <c r="F69" i="3" s="1"/>
  <c r="D76" i="2"/>
  <c r="D69" i="3" s="1"/>
  <c r="F75" i="2"/>
  <c r="F68" i="3" s="1"/>
  <c r="D75" i="2"/>
  <c r="D68" i="3" s="1"/>
  <c r="O68" i="3" s="1"/>
  <c r="F74" i="2"/>
  <c r="F67" i="3" s="1"/>
  <c r="D74" i="2"/>
  <c r="D67" i="3" s="1"/>
  <c r="F73" i="2"/>
  <c r="F66" i="3" s="1"/>
  <c r="D73" i="2"/>
  <c r="D66" i="3" s="1"/>
  <c r="O66" i="3" s="1"/>
  <c r="F72" i="2"/>
  <c r="F65" i="3" s="1"/>
  <c r="D72" i="2"/>
  <c r="D65" i="3" s="1"/>
  <c r="F71" i="2"/>
  <c r="F64" i="3" s="1"/>
  <c r="D71" i="2"/>
  <c r="D64" i="3" s="1"/>
  <c r="F70" i="2"/>
  <c r="F63" i="3" s="1"/>
  <c r="D70" i="2"/>
  <c r="D63" i="3" s="1"/>
  <c r="F69" i="2"/>
  <c r="F62" i="3" s="1"/>
  <c r="J62" i="3" s="1"/>
  <c r="D69" i="2"/>
  <c r="D62" i="3" s="1"/>
  <c r="R62" i="3" s="1"/>
  <c r="J62" i="5" s="1"/>
  <c r="F68" i="2"/>
  <c r="F61" i="3" s="1"/>
  <c r="J61" i="3" s="1"/>
  <c r="D68" i="2"/>
  <c r="D61" i="3" s="1"/>
  <c r="F67" i="2"/>
  <c r="F60" i="3" s="1"/>
  <c r="D67" i="2"/>
  <c r="D60" i="3" s="1"/>
  <c r="O60" i="3" s="1"/>
  <c r="F66" i="2"/>
  <c r="F59" i="3" s="1"/>
  <c r="D66" i="2"/>
  <c r="D59" i="3" s="1"/>
  <c r="F65" i="2"/>
  <c r="F58" i="3" s="1"/>
  <c r="D65" i="2"/>
  <c r="D58" i="3" s="1"/>
  <c r="F64" i="2"/>
  <c r="F57" i="3" s="1"/>
  <c r="D64" i="2"/>
  <c r="D57" i="3" s="1"/>
  <c r="F63" i="2"/>
  <c r="F56" i="3" s="1"/>
  <c r="D63" i="2"/>
  <c r="D56" i="3" s="1"/>
  <c r="O56" i="3" s="1"/>
  <c r="F62" i="2"/>
  <c r="F55" i="3" s="1"/>
  <c r="D62" i="2"/>
  <c r="D55" i="3" s="1"/>
  <c r="F61" i="2"/>
  <c r="F54" i="3" s="1"/>
  <c r="J54" i="3" s="1"/>
  <c r="D61" i="2"/>
  <c r="D54" i="3" s="1"/>
  <c r="F60" i="2"/>
  <c r="F53" i="3" s="1"/>
  <c r="D60" i="2"/>
  <c r="D53" i="3" s="1"/>
  <c r="F59" i="2"/>
  <c r="F52" i="3" s="1"/>
  <c r="D59" i="2"/>
  <c r="D52" i="3" s="1"/>
  <c r="R52" i="3" s="1"/>
  <c r="F58" i="2"/>
  <c r="F51" i="3" s="1"/>
  <c r="J51" i="3" s="1"/>
  <c r="D58" i="2"/>
  <c r="D51" i="3" s="1"/>
  <c r="O51" i="3" s="1"/>
  <c r="F57" i="2"/>
  <c r="F50" i="3" s="1"/>
  <c r="D57" i="2"/>
  <c r="D50" i="3" s="1"/>
  <c r="F56" i="2"/>
  <c r="F49" i="3" s="1"/>
  <c r="D56" i="2"/>
  <c r="D49" i="3" s="1"/>
  <c r="F55" i="2"/>
  <c r="F48" i="3" s="1"/>
  <c r="D55" i="2"/>
  <c r="D48" i="3" s="1"/>
  <c r="R48" i="3" s="1"/>
  <c r="F54" i="2"/>
  <c r="F47" i="3" s="1"/>
  <c r="D54" i="2"/>
  <c r="D47" i="3" s="1"/>
  <c r="F53" i="2"/>
  <c r="F46" i="3" s="1"/>
  <c r="D53" i="2"/>
  <c r="D46" i="3" s="1"/>
  <c r="O46" i="3" s="1"/>
  <c r="F52" i="2"/>
  <c r="F45" i="3" s="1"/>
  <c r="D52" i="2"/>
  <c r="D45" i="3" s="1"/>
  <c r="F51" i="2"/>
  <c r="F44" i="3" s="1"/>
  <c r="D51" i="2"/>
  <c r="D44" i="3" s="1"/>
  <c r="O44" i="3" s="1"/>
  <c r="F50" i="2"/>
  <c r="F43" i="3" s="1"/>
  <c r="J43" i="3" s="1"/>
  <c r="D50" i="2"/>
  <c r="D43" i="3" s="1"/>
  <c r="O43" i="3" s="1"/>
  <c r="F49" i="2"/>
  <c r="F42" i="3" s="1"/>
  <c r="D49" i="2"/>
  <c r="D42" i="3" s="1"/>
  <c r="F48" i="2"/>
  <c r="F41" i="3" s="1"/>
  <c r="D48" i="2"/>
  <c r="D41" i="3" s="1"/>
  <c r="F47" i="2"/>
  <c r="F40" i="3" s="1"/>
  <c r="D47" i="2"/>
  <c r="D40" i="3" s="1"/>
  <c r="F46" i="2"/>
  <c r="F39" i="3" s="1"/>
  <c r="D46" i="2"/>
  <c r="D39" i="3" s="1"/>
  <c r="O39" i="3" s="1"/>
  <c r="F45" i="2"/>
  <c r="F38" i="3" s="1"/>
  <c r="J38" i="3" s="1"/>
  <c r="D45" i="2"/>
  <c r="D38" i="3" s="1"/>
  <c r="O38" i="3" s="1"/>
  <c r="F44" i="2"/>
  <c r="F37" i="3" s="1"/>
  <c r="J37" i="3" s="1"/>
  <c r="D44" i="2"/>
  <c r="D37" i="3" s="1"/>
  <c r="F43" i="2"/>
  <c r="F36" i="3" s="1"/>
  <c r="D43" i="2"/>
  <c r="D36" i="3" s="1"/>
  <c r="R36" i="3" s="1"/>
  <c r="F42" i="2"/>
  <c r="F35" i="3" s="1"/>
  <c r="D42" i="2"/>
  <c r="D35" i="3" s="1"/>
  <c r="F41" i="2"/>
  <c r="F34" i="3" s="1"/>
  <c r="D41" i="2"/>
  <c r="D34" i="3" s="1"/>
  <c r="O34" i="3" s="1"/>
  <c r="L34" i="4" s="1"/>
  <c r="F40" i="2"/>
  <c r="F33" i="3" s="1"/>
  <c r="D40" i="2"/>
  <c r="D33" i="3" s="1"/>
  <c r="F39" i="2"/>
  <c r="F32" i="3" s="1"/>
  <c r="D39" i="2"/>
  <c r="D32" i="3" s="1"/>
  <c r="R32" i="3" s="1"/>
  <c r="F38" i="2"/>
  <c r="F31" i="3" s="1"/>
  <c r="D38" i="2"/>
  <c r="D31" i="3" s="1"/>
  <c r="F37" i="2"/>
  <c r="F30" i="3" s="1"/>
  <c r="D37" i="2"/>
  <c r="D30" i="3" s="1"/>
  <c r="R30" i="3" s="1"/>
  <c r="F36" i="2"/>
  <c r="F29" i="3" s="1"/>
  <c r="D36" i="2"/>
  <c r="D29" i="3" s="1"/>
  <c r="F35" i="2"/>
  <c r="F28" i="3" s="1"/>
  <c r="D35" i="2"/>
  <c r="D28" i="3" s="1"/>
  <c r="I28" i="5" s="1"/>
  <c r="F34" i="2"/>
  <c r="F27" i="3" s="1"/>
  <c r="D34" i="2"/>
  <c r="D27" i="3" s="1"/>
  <c r="F33" i="2"/>
  <c r="F26" i="3" s="1"/>
  <c r="D33" i="2"/>
  <c r="D26" i="3" s="1"/>
  <c r="F32" i="2"/>
  <c r="F25" i="3" s="1"/>
  <c r="J25" i="3" s="1"/>
  <c r="D32" i="2"/>
  <c r="D25" i="3" s="1"/>
  <c r="F31" i="2"/>
  <c r="F24" i="3" s="1"/>
  <c r="D31" i="2"/>
  <c r="D24" i="3" s="1"/>
  <c r="F30" i="2"/>
  <c r="F23" i="3" s="1"/>
  <c r="D30" i="2"/>
  <c r="D23" i="3" s="1"/>
  <c r="F29" i="2"/>
  <c r="F22" i="3" s="1"/>
  <c r="D29" i="2"/>
  <c r="D22" i="3" s="1"/>
  <c r="R22" i="3" s="1"/>
  <c r="J22" i="5" s="1"/>
  <c r="F28" i="2"/>
  <c r="F21" i="3" s="1"/>
  <c r="G21" i="4" s="1"/>
  <c r="D28" i="2"/>
  <c r="D21" i="3" s="1"/>
  <c r="F27" i="2"/>
  <c r="F20" i="3" s="1"/>
  <c r="J20" i="3" s="1"/>
  <c r="L20" i="3" s="1"/>
  <c r="D27" i="2"/>
  <c r="D20" i="3" s="1"/>
  <c r="R20" i="3" s="1"/>
  <c r="F26" i="2"/>
  <c r="F19" i="3" s="1"/>
  <c r="D26" i="2"/>
  <c r="D19" i="3" s="1"/>
  <c r="F25" i="2"/>
  <c r="F18" i="3" s="1"/>
  <c r="J18" i="3" s="1"/>
  <c r="D25" i="2"/>
  <c r="D18" i="3" s="1"/>
  <c r="R18" i="3" s="1"/>
  <c r="F24" i="2"/>
  <c r="F17" i="3" s="1"/>
  <c r="D24" i="2"/>
  <c r="D17" i="3" s="1"/>
  <c r="F23" i="2"/>
  <c r="F16" i="3" s="1"/>
  <c r="D23" i="2"/>
  <c r="D16" i="3" s="1"/>
  <c r="O16" i="3" s="1"/>
  <c r="P16" i="3" s="1"/>
  <c r="M16" i="4" s="1"/>
  <c r="F22" i="2"/>
  <c r="F15" i="3" s="1"/>
  <c r="D22" i="2"/>
  <c r="D15" i="3" s="1"/>
  <c r="F21" i="2"/>
  <c r="F14" i="3" s="1"/>
  <c r="J14" i="3" s="1"/>
  <c r="D21" i="2"/>
  <c r="D14" i="3" s="1"/>
  <c r="F20" i="2"/>
  <c r="F13" i="3" s="1"/>
  <c r="D20" i="2"/>
  <c r="D13" i="3" s="1"/>
  <c r="F19" i="2"/>
  <c r="F12" i="3" s="1"/>
  <c r="D19" i="2"/>
  <c r="D12" i="3" s="1"/>
  <c r="K12" i="4" s="1"/>
  <c r="F18" i="2"/>
  <c r="F11" i="3" s="1"/>
  <c r="D18" i="2"/>
  <c r="D11" i="3" s="1"/>
  <c r="F17" i="2"/>
  <c r="F10" i="3" s="1"/>
  <c r="J10" i="3" s="1"/>
  <c r="D17" i="2"/>
  <c r="D10" i="3" s="1"/>
  <c r="O10" i="3" s="1"/>
  <c r="F16" i="2"/>
  <c r="F9" i="3" s="1"/>
  <c r="D16" i="2"/>
  <c r="D9" i="3" s="1"/>
  <c r="F15" i="2"/>
  <c r="F8" i="3" s="1"/>
  <c r="D15" i="2"/>
  <c r="D8" i="3" s="1"/>
  <c r="R8" i="3" s="1"/>
  <c r="F14" i="2"/>
  <c r="F7" i="3" s="1"/>
  <c r="D14" i="2"/>
  <c r="D7" i="3" s="1"/>
  <c r="F13" i="2"/>
  <c r="F6" i="3" s="1"/>
  <c r="D13" i="2"/>
  <c r="D6" i="3" s="1"/>
  <c r="F12" i="2"/>
  <c r="F5" i="3" s="1"/>
  <c r="D12" i="2"/>
  <c r="D5" i="3" s="1"/>
  <c r="F11" i="2"/>
  <c r="F4" i="3" s="1"/>
  <c r="D11" i="2"/>
  <c r="D4" i="3" s="1"/>
  <c r="F10" i="2"/>
  <c r="F3" i="3" s="1"/>
  <c r="D10" i="2"/>
  <c r="D3" i="3" s="1"/>
  <c r="F9" i="2"/>
  <c r="F2" i="3" s="1"/>
  <c r="D9" i="2"/>
  <c r="D2" i="3" s="1"/>
  <c r="Z83" i="3" l="1"/>
  <c r="T83" i="4" s="1"/>
  <c r="AW98" i="3"/>
  <c r="AC98" i="4" s="1"/>
  <c r="Z70" i="3"/>
  <c r="T70" i="4" s="1"/>
  <c r="AD40" i="3"/>
  <c r="AE40" i="3" s="1"/>
  <c r="P40" i="5" s="1"/>
  <c r="AK27" i="3"/>
  <c r="AM26" i="3" s="1"/>
  <c r="M26" i="6" s="1"/>
  <c r="Z12" i="3"/>
  <c r="T12" i="4" s="1"/>
  <c r="AK58" i="3"/>
  <c r="K58" i="6" s="1"/>
  <c r="W94" i="3"/>
  <c r="Q94" i="4" s="1"/>
  <c r="Z77" i="3"/>
  <c r="T77" i="4" s="1"/>
  <c r="W39" i="3"/>
  <c r="Q39" i="4" s="1"/>
  <c r="W85" i="3"/>
  <c r="Q85" i="4" s="1"/>
  <c r="W2" i="3"/>
  <c r="Q2" i="4" s="1"/>
  <c r="AK82" i="3"/>
  <c r="K82" i="6" s="1"/>
  <c r="W33" i="3"/>
  <c r="Q33" i="4" s="1"/>
  <c r="AK54" i="3"/>
  <c r="AL54" i="3" s="1"/>
  <c r="L54" i="6" s="1"/>
  <c r="AW48" i="3"/>
  <c r="AC48" i="4" s="1"/>
  <c r="Z42" i="3"/>
  <c r="T42" i="4" s="1"/>
  <c r="W71" i="3"/>
  <c r="Q71" i="4" s="1"/>
  <c r="Z97" i="3"/>
  <c r="T97" i="4" s="1"/>
  <c r="W31" i="3"/>
  <c r="Q31" i="4" s="1"/>
  <c r="W27" i="3"/>
  <c r="Q27" i="4" s="1"/>
  <c r="W29" i="3"/>
  <c r="Q29" i="4" s="1"/>
  <c r="Z33" i="3"/>
  <c r="T33" i="4" s="1"/>
  <c r="Z21" i="3"/>
  <c r="T21" i="4" s="1"/>
  <c r="AW87" i="3"/>
  <c r="AC87" i="4" s="1"/>
  <c r="AD17" i="3"/>
  <c r="O17" i="5" s="1"/>
  <c r="AD50" i="3"/>
  <c r="O50" i="5" s="1"/>
  <c r="Z58" i="3"/>
  <c r="T58" i="4" s="1"/>
  <c r="Z88" i="3"/>
  <c r="T88" i="4" s="1"/>
  <c r="Z26" i="3"/>
  <c r="T26" i="4" s="1"/>
  <c r="Z22" i="3"/>
  <c r="T22" i="4" s="1"/>
  <c r="W78" i="3"/>
  <c r="Q78" i="4" s="1"/>
  <c r="Z80" i="3"/>
  <c r="T80" i="4" s="1"/>
  <c r="AW28" i="3"/>
  <c r="AC28" i="4" s="1"/>
  <c r="W86" i="3"/>
  <c r="Q86" i="4" s="1"/>
  <c r="W26" i="3"/>
  <c r="Q26" i="4" s="1"/>
  <c r="W37" i="3"/>
  <c r="Q37" i="4" s="1"/>
  <c r="J48" i="5"/>
  <c r="S48" i="3"/>
  <c r="K48" i="5" s="1"/>
  <c r="R12" i="3"/>
  <c r="J12" i="5" s="1"/>
  <c r="O8" i="3"/>
  <c r="L8" i="4" s="1"/>
  <c r="W18" i="3"/>
  <c r="Q18" i="4" s="1"/>
  <c r="W10" i="3"/>
  <c r="Q10" i="4" s="1"/>
  <c r="AW22" i="3"/>
  <c r="AC22" i="4" s="1"/>
  <c r="AW26" i="3"/>
  <c r="AC26" i="4" s="1"/>
  <c r="Z73" i="3"/>
  <c r="T73" i="4" s="1"/>
  <c r="AD31" i="3"/>
  <c r="AE31" i="3" s="1"/>
  <c r="P31" i="5" s="1"/>
  <c r="AK12" i="3"/>
  <c r="K12" i="6" s="1"/>
  <c r="AW38" i="3"/>
  <c r="AC38" i="4" s="1"/>
  <c r="AW6" i="3"/>
  <c r="AC6" i="4" s="1"/>
  <c r="W55" i="3"/>
  <c r="Q55" i="4" s="1"/>
  <c r="W59" i="3"/>
  <c r="Q59" i="4" s="1"/>
  <c r="W84" i="3"/>
  <c r="Q84" i="4" s="1"/>
  <c r="W47" i="3"/>
  <c r="Q47" i="4" s="1"/>
  <c r="Z84" i="3"/>
  <c r="T84" i="4" s="1"/>
  <c r="V79" i="4"/>
  <c r="Z15" i="3"/>
  <c r="T15" i="4" s="1"/>
  <c r="AW45" i="3"/>
  <c r="AC45" i="4" s="1"/>
  <c r="V78" i="4"/>
  <c r="AW35" i="3"/>
  <c r="AC35" i="4" s="1"/>
  <c r="W64" i="3"/>
  <c r="Q64" i="4" s="1"/>
  <c r="Z68" i="3"/>
  <c r="T68" i="4" s="1"/>
  <c r="W56" i="3"/>
  <c r="Q56" i="4" s="1"/>
  <c r="W60" i="3"/>
  <c r="Q60" i="4" s="1"/>
  <c r="O28" i="3"/>
  <c r="L28" i="4" s="1"/>
  <c r="W46" i="3"/>
  <c r="Q46" i="4" s="1"/>
  <c r="Z52" i="3"/>
  <c r="T52" i="4" s="1"/>
  <c r="Z56" i="3"/>
  <c r="T56" i="4" s="1"/>
  <c r="AK62" i="3"/>
  <c r="AL62" i="3" s="1"/>
  <c r="L62" i="6" s="1"/>
  <c r="AW66" i="3"/>
  <c r="AC66" i="4" s="1"/>
  <c r="Z87" i="3"/>
  <c r="T87" i="4" s="1"/>
  <c r="O32" i="3"/>
  <c r="L32" i="4" s="1"/>
  <c r="Z89" i="3"/>
  <c r="T89" i="4" s="1"/>
  <c r="AD80" i="3"/>
  <c r="O80" i="5" s="1"/>
  <c r="AK24" i="3"/>
  <c r="K24" i="6" s="1"/>
  <c r="W30" i="3"/>
  <c r="Q30" i="4" s="1"/>
  <c r="W38" i="3"/>
  <c r="Q38" i="4" s="1"/>
  <c r="AW54" i="3"/>
  <c r="AC54" i="4" s="1"/>
  <c r="AW62" i="3"/>
  <c r="AC62" i="4" s="1"/>
  <c r="J52" i="5"/>
  <c r="S52" i="3"/>
  <c r="K52" i="5" s="1"/>
  <c r="R2" i="3"/>
  <c r="J2" i="5" s="1"/>
  <c r="O2" i="3"/>
  <c r="L2" i="4" s="1"/>
  <c r="J32" i="5"/>
  <c r="S32" i="3"/>
  <c r="K32" i="5" s="1"/>
  <c r="R7" i="3"/>
  <c r="O7" i="3"/>
  <c r="L7" i="4" s="1"/>
  <c r="L18" i="3"/>
  <c r="G18" i="5" s="1"/>
  <c r="K18" i="3"/>
  <c r="H18" i="4" s="1"/>
  <c r="J20" i="5"/>
  <c r="S20" i="3"/>
  <c r="K20" i="5" s="1"/>
  <c r="AW19" i="3"/>
  <c r="AC19" i="4" s="1"/>
  <c r="J21" i="3"/>
  <c r="L21" i="3" s="1"/>
  <c r="G21" i="6" s="1"/>
  <c r="AW27" i="3"/>
  <c r="AC27" i="4" s="1"/>
  <c r="Z39" i="3"/>
  <c r="T39" i="4" s="1"/>
  <c r="Z59" i="3"/>
  <c r="T59" i="4" s="1"/>
  <c r="O75" i="4"/>
  <c r="W6" i="3"/>
  <c r="Q6" i="4" s="1"/>
  <c r="AW12" i="3"/>
  <c r="AC12" i="4" s="1"/>
  <c r="AD16" i="3"/>
  <c r="AF17" i="3" s="1"/>
  <c r="W21" i="3"/>
  <c r="Q21" i="4" s="1"/>
  <c r="AW24" i="3"/>
  <c r="AC24" i="4" s="1"/>
  <c r="Z29" i="3"/>
  <c r="T29" i="4" s="1"/>
  <c r="Z41" i="3"/>
  <c r="T41" i="4" s="1"/>
  <c r="O58" i="3"/>
  <c r="O72" i="3"/>
  <c r="P72" i="3" s="1"/>
  <c r="M72" i="4" s="1"/>
  <c r="W83" i="3"/>
  <c r="Q83" i="4" s="1"/>
  <c r="O85" i="3"/>
  <c r="L85" i="4" s="1"/>
  <c r="AK32" i="3"/>
  <c r="K32" i="6" s="1"/>
  <c r="AD52" i="3"/>
  <c r="AE52" i="3" s="1"/>
  <c r="P52" i="5" s="1"/>
  <c r="Z54" i="3"/>
  <c r="T54" i="4" s="1"/>
  <c r="W63" i="3"/>
  <c r="Q63" i="4" s="1"/>
  <c r="AW77" i="3"/>
  <c r="AC77" i="4" s="1"/>
  <c r="AW92" i="3"/>
  <c r="AC92" i="4" s="1"/>
  <c r="AW94" i="3"/>
  <c r="AC94" i="4" s="1"/>
  <c r="O80" i="4"/>
  <c r="Z63" i="3"/>
  <c r="T63" i="4" s="1"/>
  <c r="Z65" i="3"/>
  <c r="T65" i="4" s="1"/>
  <c r="AW70" i="3"/>
  <c r="AC70" i="4" s="1"/>
  <c r="O98" i="4"/>
  <c r="AK2" i="3"/>
  <c r="K2" i="6" s="1"/>
  <c r="AK11" i="3"/>
  <c r="AL11" i="3" s="1"/>
  <c r="L11" i="6" s="1"/>
  <c r="W28" i="3"/>
  <c r="Q28" i="4" s="1"/>
  <c r="AW29" i="3"/>
  <c r="AC29" i="4" s="1"/>
  <c r="AW34" i="3"/>
  <c r="AC34" i="4" s="1"/>
  <c r="W49" i="3"/>
  <c r="Q49" i="4" s="1"/>
  <c r="W67" i="3"/>
  <c r="Q67" i="4" s="1"/>
  <c r="W72" i="3"/>
  <c r="Q72" i="4" s="1"/>
  <c r="W87" i="3"/>
  <c r="Q87" i="4" s="1"/>
  <c r="O62" i="3"/>
  <c r="L62" i="4" s="1"/>
  <c r="Z85" i="3"/>
  <c r="T85" i="4" s="1"/>
  <c r="D44" i="5"/>
  <c r="AW2" i="3"/>
  <c r="AC2" i="4" s="1"/>
  <c r="Z23" i="3"/>
  <c r="T23" i="4" s="1"/>
  <c r="W25" i="3"/>
  <c r="Q25" i="4" s="1"/>
  <c r="Z28" i="3"/>
  <c r="T28" i="4" s="1"/>
  <c r="Z67" i="3"/>
  <c r="T67" i="4" s="1"/>
  <c r="Z74" i="3"/>
  <c r="T74" i="4" s="1"/>
  <c r="Z76" i="3"/>
  <c r="T76" i="4" s="1"/>
  <c r="W91" i="3"/>
  <c r="Q91" i="4" s="1"/>
  <c r="W69" i="3"/>
  <c r="Q69" i="4" s="1"/>
  <c r="V8" i="4"/>
  <c r="D21" i="5"/>
  <c r="Z20" i="3"/>
  <c r="T20" i="4" s="1"/>
  <c r="R44" i="3"/>
  <c r="J44" i="5" s="1"/>
  <c r="AD67" i="3"/>
  <c r="AF68" i="3" s="1"/>
  <c r="Z91" i="3"/>
  <c r="T91" i="4" s="1"/>
  <c r="S40" i="4"/>
  <c r="F89" i="4"/>
  <c r="D89" i="5"/>
  <c r="Z25" i="3"/>
  <c r="T25" i="4" s="1"/>
  <c r="AW31" i="3"/>
  <c r="AC31" i="4" s="1"/>
  <c r="AD48" i="3"/>
  <c r="O48" i="5" s="1"/>
  <c r="O12" i="3"/>
  <c r="L12" i="4" s="1"/>
  <c r="W17" i="3"/>
  <c r="Q17" i="4" s="1"/>
  <c r="AW58" i="3"/>
  <c r="AC58" i="4" s="1"/>
  <c r="Z62" i="3"/>
  <c r="T62" i="4" s="1"/>
  <c r="Z78" i="3"/>
  <c r="T78" i="4" s="1"/>
  <c r="S96" i="4"/>
  <c r="F38" i="4"/>
  <c r="AW40" i="3"/>
  <c r="AC40" i="4" s="1"/>
  <c r="Z53" i="3"/>
  <c r="T53" i="4" s="1"/>
  <c r="AW95" i="3"/>
  <c r="AC95" i="4" s="1"/>
  <c r="AW97" i="3"/>
  <c r="AC97" i="4" s="1"/>
  <c r="F44" i="4"/>
  <c r="O77" i="4"/>
  <c r="AW20" i="3"/>
  <c r="AC20" i="4" s="1"/>
  <c r="W22" i="3"/>
  <c r="Q22" i="4" s="1"/>
  <c r="AW25" i="3"/>
  <c r="AC25" i="4" s="1"/>
  <c r="AD42" i="3"/>
  <c r="AF43" i="3" s="1"/>
  <c r="Q43" i="5" s="1"/>
  <c r="Z44" i="3"/>
  <c r="T44" i="4" s="1"/>
  <c r="D38" i="5"/>
  <c r="W12" i="3"/>
  <c r="Q12" i="4" s="1"/>
  <c r="O52" i="3"/>
  <c r="L52" i="4" s="1"/>
  <c r="Z55" i="3"/>
  <c r="T55" i="4" s="1"/>
  <c r="Z66" i="3"/>
  <c r="T66" i="4" s="1"/>
  <c r="Z71" i="3"/>
  <c r="T71" i="4" s="1"/>
  <c r="W50" i="3"/>
  <c r="Q50" i="4" s="1"/>
  <c r="W73" i="3"/>
  <c r="Q73" i="4" s="1"/>
  <c r="W14" i="3"/>
  <c r="Q14" i="4" s="1"/>
  <c r="AD22" i="3"/>
  <c r="O22" i="5" s="1"/>
  <c r="Z24" i="3"/>
  <c r="T24" i="4" s="1"/>
  <c r="AW37" i="3"/>
  <c r="AC37" i="4" s="1"/>
  <c r="AW46" i="3"/>
  <c r="AC46" i="4" s="1"/>
  <c r="W68" i="3"/>
  <c r="Q68" i="4" s="1"/>
  <c r="G2" i="4"/>
  <c r="E2" i="5"/>
  <c r="E2" i="6"/>
  <c r="J2" i="3"/>
  <c r="E12" i="6"/>
  <c r="E12" i="5"/>
  <c r="G12" i="4"/>
  <c r="J12" i="3"/>
  <c r="E22" i="6"/>
  <c r="E22" i="5"/>
  <c r="G22" i="4"/>
  <c r="J22" i="3"/>
  <c r="E32" i="6"/>
  <c r="E32" i="5"/>
  <c r="G32" i="4"/>
  <c r="J32" i="3"/>
  <c r="F62" i="5"/>
  <c r="F62" i="6"/>
  <c r="L62" i="3"/>
  <c r="K62" i="3"/>
  <c r="E82" i="5"/>
  <c r="E82" i="6"/>
  <c r="G82" i="4"/>
  <c r="J82" i="3"/>
  <c r="F38" i="6"/>
  <c r="F38" i="5"/>
  <c r="L38" i="3"/>
  <c r="K38" i="3"/>
  <c r="E3" i="6"/>
  <c r="E3" i="5"/>
  <c r="G3" i="4"/>
  <c r="J3" i="3"/>
  <c r="E13" i="5"/>
  <c r="G13" i="4"/>
  <c r="J13" i="3"/>
  <c r="E13" i="6"/>
  <c r="E23" i="5"/>
  <c r="G23" i="4"/>
  <c r="E23" i="6"/>
  <c r="J23" i="3"/>
  <c r="E33" i="6"/>
  <c r="E33" i="5"/>
  <c r="G33" i="4"/>
  <c r="J33" i="3"/>
  <c r="F43" i="6"/>
  <c r="F43" i="5"/>
  <c r="K43" i="3"/>
  <c r="L43" i="3"/>
  <c r="E53" i="5"/>
  <c r="G53" i="4"/>
  <c r="E53" i="6"/>
  <c r="J53" i="3"/>
  <c r="E63" i="5"/>
  <c r="G63" i="4"/>
  <c r="E63" i="6"/>
  <c r="J63" i="3"/>
  <c r="E73" i="5"/>
  <c r="E73" i="6"/>
  <c r="J73" i="3"/>
  <c r="G73" i="4"/>
  <c r="I4" i="5"/>
  <c r="K4" i="4"/>
  <c r="O4" i="3"/>
  <c r="R4" i="3"/>
  <c r="P44" i="3"/>
  <c r="M44" i="4" s="1"/>
  <c r="L44" i="4"/>
  <c r="L94" i="4"/>
  <c r="P94" i="3"/>
  <c r="M94" i="4" s="1"/>
  <c r="E4" i="6"/>
  <c r="G4" i="4"/>
  <c r="E4" i="5"/>
  <c r="J4" i="3"/>
  <c r="E24" i="6"/>
  <c r="E24" i="5"/>
  <c r="G24" i="4"/>
  <c r="J24" i="3"/>
  <c r="F54" i="6"/>
  <c r="F54" i="5"/>
  <c r="L54" i="3"/>
  <c r="K54" i="3"/>
  <c r="G20" i="5"/>
  <c r="G20" i="6"/>
  <c r="L93" i="4"/>
  <c r="P93" i="3"/>
  <c r="M93" i="4" s="1"/>
  <c r="J85" i="5"/>
  <c r="S85" i="3"/>
  <c r="K85" i="5" s="1"/>
  <c r="P43" i="3"/>
  <c r="M43" i="4" s="1"/>
  <c r="L43" i="4"/>
  <c r="K5" i="4"/>
  <c r="I5" i="5"/>
  <c r="AD5" i="3"/>
  <c r="R5" i="3"/>
  <c r="O5" i="3"/>
  <c r="I45" i="5"/>
  <c r="R45" i="3"/>
  <c r="K45" i="4"/>
  <c r="O45" i="3"/>
  <c r="I47" i="5"/>
  <c r="K47" i="4"/>
  <c r="R47" i="3"/>
  <c r="O47" i="3"/>
  <c r="I77" i="5"/>
  <c r="R77" i="3"/>
  <c r="O77" i="3"/>
  <c r="K77" i="4"/>
  <c r="AK77" i="3"/>
  <c r="F37" i="6"/>
  <c r="F37" i="5"/>
  <c r="K37" i="3"/>
  <c r="L37" i="3"/>
  <c r="I53" i="5"/>
  <c r="K53" i="4"/>
  <c r="R53" i="3"/>
  <c r="O53" i="3"/>
  <c r="I15" i="5"/>
  <c r="R15" i="3"/>
  <c r="K15" i="4"/>
  <c r="AK15" i="3"/>
  <c r="O15" i="3"/>
  <c r="E35" i="6"/>
  <c r="E35" i="5"/>
  <c r="G35" i="4"/>
  <c r="J35" i="3"/>
  <c r="L66" i="4"/>
  <c r="P66" i="3"/>
  <c r="M66" i="4" s="1"/>
  <c r="E7" i="6"/>
  <c r="E7" i="5"/>
  <c r="G7" i="4"/>
  <c r="J7" i="3"/>
  <c r="I33" i="5"/>
  <c r="K33" i="4"/>
  <c r="R33" i="3"/>
  <c r="AD33" i="3"/>
  <c r="O33" i="3"/>
  <c r="I55" i="5"/>
  <c r="K55" i="4"/>
  <c r="R55" i="3"/>
  <c r="O55" i="3"/>
  <c r="AK55" i="3"/>
  <c r="O78" i="3"/>
  <c r="R78" i="3"/>
  <c r="I78" i="5"/>
  <c r="K78" i="4"/>
  <c r="AK78" i="3"/>
  <c r="AD78" i="3"/>
  <c r="I23" i="5"/>
  <c r="K23" i="4"/>
  <c r="R23" i="3"/>
  <c r="O23" i="3"/>
  <c r="F25" i="6"/>
  <c r="F25" i="5"/>
  <c r="L25" i="3"/>
  <c r="K25" i="3"/>
  <c r="L56" i="4"/>
  <c r="P56" i="3"/>
  <c r="M56" i="4" s="1"/>
  <c r="E17" i="6"/>
  <c r="E17" i="5"/>
  <c r="G17" i="4"/>
  <c r="J17" i="3"/>
  <c r="L38" i="4"/>
  <c r="P38" i="3"/>
  <c r="M38" i="4" s="1"/>
  <c r="L68" i="4"/>
  <c r="P68" i="3"/>
  <c r="M68" i="4" s="1"/>
  <c r="E8" i="6"/>
  <c r="E8" i="5"/>
  <c r="G8" i="4"/>
  <c r="J8" i="3"/>
  <c r="E28" i="6"/>
  <c r="E28" i="5"/>
  <c r="G28" i="4"/>
  <c r="J28" i="3"/>
  <c r="E48" i="6"/>
  <c r="G48" i="4"/>
  <c r="E48" i="5"/>
  <c r="J48" i="3"/>
  <c r="L39" i="4"/>
  <c r="P39" i="3"/>
  <c r="M39" i="4" s="1"/>
  <c r="I49" i="5"/>
  <c r="R49" i="3"/>
  <c r="K49" i="4"/>
  <c r="AD49" i="3"/>
  <c r="O49" i="3"/>
  <c r="K59" i="4"/>
  <c r="I59" i="5"/>
  <c r="R59" i="3"/>
  <c r="O59" i="3"/>
  <c r="J79" i="5"/>
  <c r="S79" i="3"/>
  <c r="K79" i="5" s="1"/>
  <c r="I3" i="5"/>
  <c r="K3" i="4"/>
  <c r="R3" i="3"/>
  <c r="O3" i="3"/>
  <c r="R35" i="3"/>
  <c r="K35" i="4"/>
  <c r="I35" i="5"/>
  <c r="AK35" i="3"/>
  <c r="O35" i="3"/>
  <c r="E45" i="6"/>
  <c r="E45" i="5"/>
  <c r="G45" i="4"/>
  <c r="J45" i="3"/>
  <c r="L96" i="4"/>
  <c r="P96" i="3"/>
  <c r="M96" i="4" s="1"/>
  <c r="E46" i="6"/>
  <c r="E46" i="5"/>
  <c r="G46" i="4"/>
  <c r="J46" i="3"/>
  <c r="E57" i="5"/>
  <c r="E57" i="6"/>
  <c r="G57" i="4"/>
  <c r="J57" i="3"/>
  <c r="I19" i="5"/>
  <c r="K19" i="4"/>
  <c r="R19" i="3"/>
  <c r="O19" i="3"/>
  <c r="AD19" i="3"/>
  <c r="E49" i="6"/>
  <c r="G49" i="4"/>
  <c r="E49" i="5"/>
  <c r="J49" i="3"/>
  <c r="E59" i="6"/>
  <c r="E59" i="5"/>
  <c r="G59" i="4"/>
  <c r="J59" i="3"/>
  <c r="E69" i="6"/>
  <c r="G69" i="4"/>
  <c r="E69" i="5"/>
  <c r="J69" i="3"/>
  <c r="F14" i="6"/>
  <c r="F14" i="5"/>
  <c r="L14" i="3"/>
  <c r="K14" i="3"/>
  <c r="E85" i="6"/>
  <c r="E85" i="5"/>
  <c r="G85" i="4"/>
  <c r="J85" i="3"/>
  <c r="J36" i="5"/>
  <c r="S36" i="3"/>
  <c r="K36" i="5" s="1"/>
  <c r="I76" i="5"/>
  <c r="K76" i="4"/>
  <c r="O76" i="3"/>
  <c r="R76" i="3"/>
  <c r="E6" i="6"/>
  <c r="E6" i="5"/>
  <c r="G6" i="4"/>
  <c r="J6" i="3"/>
  <c r="J18" i="5"/>
  <c r="S18" i="3"/>
  <c r="K18" i="5" s="1"/>
  <c r="L10" i="4"/>
  <c r="P10" i="3"/>
  <c r="M10" i="4" s="1"/>
  <c r="J30" i="5"/>
  <c r="S30" i="3"/>
  <c r="K30" i="5" s="1"/>
  <c r="L60" i="4"/>
  <c r="P60" i="3"/>
  <c r="M60" i="4" s="1"/>
  <c r="L70" i="4"/>
  <c r="P70" i="3"/>
  <c r="M70" i="4" s="1"/>
  <c r="E15" i="5"/>
  <c r="G15" i="4"/>
  <c r="E15" i="6"/>
  <c r="J15" i="3"/>
  <c r="E65" i="6"/>
  <c r="E65" i="5"/>
  <c r="G65" i="4"/>
  <c r="J65" i="3"/>
  <c r="I6" i="5"/>
  <c r="K6" i="4"/>
  <c r="R6" i="3"/>
  <c r="O6" i="3"/>
  <c r="AK6" i="3"/>
  <c r="E86" i="6"/>
  <c r="E86" i="5"/>
  <c r="G86" i="4"/>
  <c r="J86" i="3"/>
  <c r="E27" i="6"/>
  <c r="E27" i="5"/>
  <c r="G27" i="4"/>
  <c r="J27" i="3"/>
  <c r="E30" i="6"/>
  <c r="E30" i="5"/>
  <c r="G30" i="4"/>
  <c r="J30" i="3"/>
  <c r="I63" i="5"/>
  <c r="K63" i="4"/>
  <c r="R63" i="3"/>
  <c r="O63" i="3"/>
  <c r="AK63" i="3"/>
  <c r="AD63" i="3"/>
  <c r="E75" i="6"/>
  <c r="E75" i="5"/>
  <c r="G75" i="4"/>
  <c r="J75" i="3"/>
  <c r="E67" i="6"/>
  <c r="E67" i="5"/>
  <c r="G67" i="4"/>
  <c r="J67" i="3"/>
  <c r="I21" i="5"/>
  <c r="R21" i="3"/>
  <c r="K21" i="4"/>
  <c r="AK21" i="3"/>
  <c r="AD21" i="3"/>
  <c r="O21" i="3"/>
  <c r="R13" i="3"/>
  <c r="I13" i="5"/>
  <c r="K13" i="4"/>
  <c r="O13" i="3"/>
  <c r="I75" i="5"/>
  <c r="K75" i="4"/>
  <c r="R75" i="3"/>
  <c r="O75" i="3"/>
  <c r="AK75" i="3"/>
  <c r="E55" i="5"/>
  <c r="E55" i="6"/>
  <c r="G55" i="4"/>
  <c r="J55" i="3"/>
  <c r="L46" i="4"/>
  <c r="P46" i="3"/>
  <c r="M46" i="4" s="1"/>
  <c r="J8" i="5"/>
  <c r="S8" i="3"/>
  <c r="K8" i="5" s="1"/>
  <c r="E52" i="6"/>
  <c r="E52" i="5"/>
  <c r="G52" i="4"/>
  <c r="J52" i="3"/>
  <c r="E92" i="5"/>
  <c r="E92" i="6"/>
  <c r="G92" i="4"/>
  <c r="J92" i="3"/>
  <c r="E5" i="6"/>
  <c r="E5" i="5"/>
  <c r="G5" i="4"/>
  <c r="AK5" i="3"/>
  <c r="AD8" i="3"/>
  <c r="Z11" i="3"/>
  <c r="T11" i="4" s="1"/>
  <c r="F18" i="5"/>
  <c r="F18" i="6"/>
  <c r="I37" i="5"/>
  <c r="R37" i="3"/>
  <c r="V80" i="4"/>
  <c r="AW80" i="3"/>
  <c r="AC80" i="4" s="1"/>
  <c r="S9" i="4"/>
  <c r="L16" i="4"/>
  <c r="K43" i="4"/>
  <c r="I41" i="5"/>
  <c r="R41" i="3"/>
  <c r="AD41" i="3"/>
  <c r="O41" i="3"/>
  <c r="N51" i="5"/>
  <c r="AD51" i="3"/>
  <c r="AD68" i="3"/>
  <c r="N68" i="5"/>
  <c r="I71" i="5"/>
  <c r="R71" i="3"/>
  <c r="O71" i="3"/>
  <c r="K71" i="4"/>
  <c r="V75" i="4"/>
  <c r="AW75" i="3"/>
  <c r="AC75" i="4" s="1"/>
  <c r="P91" i="3"/>
  <c r="M91" i="4" s="1"/>
  <c r="L91" i="4"/>
  <c r="O15" i="4"/>
  <c r="AW7" i="3"/>
  <c r="AC7" i="4" s="1"/>
  <c r="AW18" i="3"/>
  <c r="AC18" i="4" s="1"/>
  <c r="N97" i="5"/>
  <c r="AD97" i="3"/>
  <c r="D5" i="6"/>
  <c r="D5" i="5"/>
  <c r="F5" i="4"/>
  <c r="F10" i="6"/>
  <c r="F10" i="5"/>
  <c r="N26" i="5"/>
  <c r="AD26" i="3"/>
  <c r="E43" i="6"/>
  <c r="E43" i="5"/>
  <c r="G43" i="4"/>
  <c r="V55" i="4"/>
  <c r="AW55" i="3"/>
  <c r="AC55" i="4" s="1"/>
  <c r="J83" i="6"/>
  <c r="AK83" i="3"/>
  <c r="I34" i="5"/>
  <c r="R34" i="3"/>
  <c r="AK34" i="3"/>
  <c r="I74" i="5"/>
  <c r="K74" i="4"/>
  <c r="O74" i="3"/>
  <c r="AK74" i="3"/>
  <c r="E41" i="5"/>
  <c r="E41" i="6"/>
  <c r="G41" i="4"/>
  <c r="J41" i="3"/>
  <c r="W44" i="3"/>
  <c r="Q44" i="4" s="1"/>
  <c r="O44" i="4"/>
  <c r="Z49" i="3"/>
  <c r="T49" i="4" s="1"/>
  <c r="Z50" i="3"/>
  <c r="T50" i="4" s="1"/>
  <c r="V53" i="4"/>
  <c r="AW53" i="3"/>
  <c r="AC53" i="4" s="1"/>
  <c r="Z60" i="3"/>
  <c r="T60" i="4" s="1"/>
  <c r="V61" i="4"/>
  <c r="AW61" i="3"/>
  <c r="AC61" i="4" s="1"/>
  <c r="AK68" i="3"/>
  <c r="E71" i="6"/>
  <c r="E71" i="5"/>
  <c r="G71" i="4"/>
  <c r="J71" i="3"/>
  <c r="N73" i="5"/>
  <c r="AD73" i="3"/>
  <c r="N89" i="5"/>
  <c r="AD89" i="3"/>
  <c r="V63" i="4"/>
  <c r="AW63" i="3"/>
  <c r="AC63" i="4" s="1"/>
  <c r="I14" i="5"/>
  <c r="K14" i="4"/>
  <c r="I24" i="5"/>
  <c r="K24" i="4"/>
  <c r="I64" i="5"/>
  <c r="K64" i="4"/>
  <c r="AK13" i="3"/>
  <c r="D25" i="6"/>
  <c r="D25" i="5"/>
  <c r="F25" i="4"/>
  <c r="I29" i="5"/>
  <c r="K29" i="4"/>
  <c r="R29" i="3"/>
  <c r="O29" i="3"/>
  <c r="E44" i="6"/>
  <c r="E44" i="5"/>
  <c r="G44" i="4"/>
  <c r="J44" i="3"/>
  <c r="E74" i="6"/>
  <c r="E74" i="5"/>
  <c r="G74" i="4"/>
  <c r="E84" i="6"/>
  <c r="E84" i="5"/>
  <c r="G84" i="4"/>
  <c r="J84" i="3"/>
  <c r="AD6" i="3"/>
  <c r="D8" i="6"/>
  <c r="D8" i="5"/>
  <c r="F8" i="4"/>
  <c r="AK8" i="3"/>
  <c r="E16" i="6"/>
  <c r="E16" i="5"/>
  <c r="G16" i="4"/>
  <c r="Z17" i="3"/>
  <c r="T17" i="4" s="1"/>
  <c r="O18" i="3"/>
  <c r="W20" i="3"/>
  <c r="Q20" i="4" s="1"/>
  <c r="AW21" i="3"/>
  <c r="AC21" i="4" s="1"/>
  <c r="W23" i="3"/>
  <c r="Q23" i="4" s="1"/>
  <c r="O24" i="3"/>
  <c r="Z27" i="3"/>
  <c r="T27" i="4" s="1"/>
  <c r="R28" i="3"/>
  <c r="D29" i="6"/>
  <c r="D29" i="5"/>
  <c r="F29" i="4"/>
  <c r="AK30" i="3"/>
  <c r="W32" i="3"/>
  <c r="Q32" i="4" s="1"/>
  <c r="O36" i="3"/>
  <c r="W45" i="3"/>
  <c r="Q45" i="4" s="1"/>
  <c r="AK52" i="3"/>
  <c r="N60" i="5"/>
  <c r="AD60" i="3"/>
  <c r="F70" i="6"/>
  <c r="F70" i="5"/>
  <c r="S14" i="4"/>
  <c r="I92" i="5"/>
  <c r="K92" i="4"/>
  <c r="O92" i="3"/>
  <c r="AD92" i="3"/>
  <c r="D71" i="6"/>
  <c r="D71" i="5"/>
  <c r="F71" i="4"/>
  <c r="I44" i="5"/>
  <c r="K44" i="4"/>
  <c r="I84" i="5"/>
  <c r="K84" i="4"/>
  <c r="O84" i="3"/>
  <c r="R84" i="3"/>
  <c r="AK3" i="3"/>
  <c r="W4" i="3"/>
  <c r="Q4" i="4" s="1"/>
  <c r="AW10" i="3"/>
  <c r="AC10" i="4" s="1"/>
  <c r="E34" i="6"/>
  <c r="E34" i="5"/>
  <c r="G34" i="4"/>
  <c r="J34" i="3"/>
  <c r="E64" i="6"/>
  <c r="E64" i="5"/>
  <c r="G64" i="4"/>
  <c r="J64" i="3"/>
  <c r="E94" i="6"/>
  <c r="G94" i="4"/>
  <c r="E94" i="5"/>
  <c r="I25" i="5"/>
  <c r="K25" i="4"/>
  <c r="R25" i="3"/>
  <c r="I65" i="5"/>
  <c r="K65" i="4"/>
  <c r="R65" i="3"/>
  <c r="O65" i="3"/>
  <c r="I85" i="5"/>
  <c r="K85" i="4"/>
  <c r="AK85" i="3"/>
  <c r="I95" i="5"/>
  <c r="K95" i="4"/>
  <c r="Z4" i="3"/>
  <c r="T4" i="4" s="1"/>
  <c r="AW5" i="3"/>
  <c r="AC5" i="4" s="1"/>
  <c r="I11" i="5"/>
  <c r="K11" i="4"/>
  <c r="R11" i="3"/>
  <c r="AD14" i="3"/>
  <c r="D19" i="5"/>
  <c r="D19" i="6"/>
  <c r="AK19" i="3"/>
  <c r="AK22" i="3"/>
  <c r="R24" i="3"/>
  <c r="AK26" i="3"/>
  <c r="E29" i="6"/>
  <c r="E29" i="5"/>
  <c r="G29" i="4"/>
  <c r="J29" i="3"/>
  <c r="S32" i="4"/>
  <c r="Z32" i="3"/>
  <c r="T32" i="4" s="1"/>
  <c r="O43" i="4"/>
  <c r="W43" i="3"/>
  <c r="Q43" i="4" s="1"/>
  <c r="S45" i="4"/>
  <c r="Z45" i="3"/>
  <c r="T45" i="4" s="1"/>
  <c r="Z46" i="3"/>
  <c r="T46" i="4" s="1"/>
  <c r="W65" i="3"/>
  <c r="Q65" i="4" s="1"/>
  <c r="K70" i="3"/>
  <c r="G80" i="4"/>
  <c r="E80" i="5"/>
  <c r="E80" i="6"/>
  <c r="K41" i="4"/>
  <c r="J16" i="3"/>
  <c r="E19" i="5"/>
  <c r="E19" i="6"/>
  <c r="G19" i="4"/>
  <c r="D22" i="5"/>
  <c r="D22" i="6"/>
  <c r="F22" i="4"/>
  <c r="D26" i="6"/>
  <c r="D26" i="5"/>
  <c r="F26" i="4"/>
  <c r="AD27" i="3"/>
  <c r="AK31" i="3"/>
  <c r="N32" i="5"/>
  <c r="AD32" i="3"/>
  <c r="W34" i="3"/>
  <c r="Q34" i="4" s="1"/>
  <c r="O40" i="3"/>
  <c r="N45" i="5"/>
  <c r="AD45" i="3"/>
  <c r="N46" i="5"/>
  <c r="AD46" i="3"/>
  <c r="Z47" i="3"/>
  <c r="T47" i="4" s="1"/>
  <c r="D55" i="5"/>
  <c r="D55" i="6"/>
  <c r="F55" i="4"/>
  <c r="W57" i="3"/>
  <c r="Q57" i="4" s="1"/>
  <c r="AD59" i="3"/>
  <c r="AK60" i="3"/>
  <c r="D63" i="6"/>
  <c r="D63" i="5"/>
  <c r="F63" i="4"/>
  <c r="O64" i="3"/>
  <c r="AK67" i="3"/>
  <c r="L70" i="3"/>
  <c r="D75" i="6"/>
  <c r="F75" i="4"/>
  <c r="D75" i="5"/>
  <c r="I36" i="5"/>
  <c r="K36" i="4"/>
  <c r="I56" i="5"/>
  <c r="K56" i="4"/>
  <c r="I66" i="5"/>
  <c r="K66" i="4"/>
  <c r="R66" i="3"/>
  <c r="I86" i="5"/>
  <c r="K86" i="4"/>
  <c r="O86" i="3"/>
  <c r="R86" i="3"/>
  <c r="AK86" i="3"/>
  <c r="AD86" i="3"/>
  <c r="N23" i="5"/>
  <c r="AD23" i="3"/>
  <c r="O37" i="3"/>
  <c r="J45" i="6"/>
  <c r="AK45" i="3"/>
  <c r="R64" i="3"/>
  <c r="F80" i="5"/>
  <c r="F80" i="6"/>
  <c r="S81" i="4"/>
  <c r="Z81" i="3"/>
  <c r="T81" i="4" s="1"/>
  <c r="I73" i="5"/>
  <c r="K73" i="4"/>
  <c r="R73" i="3"/>
  <c r="O73" i="3"/>
  <c r="AK73" i="3"/>
  <c r="D3" i="6"/>
  <c r="D3" i="5"/>
  <c r="F3" i="4"/>
  <c r="I26" i="5"/>
  <c r="K26" i="4"/>
  <c r="I46" i="5"/>
  <c r="K46" i="4"/>
  <c r="R46" i="3"/>
  <c r="I96" i="5"/>
  <c r="K96" i="4"/>
  <c r="AK96" i="3"/>
  <c r="R96" i="3"/>
  <c r="AD4" i="3"/>
  <c r="AD9" i="3"/>
  <c r="E11" i="6"/>
  <c r="E11" i="5"/>
  <c r="G11" i="4"/>
  <c r="AW13" i="3"/>
  <c r="AC13" i="4" s="1"/>
  <c r="D6" i="6"/>
  <c r="D6" i="5"/>
  <c r="F6" i="4"/>
  <c r="AW16" i="3"/>
  <c r="AC16" i="4" s="1"/>
  <c r="J19" i="3"/>
  <c r="AD20" i="3"/>
  <c r="W24" i="3"/>
  <c r="Q24" i="4" s="1"/>
  <c r="O25" i="3"/>
  <c r="AW30" i="3"/>
  <c r="AC30" i="4" s="1"/>
  <c r="Z34" i="3"/>
  <c r="T34" i="4" s="1"/>
  <c r="R40" i="3"/>
  <c r="W41" i="3"/>
  <c r="Q41" i="4" s="1"/>
  <c r="W42" i="3"/>
  <c r="Q42" i="4" s="1"/>
  <c r="N43" i="5"/>
  <c r="AD43" i="3"/>
  <c r="AD44" i="3"/>
  <c r="AK46" i="3"/>
  <c r="AD47" i="3"/>
  <c r="AK49" i="3"/>
  <c r="R56" i="3"/>
  <c r="Z57" i="3"/>
  <c r="T57" i="4" s="1"/>
  <c r="AK59" i="3"/>
  <c r="N65" i="5"/>
  <c r="AD65" i="3"/>
  <c r="J66" i="6"/>
  <c r="AK66" i="3"/>
  <c r="Z72" i="3"/>
  <c r="T72" i="4" s="1"/>
  <c r="K80" i="3"/>
  <c r="K28" i="4"/>
  <c r="I54" i="5"/>
  <c r="K54" i="4"/>
  <c r="R54" i="3"/>
  <c r="I94" i="5"/>
  <c r="R94" i="3"/>
  <c r="K94" i="4"/>
  <c r="W9" i="3"/>
  <c r="Q9" i="4" s="1"/>
  <c r="L10" i="3"/>
  <c r="D13" i="6"/>
  <c r="D13" i="5"/>
  <c r="F13" i="4"/>
  <c r="D16" i="6"/>
  <c r="D16" i="5"/>
  <c r="F16" i="4"/>
  <c r="AK16" i="3"/>
  <c r="E54" i="6"/>
  <c r="G54" i="4"/>
  <c r="E54" i="5"/>
  <c r="E25" i="6"/>
  <c r="E25" i="5"/>
  <c r="G25" i="4"/>
  <c r="E95" i="5"/>
  <c r="E95" i="6"/>
  <c r="J95" i="3"/>
  <c r="G95" i="4"/>
  <c r="K16" i="4"/>
  <c r="I16" i="5"/>
  <c r="E26" i="6"/>
  <c r="E26" i="5"/>
  <c r="D30" i="6"/>
  <c r="D30" i="5"/>
  <c r="F30" i="4"/>
  <c r="O35" i="4"/>
  <c r="W35" i="3"/>
  <c r="Q35" i="4" s="1"/>
  <c r="E36" i="6"/>
  <c r="G36" i="4"/>
  <c r="E36" i="5"/>
  <c r="J36" i="3"/>
  <c r="E56" i="5"/>
  <c r="E56" i="6"/>
  <c r="G56" i="4"/>
  <c r="J56" i="3"/>
  <c r="E66" i="6"/>
  <c r="E66" i="5"/>
  <c r="G66" i="4"/>
  <c r="E76" i="5"/>
  <c r="E76" i="6"/>
  <c r="G76" i="4"/>
  <c r="J76" i="3"/>
  <c r="E96" i="5"/>
  <c r="G96" i="4"/>
  <c r="E96" i="6"/>
  <c r="J96" i="3"/>
  <c r="AW3" i="3"/>
  <c r="AC3" i="4" s="1"/>
  <c r="K27" i="4"/>
  <c r="I27" i="5"/>
  <c r="R27" i="3"/>
  <c r="I57" i="5"/>
  <c r="K57" i="4"/>
  <c r="R57" i="3"/>
  <c r="O57" i="3"/>
  <c r="I87" i="5"/>
  <c r="K87" i="4"/>
  <c r="R87" i="3"/>
  <c r="O87" i="3"/>
  <c r="I97" i="5"/>
  <c r="R97" i="3"/>
  <c r="O97" i="3"/>
  <c r="AK97" i="3"/>
  <c r="Z2" i="3"/>
  <c r="T2" i="4" s="1"/>
  <c r="W7" i="3"/>
  <c r="Q7" i="4" s="1"/>
  <c r="J11" i="3"/>
  <c r="D14" i="6"/>
  <c r="D14" i="5"/>
  <c r="F14" i="4"/>
  <c r="AK14" i="3"/>
  <c r="J26" i="3"/>
  <c r="W36" i="3"/>
  <c r="Q36" i="4" s="1"/>
  <c r="AK48" i="3"/>
  <c r="AW50" i="3"/>
  <c r="AC50" i="4" s="1"/>
  <c r="AW51" i="3"/>
  <c r="AC51" i="4" s="1"/>
  <c r="N57" i="5"/>
  <c r="AD57" i="3"/>
  <c r="N72" i="5"/>
  <c r="AD72" i="3"/>
  <c r="L80" i="3"/>
  <c r="J81" i="6"/>
  <c r="AK81" i="3"/>
  <c r="F21" i="4"/>
  <c r="I83" i="5"/>
  <c r="K83" i="4"/>
  <c r="R83" i="3"/>
  <c r="O83" i="3"/>
  <c r="E87" i="6"/>
  <c r="E87" i="5"/>
  <c r="G87" i="4"/>
  <c r="S7" i="4"/>
  <c r="Z7" i="3"/>
  <c r="T7" i="4" s="1"/>
  <c r="I31" i="5"/>
  <c r="K31" i="4"/>
  <c r="R31" i="3"/>
  <c r="O31" i="3"/>
  <c r="AD34" i="3"/>
  <c r="N35" i="5"/>
  <c r="AD35" i="3"/>
  <c r="V67" i="4"/>
  <c r="AW67" i="3"/>
  <c r="AC67" i="4" s="1"/>
  <c r="R80" i="3"/>
  <c r="J87" i="3"/>
  <c r="K37" i="4"/>
  <c r="G42" i="4"/>
  <c r="E42" i="5"/>
  <c r="J42" i="3"/>
  <c r="E42" i="6"/>
  <c r="E83" i="5"/>
  <c r="E83" i="6"/>
  <c r="G83" i="4"/>
  <c r="J83" i="3"/>
  <c r="I88" i="5"/>
  <c r="O88" i="3"/>
  <c r="K88" i="4"/>
  <c r="R88" i="3"/>
  <c r="K98" i="4"/>
  <c r="I98" i="5"/>
  <c r="O98" i="3"/>
  <c r="AK98" i="3"/>
  <c r="AD98" i="3"/>
  <c r="R98" i="3"/>
  <c r="AD2" i="3"/>
  <c r="D4" i="6"/>
  <c r="D4" i="5"/>
  <c r="F4" i="4"/>
  <c r="D9" i="6"/>
  <c r="D9" i="5"/>
  <c r="F9" i="4"/>
  <c r="AK9" i="3"/>
  <c r="AD12" i="3"/>
  <c r="D17" i="6"/>
  <c r="D17" i="5"/>
  <c r="F17" i="4"/>
  <c r="AK17" i="3"/>
  <c r="AK23" i="3"/>
  <c r="D31" i="6"/>
  <c r="D31" i="5"/>
  <c r="V32" i="4"/>
  <c r="AW32" i="3"/>
  <c r="AC32" i="4" s="1"/>
  <c r="AK33" i="3"/>
  <c r="Z36" i="3"/>
  <c r="T36" i="4" s="1"/>
  <c r="AK44" i="3"/>
  <c r="J47" i="6"/>
  <c r="AK47" i="3"/>
  <c r="V49" i="4"/>
  <c r="AW49" i="3"/>
  <c r="AC49" i="4" s="1"/>
  <c r="O54" i="3"/>
  <c r="E61" i="5"/>
  <c r="E61" i="6"/>
  <c r="G61" i="4"/>
  <c r="AK72" i="3"/>
  <c r="J74" i="3"/>
  <c r="E58" i="5"/>
  <c r="G58" i="4"/>
  <c r="E58" i="6"/>
  <c r="E68" i="5"/>
  <c r="E68" i="6"/>
  <c r="G68" i="4"/>
  <c r="J68" i="3"/>
  <c r="E78" i="5"/>
  <c r="E78" i="6"/>
  <c r="G78" i="4"/>
  <c r="J78" i="3"/>
  <c r="E88" i="5"/>
  <c r="E88" i="6"/>
  <c r="G88" i="4"/>
  <c r="J88" i="3"/>
  <c r="E98" i="5"/>
  <c r="J98" i="3"/>
  <c r="G98" i="4"/>
  <c r="E98" i="6"/>
  <c r="AK4" i="3"/>
  <c r="W5" i="3"/>
  <c r="Q5" i="4" s="1"/>
  <c r="AD7" i="3"/>
  <c r="E9" i="6"/>
  <c r="E9" i="5"/>
  <c r="G9" i="4"/>
  <c r="Z10" i="3"/>
  <c r="T10" i="4" s="1"/>
  <c r="AW11" i="3"/>
  <c r="AC11" i="4" s="1"/>
  <c r="AD15" i="3"/>
  <c r="R16" i="3"/>
  <c r="Z18" i="3"/>
  <c r="T18" i="4" s="1"/>
  <c r="D20" i="6"/>
  <c r="D20" i="5"/>
  <c r="F20" i="4"/>
  <c r="AK20" i="3"/>
  <c r="D23" i="6"/>
  <c r="D23" i="5"/>
  <c r="F23" i="4"/>
  <c r="AD24" i="3"/>
  <c r="AD28" i="3"/>
  <c r="E31" i="6"/>
  <c r="E31" i="5"/>
  <c r="G31" i="4"/>
  <c r="J31" i="3"/>
  <c r="S37" i="4"/>
  <c r="Z37" i="3"/>
  <c r="T37" i="4" s="1"/>
  <c r="Z38" i="3"/>
  <c r="T38" i="4" s="1"/>
  <c r="V47" i="4"/>
  <c r="AW47" i="3"/>
  <c r="AC47" i="4" s="1"/>
  <c r="V59" i="4"/>
  <c r="AW59" i="3"/>
  <c r="AC59" i="4" s="1"/>
  <c r="Z64" i="3"/>
  <c r="T64" i="4" s="1"/>
  <c r="AD71" i="3"/>
  <c r="AD76" i="3"/>
  <c r="O79" i="3"/>
  <c r="W90" i="3"/>
  <c r="Q90" i="4" s="1"/>
  <c r="O90" i="4"/>
  <c r="G26" i="4"/>
  <c r="J24" i="6"/>
  <c r="J5" i="3"/>
  <c r="Z6" i="3"/>
  <c r="T6" i="4" s="1"/>
  <c r="S5" i="4"/>
  <c r="Z5" i="3"/>
  <c r="T5" i="4" s="1"/>
  <c r="O11" i="3"/>
  <c r="E20" i="6"/>
  <c r="E20" i="5"/>
  <c r="G20" i="4"/>
  <c r="O26" i="3"/>
  <c r="O30" i="3"/>
  <c r="AD36" i="3"/>
  <c r="N37" i="5"/>
  <c r="AD37" i="3"/>
  <c r="N38" i="5"/>
  <c r="AD38" i="3"/>
  <c r="F51" i="6"/>
  <c r="F51" i="5"/>
  <c r="AW57" i="3"/>
  <c r="AC57" i="4" s="1"/>
  <c r="V57" i="4"/>
  <c r="F61" i="5"/>
  <c r="F61" i="6"/>
  <c r="L61" i="3"/>
  <c r="K61" i="3"/>
  <c r="S62" i="3"/>
  <c r="K62" i="5" s="1"/>
  <c r="N64" i="5"/>
  <c r="AD64" i="3"/>
  <c r="I67" i="5"/>
  <c r="R67" i="3"/>
  <c r="O67" i="3"/>
  <c r="K67" i="4"/>
  <c r="AK88" i="3"/>
  <c r="R92" i="3"/>
  <c r="O95" i="3"/>
  <c r="F19" i="4"/>
  <c r="K10" i="3"/>
  <c r="AD11" i="3"/>
  <c r="AK29" i="3"/>
  <c r="P34" i="3"/>
  <c r="M34" i="4" s="1"/>
  <c r="D36" i="5"/>
  <c r="D36" i="6"/>
  <c r="F36" i="4"/>
  <c r="E37" i="6"/>
  <c r="E37" i="5"/>
  <c r="G37" i="4"/>
  <c r="E38" i="6"/>
  <c r="E38" i="5"/>
  <c r="G38" i="4"/>
  <c r="I39" i="5"/>
  <c r="K39" i="4"/>
  <c r="R39" i="3"/>
  <c r="E40" i="5"/>
  <c r="E40" i="6"/>
  <c r="G40" i="4"/>
  <c r="J40" i="3"/>
  <c r="I81" i="5"/>
  <c r="K81" i="4"/>
  <c r="R81" i="3"/>
  <c r="O81" i="3"/>
  <c r="E14" i="6"/>
  <c r="E14" i="5"/>
  <c r="G14" i="4"/>
  <c r="E39" i="6"/>
  <c r="E39" i="5"/>
  <c r="G39" i="4"/>
  <c r="J39" i="3"/>
  <c r="E79" i="6"/>
  <c r="E79" i="5"/>
  <c r="J79" i="3"/>
  <c r="G79" i="4"/>
  <c r="E89" i="6"/>
  <c r="G89" i="4"/>
  <c r="E89" i="5"/>
  <c r="J89" i="3"/>
  <c r="I2" i="5"/>
  <c r="K2" i="4"/>
  <c r="J9" i="3"/>
  <c r="AD10" i="3"/>
  <c r="D12" i="6"/>
  <c r="D12" i="5"/>
  <c r="F12" i="4"/>
  <c r="W13" i="3"/>
  <c r="Q13" i="4" s="1"/>
  <c r="AW14" i="3"/>
  <c r="AC14" i="4" s="1"/>
  <c r="AD18" i="3"/>
  <c r="S22" i="3"/>
  <c r="K22" i="5" s="1"/>
  <c r="R26" i="3"/>
  <c r="D33" i="6"/>
  <c r="D33" i="5"/>
  <c r="F33" i="4"/>
  <c r="J37" i="6"/>
  <c r="AK37" i="3"/>
  <c r="K51" i="3"/>
  <c r="N56" i="5"/>
  <c r="AD56" i="3"/>
  <c r="D67" i="6"/>
  <c r="D67" i="5"/>
  <c r="F67" i="4"/>
  <c r="AK71" i="3"/>
  <c r="S75" i="4"/>
  <c r="Z75" i="3"/>
  <c r="T75" i="4" s="1"/>
  <c r="J76" i="6"/>
  <c r="AK76" i="3"/>
  <c r="I82" i="5"/>
  <c r="O82" i="3"/>
  <c r="K82" i="4"/>
  <c r="AD82" i="3"/>
  <c r="S90" i="4"/>
  <c r="Z90" i="3"/>
  <c r="T90" i="4" s="1"/>
  <c r="I48" i="5"/>
  <c r="K48" i="4"/>
  <c r="K58" i="4"/>
  <c r="I58" i="5"/>
  <c r="R58" i="3"/>
  <c r="I68" i="5"/>
  <c r="K68" i="4"/>
  <c r="I79" i="5"/>
  <c r="K79" i="4"/>
  <c r="I40" i="5"/>
  <c r="K40" i="4"/>
  <c r="V33" i="4"/>
  <c r="AW33" i="3"/>
  <c r="AC33" i="4" s="1"/>
  <c r="AK38" i="3"/>
  <c r="AD39" i="3"/>
  <c r="AK41" i="3"/>
  <c r="D49" i="6"/>
  <c r="F49" i="4"/>
  <c r="D49" i="5"/>
  <c r="L51" i="3"/>
  <c r="W53" i="3"/>
  <c r="Q53" i="4" s="1"/>
  <c r="AK64" i="3"/>
  <c r="R68" i="3"/>
  <c r="Z69" i="3"/>
  <c r="T69" i="4" s="1"/>
  <c r="AW76" i="3"/>
  <c r="AC76" i="4" s="1"/>
  <c r="V76" i="4"/>
  <c r="AD84" i="3"/>
  <c r="O92" i="4"/>
  <c r="W92" i="3"/>
  <c r="Q92" i="4" s="1"/>
  <c r="R95" i="3"/>
  <c r="E62" i="5"/>
  <c r="E62" i="6"/>
  <c r="G62" i="4"/>
  <c r="V15" i="4"/>
  <c r="AW15" i="3"/>
  <c r="AC15" i="4" s="1"/>
  <c r="K89" i="4"/>
  <c r="I89" i="5"/>
  <c r="R89" i="3"/>
  <c r="O89" i="3"/>
  <c r="I20" i="5"/>
  <c r="K20" i="4"/>
  <c r="I50" i="5"/>
  <c r="K50" i="4"/>
  <c r="R50" i="3"/>
  <c r="O50" i="3"/>
  <c r="I70" i="5"/>
  <c r="K70" i="4"/>
  <c r="R70" i="3"/>
  <c r="I90" i="5"/>
  <c r="K90" i="4"/>
  <c r="O90" i="3"/>
  <c r="R90" i="3"/>
  <c r="AK90" i="3"/>
  <c r="D2" i="5"/>
  <c r="D2" i="6"/>
  <c r="F2" i="4"/>
  <c r="W3" i="3"/>
  <c r="Q3" i="4" s="1"/>
  <c r="E50" i="6"/>
  <c r="E50" i="5"/>
  <c r="G50" i="4"/>
  <c r="J50" i="3"/>
  <c r="E60" i="6"/>
  <c r="G60" i="4"/>
  <c r="E60" i="5"/>
  <c r="J60" i="3"/>
  <c r="E70" i="6"/>
  <c r="E70" i="5"/>
  <c r="G70" i="4"/>
  <c r="E90" i="6"/>
  <c r="G90" i="4"/>
  <c r="E90" i="5"/>
  <c r="J90" i="3"/>
  <c r="S3" i="4"/>
  <c r="Z3" i="3"/>
  <c r="T3" i="4" s="1"/>
  <c r="AW4" i="3"/>
  <c r="AC4" i="4" s="1"/>
  <c r="D7" i="6"/>
  <c r="D7" i="5"/>
  <c r="F7" i="4"/>
  <c r="W8" i="3"/>
  <c r="Q8" i="4" s="1"/>
  <c r="AW9" i="3"/>
  <c r="AC9" i="4" s="1"/>
  <c r="Z13" i="3"/>
  <c r="T13" i="4" s="1"/>
  <c r="O14" i="3"/>
  <c r="W16" i="3"/>
  <c r="Q16" i="4" s="1"/>
  <c r="AW17" i="3"/>
  <c r="AC17" i="4" s="1"/>
  <c r="AW23" i="3"/>
  <c r="AC23" i="4" s="1"/>
  <c r="N25" i="5"/>
  <c r="AD25" i="3"/>
  <c r="AK28" i="3"/>
  <c r="AK36" i="3"/>
  <c r="AK40" i="3"/>
  <c r="AW42" i="3"/>
  <c r="AC42" i="4" s="1"/>
  <c r="AW43" i="3"/>
  <c r="AC43" i="4" s="1"/>
  <c r="O52" i="4"/>
  <c r="W52" i="3"/>
  <c r="Q52" i="4" s="1"/>
  <c r="AD55" i="3"/>
  <c r="AK56" i="3"/>
  <c r="D59" i="6"/>
  <c r="D59" i="5"/>
  <c r="F59" i="4"/>
  <c r="W61" i="3"/>
  <c r="Q61" i="4" s="1"/>
  <c r="J66" i="3"/>
  <c r="N69" i="5"/>
  <c r="AD69" i="3"/>
  <c r="J70" i="6"/>
  <c r="AK70" i="3"/>
  <c r="R74" i="3"/>
  <c r="E93" i="5"/>
  <c r="G93" i="4"/>
  <c r="E93" i="6"/>
  <c r="J93" i="3"/>
  <c r="D41" i="5"/>
  <c r="D41" i="6"/>
  <c r="F41" i="4"/>
  <c r="E47" i="6"/>
  <c r="E47" i="5"/>
  <c r="G47" i="4"/>
  <c r="J47" i="3"/>
  <c r="K18" i="4"/>
  <c r="I18" i="5"/>
  <c r="L51" i="4"/>
  <c r="P51" i="3"/>
  <c r="M51" i="4" s="1"/>
  <c r="J58" i="3"/>
  <c r="O74" i="4"/>
  <c r="W74" i="3"/>
  <c r="Q74" i="4" s="1"/>
  <c r="W79" i="3"/>
  <c r="Q79" i="4" s="1"/>
  <c r="K34" i="4"/>
  <c r="E72" i="5"/>
  <c r="E72" i="6"/>
  <c r="G72" i="4"/>
  <c r="J72" i="3"/>
  <c r="I43" i="5"/>
  <c r="R43" i="3"/>
  <c r="AK43" i="3"/>
  <c r="I93" i="5"/>
  <c r="K93" i="4"/>
  <c r="AK93" i="3"/>
  <c r="R93" i="3"/>
  <c r="E77" i="5"/>
  <c r="E77" i="6"/>
  <c r="G77" i="4"/>
  <c r="J77" i="3"/>
  <c r="E97" i="5"/>
  <c r="E97" i="6"/>
  <c r="J97" i="3"/>
  <c r="G97" i="4"/>
  <c r="I9" i="5"/>
  <c r="R9" i="3"/>
  <c r="K9" i="4"/>
  <c r="I17" i="5"/>
  <c r="K17" i="4"/>
  <c r="R17" i="3"/>
  <c r="K8" i="4"/>
  <c r="I8" i="5"/>
  <c r="I38" i="5"/>
  <c r="K38" i="4"/>
  <c r="R38" i="3"/>
  <c r="E18" i="5"/>
  <c r="E18" i="6"/>
  <c r="G18" i="4"/>
  <c r="I69" i="5"/>
  <c r="R69" i="3"/>
  <c r="O69" i="3"/>
  <c r="K69" i="4"/>
  <c r="I10" i="5"/>
  <c r="K10" i="4"/>
  <c r="R10" i="3"/>
  <c r="I30" i="5"/>
  <c r="K30" i="4"/>
  <c r="I60" i="5"/>
  <c r="K60" i="4"/>
  <c r="I80" i="5"/>
  <c r="O80" i="3"/>
  <c r="AK80" i="3"/>
  <c r="K80" i="4"/>
  <c r="I7" i="5"/>
  <c r="K7" i="4"/>
  <c r="F20" i="6"/>
  <c r="F20" i="5"/>
  <c r="K20" i="3"/>
  <c r="I51" i="5"/>
  <c r="R51" i="3"/>
  <c r="K51" i="4"/>
  <c r="AK51" i="3"/>
  <c r="I61" i="5"/>
  <c r="K61" i="4"/>
  <c r="R61" i="3"/>
  <c r="O61" i="3"/>
  <c r="I91" i="5"/>
  <c r="R91" i="3"/>
  <c r="K91" i="4"/>
  <c r="AK7" i="3"/>
  <c r="F15" i="4"/>
  <c r="D15" i="6"/>
  <c r="D15" i="5"/>
  <c r="J18" i="6"/>
  <c r="AK18" i="3"/>
  <c r="AD29" i="3"/>
  <c r="E51" i="6"/>
  <c r="E51" i="5"/>
  <c r="G51" i="4"/>
  <c r="E81" i="5"/>
  <c r="E81" i="6"/>
  <c r="G81" i="4"/>
  <c r="J81" i="3"/>
  <c r="E91" i="6"/>
  <c r="E91" i="5"/>
  <c r="G91" i="4"/>
  <c r="J91" i="3"/>
  <c r="AD3" i="3"/>
  <c r="Z8" i="3"/>
  <c r="T8" i="4" s="1"/>
  <c r="O9" i="3"/>
  <c r="D10" i="6"/>
  <c r="D10" i="5"/>
  <c r="F10" i="4"/>
  <c r="AK10" i="3"/>
  <c r="W11" i="3"/>
  <c r="Q11" i="4" s="1"/>
  <c r="AD13" i="3"/>
  <c r="R14" i="3"/>
  <c r="Z16" i="3"/>
  <c r="T16" i="4" s="1"/>
  <c r="O17" i="3"/>
  <c r="D18" i="6"/>
  <c r="D18" i="5"/>
  <c r="F18" i="4"/>
  <c r="Z19" i="3"/>
  <c r="T19" i="4" s="1"/>
  <c r="O20" i="3"/>
  <c r="D24" i="6"/>
  <c r="D24" i="5"/>
  <c r="F24" i="4"/>
  <c r="O27" i="3"/>
  <c r="J39" i="6"/>
  <c r="AK39" i="3"/>
  <c r="V41" i="4"/>
  <c r="AW41" i="3"/>
  <c r="AC41" i="4" s="1"/>
  <c r="O51" i="4"/>
  <c r="W51" i="3"/>
  <c r="Q51" i="4" s="1"/>
  <c r="N53" i="5"/>
  <c r="AD53" i="3"/>
  <c r="R60" i="3"/>
  <c r="Z61" i="3"/>
  <c r="T61" i="4" s="1"/>
  <c r="V71" i="4"/>
  <c r="AW71" i="3"/>
  <c r="AC71" i="4" s="1"/>
  <c r="R82" i="3"/>
  <c r="N83" i="5"/>
  <c r="AD83" i="3"/>
  <c r="J94" i="3"/>
  <c r="E10" i="6"/>
  <c r="E10" i="5"/>
  <c r="G10" i="4"/>
  <c r="E21" i="6"/>
  <c r="E21" i="5"/>
  <c r="J25" i="6"/>
  <c r="AK25" i="3"/>
  <c r="S31" i="4"/>
  <c r="Z31" i="3"/>
  <c r="T31" i="4" s="1"/>
  <c r="V39" i="4"/>
  <c r="AW39" i="3"/>
  <c r="AC39" i="4" s="1"/>
  <c r="O48" i="3"/>
  <c r="N61" i="5"/>
  <c r="AD61" i="3"/>
  <c r="J89" i="6"/>
  <c r="AK89" i="3"/>
  <c r="S92" i="4"/>
  <c r="Z92" i="3"/>
  <c r="T92" i="4" s="1"/>
  <c r="I12" i="5"/>
  <c r="V82" i="4"/>
  <c r="AW82" i="3"/>
  <c r="AC82" i="4" s="1"/>
  <c r="N91" i="5"/>
  <c r="AD91" i="3"/>
  <c r="W93" i="3"/>
  <c r="Q93" i="4" s="1"/>
  <c r="O93" i="4"/>
  <c r="W95" i="3"/>
  <c r="Q95" i="4" s="1"/>
  <c r="AW88" i="3"/>
  <c r="AC88" i="4" s="1"/>
  <c r="V88" i="4"/>
  <c r="S94" i="4"/>
  <c r="Z94" i="3"/>
  <c r="T94" i="4" s="1"/>
  <c r="S95" i="4"/>
  <c r="Z95" i="3"/>
  <c r="T95" i="4" s="1"/>
  <c r="D34" i="5"/>
  <c r="D34" i="6"/>
  <c r="F34" i="4"/>
  <c r="D39" i="6"/>
  <c r="D39" i="5"/>
  <c r="F39" i="4"/>
  <c r="W40" i="3"/>
  <c r="Q40" i="4" s="1"/>
  <c r="D47" i="6"/>
  <c r="F47" i="4"/>
  <c r="W48" i="3"/>
  <c r="Q48" i="4" s="1"/>
  <c r="D77" i="5"/>
  <c r="D77" i="6"/>
  <c r="F77" i="4"/>
  <c r="AD94" i="3"/>
  <c r="S93" i="4"/>
  <c r="D27" i="6"/>
  <c r="D27" i="5"/>
  <c r="F27" i="4"/>
  <c r="Z30" i="3"/>
  <c r="T30" i="4" s="1"/>
  <c r="Z79" i="3"/>
  <c r="T79" i="4" s="1"/>
  <c r="D83" i="6"/>
  <c r="D83" i="5"/>
  <c r="F83" i="4"/>
  <c r="J84" i="6"/>
  <c r="AK84" i="3"/>
  <c r="J95" i="6"/>
  <c r="AK95" i="3"/>
  <c r="O54" i="4"/>
  <c r="AW36" i="3"/>
  <c r="AC36" i="4" s="1"/>
  <c r="AK42" i="3"/>
  <c r="AW44" i="3"/>
  <c r="AC44" i="4" s="1"/>
  <c r="Z48" i="3"/>
  <c r="T48" i="4" s="1"/>
  <c r="AK50" i="3"/>
  <c r="AW52" i="3"/>
  <c r="AC52" i="4" s="1"/>
  <c r="AW56" i="3"/>
  <c r="AC56" i="4" s="1"/>
  <c r="W58" i="3"/>
  <c r="Q58" i="4" s="1"/>
  <c r="AW60" i="3"/>
  <c r="AC60" i="4" s="1"/>
  <c r="W62" i="3"/>
  <c r="Q62" i="4" s="1"/>
  <c r="AW64" i="3"/>
  <c r="AC64" i="4" s="1"/>
  <c r="W66" i="3"/>
  <c r="Q66" i="4" s="1"/>
  <c r="AW68" i="3"/>
  <c r="AC68" i="4" s="1"/>
  <c r="W70" i="3"/>
  <c r="Q70" i="4" s="1"/>
  <c r="AW72" i="3"/>
  <c r="AC72" i="4" s="1"/>
  <c r="AW83" i="3"/>
  <c r="AC83" i="4" s="1"/>
  <c r="V83" i="4"/>
  <c r="V84" i="4"/>
  <c r="AW84" i="3"/>
  <c r="AC84" i="4" s="1"/>
  <c r="Z86" i="3"/>
  <c r="T86" i="4" s="1"/>
  <c r="N93" i="5"/>
  <c r="AD93" i="3"/>
  <c r="AW96" i="3"/>
  <c r="AC96" i="4" s="1"/>
  <c r="D98" i="5"/>
  <c r="F98" i="4"/>
  <c r="D98" i="6"/>
  <c r="AD30" i="3"/>
  <c r="D32" i="6"/>
  <c r="D32" i="5"/>
  <c r="Z35" i="3"/>
  <c r="T35" i="4" s="1"/>
  <c r="Z43" i="3"/>
  <c r="T43" i="4" s="1"/>
  <c r="Z51" i="3"/>
  <c r="T51" i="4" s="1"/>
  <c r="AK53" i="3"/>
  <c r="AK57" i="3"/>
  <c r="AK61" i="3"/>
  <c r="AK65" i="3"/>
  <c r="AK69" i="3"/>
  <c r="AW90" i="3"/>
  <c r="AC90" i="4" s="1"/>
  <c r="V90" i="4"/>
  <c r="AK91" i="3"/>
  <c r="J92" i="6"/>
  <c r="AK92" i="3"/>
  <c r="D47" i="5"/>
  <c r="I22" i="5"/>
  <c r="K22" i="4"/>
  <c r="I32" i="5"/>
  <c r="K32" i="4"/>
  <c r="I42" i="5"/>
  <c r="K42" i="4"/>
  <c r="I52" i="5"/>
  <c r="K52" i="4"/>
  <c r="I62" i="5"/>
  <c r="K62" i="4"/>
  <c r="I72" i="5"/>
  <c r="K72" i="4"/>
  <c r="D11" i="6"/>
  <c r="D11" i="5"/>
  <c r="F11" i="4"/>
  <c r="W19" i="3"/>
  <c r="Q19" i="4" s="1"/>
  <c r="O22" i="3"/>
  <c r="D37" i="6"/>
  <c r="D37" i="5"/>
  <c r="F37" i="4"/>
  <c r="D45" i="6"/>
  <c r="D45" i="5"/>
  <c r="F45" i="4"/>
  <c r="D53" i="5"/>
  <c r="D53" i="6"/>
  <c r="F53" i="4"/>
  <c r="N54" i="5"/>
  <c r="AD54" i="3"/>
  <c r="D57" i="5"/>
  <c r="D57" i="6"/>
  <c r="F57" i="4"/>
  <c r="AD58" i="3"/>
  <c r="D61" i="5"/>
  <c r="D61" i="6"/>
  <c r="N62" i="5"/>
  <c r="AD62" i="3"/>
  <c r="D65" i="6"/>
  <c r="D65" i="5"/>
  <c r="F65" i="4"/>
  <c r="N66" i="5"/>
  <c r="AD66" i="3"/>
  <c r="D69" i="6"/>
  <c r="F69" i="4"/>
  <c r="D69" i="5"/>
  <c r="N70" i="5"/>
  <c r="AD70" i="3"/>
  <c r="D73" i="5"/>
  <c r="D73" i="6"/>
  <c r="F73" i="4"/>
  <c r="AD74" i="3"/>
  <c r="W81" i="3"/>
  <c r="Q81" i="4" s="1"/>
  <c r="D85" i="6"/>
  <c r="F85" i="4"/>
  <c r="D85" i="5"/>
  <c r="F96" i="4"/>
  <c r="D96" i="5"/>
  <c r="D96" i="6"/>
  <c r="N94" i="5"/>
  <c r="D91" i="6"/>
  <c r="F91" i="4"/>
  <c r="D91" i="5"/>
  <c r="V69" i="4"/>
  <c r="AW69" i="3"/>
  <c r="AC69" i="4" s="1"/>
  <c r="V73" i="4"/>
  <c r="AW73" i="3"/>
  <c r="AC73" i="4" s="1"/>
  <c r="AW91" i="3"/>
  <c r="AC91" i="4" s="1"/>
  <c r="N75" i="5"/>
  <c r="AD75" i="3"/>
  <c r="N81" i="5"/>
  <c r="AD81" i="3"/>
  <c r="O82" i="4"/>
  <c r="W82" i="3"/>
  <c r="Q82" i="4" s="1"/>
  <c r="S98" i="4"/>
  <c r="Z98" i="3"/>
  <c r="T98" i="4" s="1"/>
  <c r="V65" i="4"/>
  <c r="D28" i="6"/>
  <c r="D28" i="5"/>
  <c r="F28" i="4"/>
  <c r="D35" i="6"/>
  <c r="D35" i="5"/>
  <c r="F35" i="4"/>
  <c r="O42" i="3"/>
  <c r="S72" i="3"/>
  <c r="K72" i="5" s="1"/>
  <c r="AW85" i="3"/>
  <c r="AC85" i="4" s="1"/>
  <c r="D94" i="6"/>
  <c r="D94" i="5"/>
  <c r="F94" i="4"/>
  <c r="D43" i="6"/>
  <c r="D43" i="5"/>
  <c r="F43" i="4"/>
  <c r="D51" i="6"/>
  <c r="F51" i="4"/>
  <c r="D51" i="5"/>
  <c r="W76" i="3"/>
  <c r="Q76" i="4" s="1"/>
  <c r="W89" i="3"/>
  <c r="Q89" i="4" s="1"/>
  <c r="D92" i="5"/>
  <c r="D92" i="6"/>
  <c r="F92" i="4"/>
  <c r="R42" i="3"/>
  <c r="AW74" i="3"/>
  <c r="AC74" i="4" s="1"/>
  <c r="V74" i="4"/>
  <c r="Z82" i="3"/>
  <c r="T82" i="4" s="1"/>
  <c r="V86" i="4"/>
  <c r="AW86" i="3"/>
  <c r="AC86" i="4" s="1"/>
  <c r="AD88" i="3"/>
  <c r="AD79" i="3"/>
  <c r="D81" i="5"/>
  <c r="D81" i="6"/>
  <c r="N87" i="5"/>
  <c r="AD87" i="3"/>
  <c r="V93" i="4"/>
  <c r="D76" i="6"/>
  <c r="F76" i="4"/>
  <c r="AD90" i="3"/>
  <c r="N95" i="5"/>
  <c r="AD95" i="3"/>
  <c r="N96" i="5"/>
  <c r="AD96" i="3"/>
  <c r="N77" i="5"/>
  <c r="AD77" i="3"/>
  <c r="D79" i="6"/>
  <c r="F79" i="4"/>
  <c r="D79" i="5"/>
  <c r="AK79" i="3"/>
  <c r="AW81" i="3"/>
  <c r="AC81" i="4" s="1"/>
  <c r="N85" i="5"/>
  <c r="AD85" i="3"/>
  <c r="D87" i="6"/>
  <c r="D87" i="5"/>
  <c r="F87" i="4"/>
  <c r="AK87" i="3"/>
  <c r="W88" i="3"/>
  <c r="Q88" i="4" s="1"/>
  <c r="AW89" i="3"/>
  <c r="AC89" i="4" s="1"/>
  <c r="D93" i="5"/>
  <c r="D93" i="6"/>
  <c r="F93" i="4"/>
  <c r="AK94" i="3"/>
  <c r="D40" i="5"/>
  <c r="F40" i="4"/>
  <c r="D40" i="6"/>
  <c r="D42" i="5"/>
  <c r="D42" i="6"/>
  <c r="F42" i="4"/>
  <c r="D46" i="6"/>
  <c r="D46" i="5"/>
  <c r="F46" i="4"/>
  <c r="D48" i="6"/>
  <c r="F48" i="4"/>
  <c r="D48" i="5"/>
  <c r="D50" i="6"/>
  <c r="F50" i="4"/>
  <c r="D52" i="5"/>
  <c r="D52" i="6"/>
  <c r="D54" i="6"/>
  <c r="F54" i="4"/>
  <c r="D54" i="5"/>
  <c r="D56" i="6"/>
  <c r="D56" i="5"/>
  <c r="F56" i="4"/>
  <c r="D58" i="5"/>
  <c r="D58" i="6"/>
  <c r="F58" i="4"/>
  <c r="D60" i="6"/>
  <c r="F60" i="4"/>
  <c r="D60" i="5"/>
  <c r="D62" i="5"/>
  <c r="D62" i="6"/>
  <c r="D64" i="6"/>
  <c r="D64" i="5"/>
  <c r="F64" i="4"/>
  <c r="D66" i="6"/>
  <c r="D66" i="5"/>
  <c r="D68" i="5"/>
  <c r="D68" i="6"/>
  <c r="F68" i="4"/>
  <c r="D70" i="6"/>
  <c r="D70" i="5"/>
  <c r="F70" i="4"/>
  <c r="D72" i="5"/>
  <c r="D72" i="6"/>
  <c r="D74" i="6"/>
  <c r="D74" i="5"/>
  <c r="F74" i="4"/>
  <c r="D78" i="5"/>
  <c r="D78" i="6"/>
  <c r="F78" i="4"/>
  <c r="F80" i="4"/>
  <c r="D80" i="5"/>
  <c r="D80" i="6"/>
  <c r="D82" i="5"/>
  <c r="D82" i="6"/>
  <c r="F82" i="4"/>
  <c r="D84" i="6"/>
  <c r="D84" i="5"/>
  <c r="D86" i="6"/>
  <c r="D86" i="5"/>
  <c r="D88" i="5"/>
  <c r="D88" i="6"/>
  <c r="D90" i="6"/>
  <c r="D90" i="5"/>
  <c r="W96" i="3"/>
  <c r="Q96" i="4" s="1"/>
  <c r="O96" i="4"/>
  <c r="F84" i="4"/>
  <c r="F86" i="4"/>
  <c r="W97" i="3"/>
  <c r="Q97" i="4" s="1"/>
  <c r="F88" i="4"/>
  <c r="F90" i="4"/>
  <c r="D95" i="5"/>
  <c r="D95" i="6"/>
  <c r="D97" i="5"/>
  <c r="D97" i="6"/>
  <c r="G18" i="6" l="1"/>
  <c r="O40" i="5"/>
  <c r="P8" i="3"/>
  <c r="M8" i="4" s="1"/>
  <c r="AF41" i="3"/>
  <c r="AF32" i="3"/>
  <c r="O31" i="5"/>
  <c r="AM57" i="3"/>
  <c r="AN26" i="3"/>
  <c r="N26" i="6" s="1"/>
  <c r="AL27" i="3"/>
  <c r="L27" i="6" s="1"/>
  <c r="K27" i="6"/>
  <c r="AL12" i="3"/>
  <c r="L12" i="6" s="1"/>
  <c r="L72" i="4"/>
  <c r="AL2" i="3"/>
  <c r="L2" i="6" s="1"/>
  <c r="AE22" i="3"/>
  <c r="P22" i="5" s="1"/>
  <c r="AM11" i="3"/>
  <c r="M11" i="6" s="1"/>
  <c r="P52" i="3"/>
  <c r="M52" i="4" s="1"/>
  <c r="P28" i="3"/>
  <c r="M28" i="4" s="1"/>
  <c r="S2" i="3"/>
  <c r="K2" i="5" s="1"/>
  <c r="P7" i="3"/>
  <c r="M7" i="4" s="1"/>
  <c r="P12" i="3"/>
  <c r="M12" i="4" s="1"/>
  <c r="F21" i="5"/>
  <c r="K54" i="6"/>
  <c r="AM81" i="3"/>
  <c r="AN81" i="3" s="1"/>
  <c r="N81" i="6" s="1"/>
  <c r="AM53" i="3"/>
  <c r="M53" i="6" s="1"/>
  <c r="AE17" i="3"/>
  <c r="P17" i="5" s="1"/>
  <c r="F21" i="6"/>
  <c r="AL82" i="3"/>
  <c r="L82" i="6" s="1"/>
  <c r="P2" i="3"/>
  <c r="M2" i="4" s="1"/>
  <c r="AL58" i="3"/>
  <c r="L58" i="6" s="1"/>
  <c r="S44" i="3"/>
  <c r="K44" i="5" s="1"/>
  <c r="AF18" i="3"/>
  <c r="Q18" i="5" s="1"/>
  <c r="AF53" i="3"/>
  <c r="Q53" i="5" s="1"/>
  <c r="AM23" i="3"/>
  <c r="AN23" i="3" s="1"/>
  <c r="N23" i="6" s="1"/>
  <c r="AL24" i="3"/>
  <c r="L24" i="6" s="1"/>
  <c r="AM61" i="3"/>
  <c r="AN61" i="3" s="1"/>
  <c r="N61" i="6" s="1"/>
  <c r="AF51" i="3"/>
  <c r="Q51" i="5" s="1"/>
  <c r="AE50" i="3"/>
  <c r="P50" i="5" s="1"/>
  <c r="P32" i="3"/>
  <c r="M32" i="4" s="1"/>
  <c r="AF23" i="3"/>
  <c r="AG23" i="3" s="1"/>
  <c r="R23" i="5" s="1"/>
  <c r="AE67" i="3"/>
  <c r="P67" i="5" s="1"/>
  <c r="M18" i="3"/>
  <c r="I18" i="4" s="1"/>
  <c r="S12" i="3"/>
  <c r="K12" i="5" s="1"/>
  <c r="G21" i="5"/>
  <c r="AE80" i="3"/>
  <c r="P80" i="5" s="1"/>
  <c r="AM31" i="3"/>
  <c r="AN31" i="3" s="1"/>
  <c r="N31" i="6" s="1"/>
  <c r="O16" i="5"/>
  <c r="AF81" i="3"/>
  <c r="AG81" i="3" s="1"/>
  <c r="R81" i="5" s="1"/>
  <c r="AL32" i="3"/>
  <c r="L32" i="6" s="1"/>
  <c r="AE48" i="3"/>
  <c r="P48" i="5" s="1"/>
  <c r="K62" i="6"/>
  <c r="O67" i="5"/>
  <c r="P85" i="3"/>
  <c r="M85" i="4" s="1"/>
  <c r="K21" i="3"/>
  <c r="M21" i="3" s="1"/>
  <c r="I21" i="4" s="1"/>
  <c r="P62" i="3"/>
  <c r="M62" i="4" s="1"/>
  <c r="AF49" i="3"/>
  <c r="Q49" i="5" s="1"/>
  <c r="AE42" i="3"/>
  <c r="P42" i="5" s="1"/>
  <c r="AG43" i="3"/>
  <c r="R43" i="5" s="1"/>
  <c r="O42" i="5"/>
  <c r="AE16" i="3"/>
  <c r="P16" i="5" s="1"/>
  <c r="O52" i="5"/>
  <c r="J7" i="5"/>
  <c r="S7" i="3"/>
  <c r="K7" i="5" s="1"/>
  <c r="L58" i="4"/>
  <c r="P58" i="3"/>
  <c r="M58" i="4" s="1"/>
  <c r="K11" i="6"/>
  <c r="AM10" i="3"/>
  <c r="K51" i="6"/>
  <c r="AL51" i="3"/>
  <c r="L51" i="6" s="1"/>
  <c r="AM50" i="3"/>
  <c r="K87" i="6"/>
  <c r="AL87" i="3"/>
  <c r="L87" i="6" s="1"/>
  <c r="AM86" i="3"/>
  <c r="K57" i="6"/>
  <c r="AL57" i="3"/>
  <c r="L57" i="6" s="1"/>
  <c r="AM56" i="3"/>
  <c r="O61" i="5"/>
  <c r="AF62" i="3"/>
  <c r="AE61" i="3"/>
  <c r="P61" i="5" s="1"/>
  <c r="H20" i="4"/>
  <c r="M20" i="3"/>
  <c r="I20" i="4" s="1"/>
  <c r="O69" i="5"/>
  <c r="AF70" i="3"/>
  <c r="AE69" i="3"/>
  <c r="P69" i="5" s="1"/>
  <c r="F60" i="6"/>
  <c r="F60" i="5"/>
  <c r="L60" i="3"/>
  <c r="K60" i="3"/>
  <c r="P50" i="3"/>
  <c r="M50" i="4" s="1"/>
  <c r="L50" i="4"/>
  <c r="O84" i="5"/>
  <c r="AE84" i="3"/>
  <c r="P84" i="5" s="1"/>
  <c r="AF85" i="3"/>
  <c r="F40" i="5"/>
  <c r="F40" i="6"/>
  <c r="K40" i="3"/>
  <c r="L40" i="3"/>
  <c r="O7" i="5"/>
  <c r="AF8" i="3"/>
  <c r="AE7" i="3"/>
  <c r="P7" i="5" s="1"/>
  <c r="Q17" i="5"/>
  <c r="AG17" i="3"/>
  <c r="R17" i="5" s="1"/>
  <c r="K86" i="6"/>
  <c r="AL86" i="3"/>
  <c r="L86" i="6" s="1"/>
  <c r="AM85" i="3"/>
  <c r="K85" i="6"/>
  <c r="AM84" i="3"/>
  <c r="AL85" i="3"/>
  <c r="L85" i="6" s="1"/>
  <c r="O89" i="5"/>
  <c r="AF90" i="3"/>
  <c r="AE89" i="3"/>
  <c r="P89" i="5" s="1"/>
  <c r="L59" i="4"/>
  <c r="P59" i="3"/>
  <c r="M59" i="4" s="1"/>
  <c r="G25" i="5"/>
  <c r="G25" i="6"/>
  <c r="J33" i="5"/>
  <c r="S33" i="3"/>
  <c r="K33" i="5" s="1"/>
  <c r="J5" i="5"/>
  <c r="S5" i="3"/>
  <c r="K5" i="5" s="1"/>
  <c r="F4" i="6"/>
  <c r="F4" i="5"/>
  <c r="L4" i="3"/>
  <c r="K4" i="3"/>
  <c r="F13" i="6"/>
  <c r="F13" i="5"/>
  <c r="L13" i="3"/>
  <c r="K13" i="3"/>
  <c r="J93" i="5"/>
  <c r="S93" i="3"/>
  <c r="K93" i="5" s="1"/>
  <c r="F47" i="6"/>
  <c r="F47" i="5"/>
  <c r="L47" i="3"/>
  <c r="K47" i="3"/>
  <c r="L89" i="4"/>
  <c r="P89" i="3"/>
  <c r="M89" i="4" s="1"/>
  <c r="O87" i="5"/>
  <c r="AE87" i="3"/>
  <c r="P87" i="5" s="1"/>
  <c r="AF88" i="3"/>
  <c r="O81" i="5"/>
  <c r="AF82" i="3"/>
  <c r="AE81" i="3"/>
  <c r="P81" i="5" s="1"/>
  <c r="O74" i="5"/>
  <c r="AE74" i="3"/>
  <c r="P74" i="5" s="1"/>
  <c r="AF75" i="3"/>
  <c r="K53" i="6"/>
  <c r="AM52" i="3"/>
  <c r="AL53" i="3"/>
  <c r="L53" i="6" s="1"/>
  <c r="J60" i="5"/>
  <c r="S60" i="3"/>
  <c r="K60" i="5" s="1"/>
  <c r="J14" i="5"/>
  <c r="S14" i="3"/>
  <c r="K14" i="5" s="1"/>
  <c r="F58" i="5"/>
  <c r="F58" i="6"/>
  <c r="L58" i="3"/>
  <c r="K58" i="3"/>
  <c r="L14" i="4"/>
  <c r="P14" i="3"/>
  <c r="M14" i="4" s="1"/>
  <c r="J50" i="5"/>
  <c r="S50" i="3"/>
  <c r="K50" i="5" s="1"/>
  <c r="O56" i="5"/>
  <c r="AE56" i="3"/>
  <c r="P56" i="5" s="1"/>
  <c r="AF57" i="3"/>
  <c r="F89" i="6"/>
  <c r="F89" i="5"/>
  <c r="L89" i="3"/>
  <c r="K89" i="3"/>
  <c r="O11" i="5"/>
  <c r="AF12" i="3"/>
  <c r="AE11" i="3"/>
  <c r="P11" i="5" s="1"/>
  <c r="K23" i="6"/>
  <c r="AL23" i="3"/>
  <c r="L23" i="6" s="1"/>
  <c r="AM22" i="3"/>
  <c r="O34" i="5"/>
  <c r="AE34" i="3"/>
  <c r="P34" i="5" s="1"/>
  <c r="AF35" i="3"/>
  <c r="J56" i="5"/>
  <c r="S56" i="3"/>
  <c r="K56" i="5" s="1"/>
  <c r="J86" i="5"/>
  <c r="S86" i="3"/>
  <c r="K86" i="5" s="1"/>
  <c r="K60" i="6"/>
  <c r="AL60" i="3"/>
  <c r="L60" i="6" s="1"/>
  <c r="AM59" i="3"/>
  <c r="O51" i="5"/>
  <c r="AF52" i="3"/>
  <c r="AE51" i="3"/>
  <c r="P51" i="5" s="1"/>
  <c r="O8" i="5"/>
  <c r="AE8" i="3"/>
  <c r="P8" i="5" s="1"/>
  <c r="AF9" i="3"/>
  <c r="F86" i="6"/>
  <c r="F86" i="5"/>
  <c r="L86" i="3"/>
  <c r="K86" i="3"/>
  <c r="J76" i="5"/>
  <c r="S76" i="3"/>
  <c r="K76" i="5" s="1"/>
  <c r="S59" i="3"/>
  <c r="K59" i="5" s="1"/>
  <c r="J59" i="5"/>
  <c r="O5" i="5"/>
  <c r="AE5" i="3"/>
  <c r="P5" i="5" s="1"/>
  <c r="AF6" i="3"/>
  <c r="K88" i="6"/>
  <c r="AM87" i="3"/>
  <c r="AL88" i="3"/>
  <c r="L88" i="6" s="1"/>
  <c r="L48" i="4"/>
  <c r="P48" i="3"/>
  <c r="M48" i="4" s="1"/>
  <c r="O53" i="5"/>
  <c r="AF54" i="3"/>
  <c r="AE53" i="3"/>
  <c r="P53" i="5" s="1"/>
  <c r="O13" i="5"/>
  <c r="AF14" i="3"/>
  <c r="AE13" i="3"/>
  <c r="P13" i="5" s="1"/>
  <c r="O29" i="5"/>
  <c r="AF30" i="3"/>
  <c r="AE29" i="3"/>
  <c r="P29" i="5" s="1"/>
  <c r="F66" i="6"/>
  <c r="F66" i="5"/>
  <c r="L66" i="3"/>
  <c r="K66" i="3"/>
  <c r="J58" i="5"/>
  <c r="S58" i="3"/>
  <c r="K58" i="5" s="1"/>
  <c r="H10" i="4"/>
  <c r="M10" i="3"/>
  <c r="I10" i="4" s="1"/>
  <c r="K4" i="6"/>
  <c r="AL4" i="3"/>
  <c r="L4" i="6" s="1"/>
  <c r="AM3" i="3"/>
  <c r="K17" i="6"/>
  <c r="AL17" i="3"/>
  <c r="L17" i="6" s="1"/>
  <c r="AM16" i="3"/>
  <c r="J88" i="5"/>
  <c r="S88" i="3"/>
  <c r="K88" i="5" s="1"/>
  <c r="P31" i="3"/>
  <c r="M31" i="4" s="1"/>
  <c r="L31" i="4"/>
  <c r="K81" i="6"/>
  <c r="AM80" i="3"/>
  <c r="AL81" i="3"/>
  <c r="L81" i="6" s="1"/>
  <c r="K97" i="6"/>
  <c r="AL97" i="3"/>
  <c r="L97" i="6" s="1"/>
  <c r="AM96" i="3"/>
  <c r="F76" i="6"/>
  <c r="L76" i="3"/>
  <c r="K76" i="3"/>
  <c r="F76" i="5"/>
  <c r="K49" i="6"/>
  <c r="AM48" i="3"/>
  <c r="AL49" i="3"/>
  <c r="L49" i="6" s="1"/>
  <c r="L86" i="4"/>
  <c r="P86" i="3"/>
  <c r="M86" i="4" s="1"/>
  <c r="O59" i="5"/>
  <c r="AF60" i="3"/>
  <c r="AE59" i="3"/>
  <c r="P59" i="5" s="1"/>
  <c r="F29" i="6"/>
  <c r="F29" i="5"/>
  <c r="L29" i="3"/>
  <c r="K29" i="3"/>
  <c r="Q68" i="5"/>
  <c r="AG68" i="3"/>
  <c r="R68" i="5" s="1"/>
  <c r="K5" i="6"/>
  <c r="AM4" i="3"/>
  <c r="AL5" i="3"/>
  <c r="L5" i="6" s="1"/>
  <c r="K75" i="6"/>
  <c r="AM74" i="3"/>
  <c r="AL75" i="3"/>
  <c r="L75" i="6" s="1"/>
  <c r="L76" i="4"/>
  <c r="P76" i="3"/>
  <c r="M76" i="4" s="1"/>
  <c r="F8" i="6"/>
  <c r="F8" i="5"/>
  <c r="L8" i="3"/>
  <c r="K8" i="3"/>
  <c r="G37" i="6"/>
  <c r="G37" i="5"/>
  <c r="F32" i="6"/>
  <c r="F32" i="5"/>
  <c r="L32" i="3"/>
  <c r="K32" i="3"/>
  <c r="K18" i="6"/>
  <c r="AL18" i="3"/>
  <c r="L18" i="6" s="1"/>
  <c r="AM17" i="3"/>
  <c r="L65" i="4"/>
  <c r="P65" i="3"/>
  <c r="M65" i="4" s="1"/>
  <c r="K3" i="6"/>
  <c r="AM2" i="3"/>
  <c r="AL3" i="3"/>
  <c r="L3" i="6" s="1"/>
  <c r="O60" i="5"/>
  <c r="AE60" i="3"/>
  <c r="P60" i="5" s="1"/>
  <c r="AF61" i="3"/>
  <c r="L29" i="4"/>
  <c r="P29" i="3"/>
  <c r="M29" i="4" s="1"/>
  <c r="O73" i="5"/>
  <c r="AF74" i="3"/>
  <c r="AE73" i="3"/>
  <c r="P73" i="5" s="1"/>
  <c r="K74" i="6"/>
  <c r="AL74" i="3"/>
  <c r="L74" i="6" s="1"/>
  <c r="AM73" i="3"/>
  <c r="L41" i="4"/>
  <c r="P41" i="3"/>
  <c r="M41" i="4" s="1"/>
  <c r="L75" i="4"/>
  <c r="P75" i="3"/>
  <c r="M75" i="4" s="1"/>
  <c r="F75" i="6"/>
  <c r="F75" i="5"/>
  <c r="K75" i="3"/>
  <c r="L75" i="3"/>
  <c r="F49" i="6"/>
  <c r="F49" i="5"/>
  <c r="L49" i="3"/>
  <c r="K49" i="3"/>
  <c r="L23" i="4"/>
  <c r="P23" i="3"/>
  <c r="M23" i="4" s="1"/>
  <c r="F7" i="6"/>
  <c r="F7" i="5"/>
  <c r="L7" i="3"/>
  <c r="K7" i="3"/>
  <c r="H37" i="4"/>
  <c r="M37" i="3"/>
  <c r="I37" i="4" s="1"/>
  <c r="F53" i="6"/>
  <c r="F53" i="5"/>
  <c r="L53" i="3"/>
  <c r="K53" i="3"/>
  <c r="F3" i="6"/>
  <c r="F3" i="5"/>
  <c r="K3" i="3"/>
  <c r="L3" i="3"/>
  <c r="F74" i="5"/>
  <c r="F74" i="6"/>
  <c r="L74" i="3"/>
  <c r="K74" i="3"/>
  <c r="K10" i="6"/>
  <c r="AL10" i="3"/>
  <c r="L10" i="6" s="1"/>
  <c r="AM9" i="3"/>
  <c r="F50" i="6"/>
  <c r="F50" i="5"/>
  <c r="L50" i="3"/>
  <c r="K50" i="3"/>
  <c r="J68" i="5"/>
  <c r="S68" i="3"/>
  <c r="K68" i="5" s="1"/>
  <c r="K37" i="6"/>
  <c r="AM36" i="3"/>
  <c r="AL37" i="3"/>
  <c r="L37" i="6" s="1"/>
  <c r="J39" i="5"/>
  <c r="S39" i="3"/>
  <c r="K39" i="5" s="1"/>
  <c r="L95" i="4"/>
  <c r="P95" i="3"/>
  <c r="M95" i="4" s="1"/>
  <c r="O38" i="5"/>
  <c r="AE38" i="3"/>
  <c r="P38" i="5" s="1"/>
  <c r="AF39" i="3"/>
  <c r="AF25" i="3"/>
  <c r="AE24" i="3"/>
  <c r="P24" i="5" s="1"/>
  <c r="O24" i="5"/>
  <c r="K72" i="6"/>
  <c r="AL72" i="3"/>
  <c r="L72" i="6" s="1"/>
  <c r="AM71" i="3"/>
  <c r="P88" i="3"/>
  <c r="M88" i="4" s="1"/>
  <c r="L88" i="4"/>
  <c r="G80" i="6"/>
  <c r="G80" i="5"/>
  <c r="J97" i="5"/>
  <c r="S97" i="3"/>
  <c r="K97" i="5" s="1"/>
  <c r="G10" i="6"/>
  <c r="G10" i="5"/>
  <c r="K46" i="6"/>
  <c r="AL46" i="3"/>
  <c r="L46" i="6" s="1"/>
  <c r="AM45" i="3"/>
  <c r="K73" i="6"/>
  <c r="AL73" i="3"/>
  <c r="L73" i="6" s="1"/>
  <c r="AM72" i="3"/>
  <c r="J65" i="5"/>
  <c r="S65" i="3"/>
  <c r="K65" i="5" s="1"/>
  <c r="J84" i="5"/>
  <c r="S84" i="3"/>
  <c r="K84" i="5" s="1"/>
  <c r="J29" i="5"/>
  <c r="S29" i="3"/>
  <c r="K29" i="5" s="1"/>
  <c r="L74" i="4"/>
  <c r="P74" i="3"/>
  <c r="M74" i="4" s="1"/>
  <c r="O97" i="5"/>
  <c r="AE97" i="3"/>
  <c r="P97" i="5" s="1"/>
  <c r="AF98" i="3"/>
  <c r="AF42" i="3"/>
  <c r="AE41" i="3"/>
  <c r="P41" i="5" s="1"/>
  <c r="O41" i="5"/>
  <c r="J75" i="5"/>
  <c r="S75" i="3"/>
  <c r="K75" i="5" s="1"/>
  <c r="L49" i="4"/>
  <c r="P49" i="3"/>
  <c r="M49" i="4" s="1"/>
  <c r="J23" i="5"/>
  <c r="S23" i="3"/>
  <c r="K23" i="5" s="1"/>
  <c r="K64" i="6"/>
  <c r="AL64" i="3"/>
  <c r="L64" i="6" s="1"/>
  <c r="AM63" i="3"/>
  <c r="J92" i="5"/>
  <c r="S92" i="3"/>
  <c r="K92" i="5" s="1"/>
  <c r="L79" i="4"/>
  <c r="P79" i="3"/>
  <c r="M79" i="4" s="1"/>
  <c r="F98" i="5"/>
  <c r="F98" i="6"/>
  <c r="L98" i="3"/>
  <c r="K98" i="3"/>
  <c r="O72" i="5"/>
  <c r="AE72" i="3"/>
  <c r="P72" i="5" s="1"/>
  <c r="AF73" i="3"/>
  <c r="O44" i="5"/>
  <c r="AF45" i="3"/>
  <c r="AE44" i="3"/>
  <c r="P44" i="5" s="1"/>
  <c r="L73" i="4"/>
  <c r="P73" i="3"/>
  <c r="M73" i="4" s="1"/>
  <c r="J66" i="5"/>
  <c r="S66" i="3"/>
  <c r="K66" i="5" s="1"/>
  <c r="L84" i="4"/>
  <c r="P84" i="3"/>
  <c r="M84" i="4" s="1"/>
  <c r="K52" i="6"/>
  <c r="AL52" i="3"/>
  <c r="L52" i="6" s="1"/>
  <c r="AM51" i="3"/>
  <c r="K8" i="6"/>
  <c r="AM7" i="3"/>
  <c r="AL8" i="3"/>
  <c r="L8" i="6" s="1"/>
  <c r="F71" i="6"/>
  <c r="F71" i="5"/>
  <c r="L71" i="3"/>
  <c r="K71" i="3"/>
  <c r="J41" i="5"/>
  <c r="S41" i="3"/>
  <c r="K41" i="5" s="1"/>
  <c r="K6" i="6"/>
  <c r="AL6" i="3"/>
  <c r="L6" i="6" s="1"/>
  <c r="AM5" i="3"/>
  <c r="F45" i="6"/>
  <c r="F45" i="5"/>
  <c r="L45" i="3"/>
  <c r="K45" i="3"/>
  <c r="O49" i="5"/>
  <c r="AF50" i="3"/>
  <c r="AE49" i="3"/>
  <c r="P49" i="5" s="1"/>
  <c r="L87" i="4"/>
  <c r="P87" i="3"/>
  <c r="M87" i="4" s="1"/>
  <c r="O43" i="5"/>
  <c r="AF44" i="3"/>
  <c r="AE43" i="3"/>
  <c r="P43" i="5" s="1"/>
  <c r="J73" i="5"/>
  <c r="S73" i="3"/>
  <c r="K73" i="5" s="1"/>
  <c r="K26" i="6"/>
  <c r="AM25" i="3"/>
  <c r="AL26" i="3"/>
  <c r="L26" i="6" s="1"/>
  <c r="F92" i="5"/>
  <c r="F92" i="6"/>
  <c r="L92" i="3"/>
  <c r="K92" i="3"/>
  <c r="L6" i="4"/>
  <c r="P6" i="3"/>
  <c r="M6" i="4" s="1"/>
  <c r="K77" i="6"/>
  <c r="AM76" i="3"/>
  <c r="AL77" i="3"/>
  <c r="L77" i="6" s="1"/>
  <c r="F22" i="6"/>
  <c r="F22" i="5"/>
  <c r="L22" i="3"/>
  <c r="K22" i="3"/>
  <c r="L97" i="4"/>
  <c r="P97" i="3"/>
  <c r="M97" i="4" s="1"/>
  <c r="O30" i="5"/>
  <c r="AE30" i="3"/>
  <c r="P30" i="5" s="1"/>
  <c r="AF31" i="3"/>
  <c r="K25" i="6"/>
  <c r="AM24" i="3"/>
  <c r="AL25" i="3"/>
  <c r="L25" i="6" s="1"/>
  <c r="L80" i="4"/>
  <c r="P80" i="3"/>
  <c r="M80" i="4" s="1"/>
  <c r="K93" i="6"/>
  <c r="AM92" i="3"/>
  <c r="AL93" i="3"/>
  <c r="L93" i="6" s="1"/>
  <c r="K56" i="6"/>
  <c r="AL56" i="3"/>
  <c r="L56" i="6" s="1"/>
  <c r="AM55" i="3"/>
  <c r="J89" i="5"/>
  <c r="S89" i="3"/>
  <c r="K89" i="5" s="1"/>
  <c r="G51" i="6"/>
  <c r="G51" i="5"/>
  <c r="O71" i="5"/>
  <c r="AF72" i="3"/>
  <c r="AE71" i="3"/>
  <c r="P71" i="5" s="1"/>
  <c r="F88" i="5"/>
  <c r="F88" i="6"/>
  <c r="L88" i="3"/>
  <c r="K88" i="3"/>
  <c r="K9" i="6"/>
  <c r="AL9" i="3"/>
  <c r="L9" i="6" s="1"/>
  <c r="AM8" i="3"/>
  <c r="O57" i="5"/>
  <c r="AF58" i="3"/>
  <c r="AE57" i="3"/>
  <c r="P57" i="5" s="1"/>
  <c r="J87" i="5"/>
  <c r="S87" i="3"/>
  <c r="K87" i="5" s="1"/>
  <c r="F95" i="6"/>
  <c r="F95" i="5"/>
  <c r="L95" i="3"/>
  <c r="K95" i="3"/>
  <c r="J94" i="5"/>
  <c r="S94" i="3"/>
  <c r="K94" i="5" s="1"/>
  <c r="F16" i="6"/>
  <c r="F16" i="5"/>
  <c r="L16" i="3"/>
  <c r="K16" i="3"/>
  <c r="J24" i="5"/>
  <c r="S24" i="3"/>
  <c r="K24" i="5" s="1"/>
  <c r="J25" i="5"/>
  <c r="S25" i="3"/>
  <c r="K25" i="5" s="1"/>
  <c r="L36" i="4"/>
  <c r="P36" i="3"/>
  <c r="M36" i="4" s="1"/>
  <c r="K34" i="6"/>
  <c r="AL34" i="3"/>
  <c r="L34" i="6" s="1"/>
  <c r="AM33" i="3"/>
  <c r="L13" i="4"/>
  <c r="P13" i="3"/>
  <c r="M13" i="4" s="1"/>
  <c r="O63" i="5"/>
  <c r="AF64" i="3"/>
  <c r="AE63" i="3"/>
  <c r="P63" i="5" s="1"/>
  <c r="J6" i="5"/>
  <c r="S6" i="3"/>
  <c r="K6" i="5" s="1"/>
  <c r="F85" i="6"/>
  <c r="F85" i="5"/>
  <c r="L85" i="3"/>
  <c r="K85" i="3"/>
  <c r="O19" i="5"/>
  <c r="AF20" i="3"/>
  <c r="AE19" i="3"/>
  <c r="P19" i="5" s="1"/>
  <c r="J49" i="5"/>
  <c r="S49" i="3"/>
  <c r="K49" i="5" s="1"/>
  <c r="O78" i="5"/>
  <c r="AF79" i="3"/>
  <c r="AE78" i="3"/>
  <c r="P78" i="5" s="1"/>
  <c r="G43" i="6"/>
  <c r="G43" i="5"/>
  <c r="H38" i="4"/>
  <c r="M38" i="3"/>
  <c r="I38" i="4" s="1"/>
  <c r="O55" i="5"/>
  <c r="AF56" i="3"/>
  <c r="AE55" i="3"/>
  <c r="P55" i="5" s="1"/>
  <c r="P67" i="3"/>
  <c r="M67" i="4" s="1"/>
  <c r="L67" i="4"/>
  <c r="O36" i="5"/>
  <c r="AF37" i="3"/>
  <c r="AE36" i="3"/>
  <c r="P36" i="5" s="1"/>
  <c r="K20" i="6"/>
  <c r="AL20" i="3"/>
  <c r="L20" i="6" s="1"/>
  <c r="AM19" i="3"/>
  <c r="L54" i="4"/>
  <c r="P54" i="3"/>
  <c r="M54" i="4" s="1"/>
  <c r="O46" i="5"/>
  <c r="AE46" i="3"/>
  <c r="P46" i="5" s="1"/>
  <c r="AF47" i="3"/>
  <c r="K22" i="6"/>
  <c r="AL22" i="3"/>
  <c r="L22" i="6" s="1"/>
  <c r="AM21" i="3"/>
  <c r="J34" i="5"/>
  <c r="S34" i="3"/>
  <c r="K34" i="5" s="1"/>
  <c r="K63" i="6"/>
  <c r="AM62" i="3"/>
  <c r="AL63" i="3"/>
  <c r="L63" i="6" s="1"/>
  <c r="Q41" i="5"/>
  <c r="AG41" i="3"/>
  <c r="R41" i="5" s="1"/>
  <c r="L19" i="4"/>
  <c r="P19" i="3"/>
  <c r="M19" i="4" s="1"/>
  <c r="K78" i="6"/>
  <c r="AL78" i="3"/>
  <c r="L78" i="6" s="1"/>
  <c r="AM77" i="3"/>
  <c r="L77" i="4"/>
  <c r="P77" i="3"/>
  <c r="M77" i="4" s="1"/>
  <c r="H43" i="4"/>
  <c r="M43" i="3"/>
  <c r="I43" i="4" s="1"/>
  <c r="G38" i="5"/>
  <c r="G38" i="6"/>
  <c r="K80" i="6"/>
  <c r="AL80" i="3"/>
  <c r="L80" i="6" s="1"/>
  <c r="AM79" i="3"/>
  <c r="O94" i="5"/>
  <c r="AF95" i="3"/>
  <c r="AE94" i="3"/>
  <c r="P94" i="5" s="1"/>
  <c r="K39" i="6"/>
  <c r="AL39" i="3"/>
  <c r="L39" i="6" s="1"/>
  <c r="AM38" i="3"/>
  <c r="L9" i="4"/>
  <c r="P9" i="3"/>
  <c r="M9" i="4" s="1"/>
  <c r="K7" i="6"/>
  <c r="AL7" i="3"/>
  <c r="L7" i="6" s="1"/>
  <c r="AM6" i="3"/>
  <c r="S17" i="3"/>
  <c r="K17" i="5" s="1"/>
  <c r="J17" i="5"/>
  <c r="L42" i="4"/>
  <c r="P42" i="3"/>
  <c r="M42" i="4" s="1"/>
  <c r="K50" i="6"/>
  <c r="AL50" i="3"/>
  <c r="L50" i="6" s="1"/>
  <c r="AM49" i="3"/>
  <c r="O82" i="5"/>
  <c r="AE82" i="3"/>
  <c r="P82" i="5" s="1"/>
  <c r="AF83" i="3"/>
  <c r="J26" i="5"/>
  <c r="S26" i="3"/>
  <c r="K26" i="5" s="1"/>
  <c r="F39" i="6"/>
  <c r="F39" i="5"/>
  <c r="L39" i="3"/>
  <c r="K39" i="3"/>
  <c r="J67" i="5"/>
  <c r="S67" i="3"/>
  <c r="K67" i="5" s="1"/>
  <c r="P30" i="3"/>
  <c r="M30" i="4" s="1"/>
  <c r="L30" i="4"/>
  <c r="F56" i="6"/>
  <c r="F56" i="5"/>
  <c r="L56" i="3"/>
  <c r="K56" i="3"/>
  <c r="J54" i="5"/>
  <c r="S54" i="3"/>
  <c r="K54" i="5" s="1"/>
  <c r="K19" i="6"/>
  <c r="AM18" i="3"/>
  <c r="AL19" i="3"/>
  <c r="L19" i="6" s="1"/>
  <c r="K30" i="6"/>
  <c r="AM29" i="3"/>
  <c r="AL30" i="3"/>
  <c r="L30" i="6" s="1"/>
  <c r="K68" i="6"/>
  <c r="AL68" i="3"/>
  <c r="L68" i="6" s="1"/>
  <c r="AM67" i="3"/>
  <c r="L63" i="4"/>
  <c r="P63" i="3"/>
  <c r="M63" i="4" s="1"/>
  <c r="J19" i="5"/>
  <c r="S19" i="3"/>
  <c r="K19" i="5" s="1"/>
  <c r="L35" i="4"/>
  <c r="P35" i="3"/>
  <c r="M35" i="4" s="1"/>
  <c r="F35" i="6"/>
  <c r="F35" i="5"/>
  <c r="K35" i="3"/>
  <c r="L35" i="3"/>
  <c r="J77" i="5"/>
  <c r="S77" i="3"/>
  <c r="K77" i="5" s="1"/>
  <c r="O85" i="5"/>
  <c r="AE85" i="3"/>
  <c r="P85" i="5" s="1"/>
  <c r="AF86" i="3"/>
  <c r="J91" i="5"/>
  <c r="S91" i="3"/>
  <c r="K91" i="5" s="1"/>
  <c r="O45" i="5"/>
  <c r="AF46" i="3"/>
  <c r="AE45" i="3"/>
  <c r="P45" i="5" s="1"/>
  <c r="K83" i="6"/>
  <c r="AM82" i="3"/>
  <c r="AL83" i="3"/>
  <c r="L83" i="6" s="1"/>
  <c r="F52" i="5"/>
  <c r="F52" i="6"/>
  <c r="L52" i="3"/>
  <c r="K52" i="3"/>
  <c r="J13" i="5"/>
  <c r="S13" i="3"/>
  <c r="K13" i="5" s="1"/>
  <c r="J63" i="5"/>
  <c r="S63" i="3"/>
  <c r="K63" i="5" s="1"/>
  <c r="F65" i="6"/>
  <c r="F65" i="5"/>
  <c r="L65" i="3"/>
  <c r="K65" i="3"/>
  <c r="K35" i="6"/>
  <c r="AM34" i="3"/>
  <c r="AL35" i="3"/>
  <c r="L35" i="6" s="1"/>
  <c r="F17" i="6"/>
  <c r="F17" i="5"/>
  <c r="K17" i="3"/>
  <c r="L17" i="3"/>
  <c r="F12" i="6"/>
  <c r="F12" i="5"/>
  <c r="L12" i="3"/>
  <c r="K12" i="3"/>
  <c r="O3" i="5"/>
  <c r="AF4" i="3"/>
  <c r="AE3" i="3"/>
  <c r="P3" i="5" s="1"/>
  <c r="Q32" i="5"/>
  <c r="AG32" i="3"/>
  <c r="R32" i="5" s="1"/>
  <c r="L26" i="4"/>
  <c r="P26" i="3"/>
  <c r="M26" i="4" s="1"/>
  <c r="L57" i="4"/>
  <c r="P57" i="3"/>
  <c r="M57" i="4" s="1"/>
  <c r="J40" i="5"/>
  <c r="S40" i="3"/>
  <c r="K40" i="5" s="1"/>
  <c r="O9" i="5"/>
  <c r="AF10" i="3"/>
  <c r="AE9" i="3"/>
  <c r="P9" i="5" s="1"/>
  <c r="O6" i="5"/>
  <c r="AF7" i="3"/>
  <c r="AE6" i="3"/>
  <c r="P6" i="5" s="1"/>
  <c r="O77" i="5"/>
  <c r="AE77" i="3"/>
  <c r="P77" i="5" s="1"/>
  <c r="AF78" i="3"/>
  <c r="O91" i="5"/>
  <c r="AF92" i="3"/>
  <c r="AE91" i="3"/>
  <c r="P91" i="5" s="1"/>
  <c r="F91" i="6"/>
  <c r="F91" i="5"/>
  <c r="L91" i="3"/>
  <c r="K91" i="3"/>
  <c r="J43" i="5"/>
  <c r="S43" i="3"/>
  <c r="K43" i="5" s="1"/>
  <c r="K41" i="6"/>
  <c r="AM40" i="3"/>
  <c r="AL41" i="3"/>
  <c r="L41" i="6" s="1"/>
  <c r="L82" i="4"/>
  <c r="P82" i="3"/>
  <c r="M82" i="4" s="1"/>
  <c r="O18" i="5"/>
  <c r="AE18" i="3"/>
  <c r="P18" i="5" s="1"/>
  <c r="AF19" i="3"/>
  <c r="O64" i="5"/>
  <c r="AE64" i="3"/>
  <c r="P64" i="5" s="1"/>
  <c r="AF65" i="3"/>
  <c r="F78" i="5"/>
  <c r="F78" i="6"/>
  <c r="L78" i="3"/>
  <c r="K78" i="3"/>
  <c r="K47" i="6"/>
  <c r="AL47" i="3"/>
  <c r="L47" i="6" s="1"/>
  <c r="AM46" i="3"/>
  <c r="F42" i="5"/>
  <c r="F42" i="6"/>
  <c r="K42" i="3"/>
  <c r="L42" i="3"/>
  <c r="K48" i="6"/>
  <c r="AM47" i="3"/>
  <c r="AL48" i="3"/>
  <c r="L48" i="6" s="1"/>
  <c r="J57" i="5"/>
  <c r="S57" i="3"/>
  <c r="K57" i="5" s="1"/>
  <c r="O4" i="5"/>
  <c r="AF5" i="3"/>
  <c r="AE4" i="3"/>
  <c r="P4" i="5" s="1"/>
  <c r="K13" i="6"/>
  <c r="AM12" i="3"/>
  <c r="AL13" i="3"/>
  <c r="L13" i="6" s="1"/>
  <c r="H14" i="4"/>
  <c r="M14" i="3"/>
  <c r="I14" i="4" s="1"/>
  <c r="J78" i="5"/>
  <c r="S78" i="3"/>
  <c r="K78" i="5" s="1"/>
  <c r="L47" i="4"/>
  <c r="P47" i="3"/>
  <c r="M47" i="4" s="1"/>
  <c r="J4" i="5"/>
  <c r="S4" i="3"/>
  <c r="K4" i="5" s="1"/>
  <c r="F33" i="6"/>
  <c r="F33" i="5"/>
  <c r="L33" i="3"/>
  <c r="K33" i="3"/>
  <c r="O75" i="5"/>
  <c r="AE75" i="3"/>
  <c r="P75" i="5" s="1"/>
  <c r="AF76" i="3"/>
  <c r="O47" i="5"/>
  <c r="AF48" i="3"/>
  <c r="AE47" i="3"/>
  <c r="P47" i="5" s="1"/>
  <c r="O37" i="5"/>
  <c r="AF38" i="3"/>
  <c r="AE37" i="3"/>
  <c r="P37" i="5" s="1"/>
  <c r="O66" i="5"/>
  <c r="AE66" i="3"/>
  <c r="P66" i="5" s="1"/>
  <c r="AF67" i="3"/>
  <c r="K43" i="6"/>
  <c r="AL43" i="3"/>
  <c r="L43" i="6" s="1"/>
  <c r="AM42" i="3"/>
  <c r="J9" i="5"/>
  <c r="S9" i="3"/>
  <c r="K9" i="5" s="1"/>
  <c r="K90" i="6"/>
  <c r="AL90" i="3"/>
  <c r="L90" i="6" s="1"/>
  <c r="AM89" i="3"/>
  <c r="O39" i="5"/>
  <c r="AF40" i="3"/>
  <c r="AE39" i="3"/>
  <c r="P39" i="5" s="1"/>
  <c r="J96" i="5"/>
  <c r="S96" i="3"/>
  <c r="K96" i="5" s="1"/>
  <c r="L40" i="4"/>
  <c r="P40" i="3"/>
  <c r="M40" i="4" s="1"/>
  <c r="O14" i="5"/>
  <c r="AF15" i="3"/>
  <c r="AE14" i="3"/>
  <c r="P14" i="5" s="1"/>
  <c r="F84" i="6"/>
  <c r="F84" i="5"/>
  <c r="L84" i="3"/>
  <c r="K84" i="3"/>
  <c r="G14" i="6"/>
  <c r="G14" i="5"/>
  <c r="P78" i="3"/>
  <c r="M78" i="4" s="1"/>
  <c r="L78" i="4"/>
  <c r="J47" i="5"/>
  <c r="S47" i="3"/>
  <c r="K47" i="5" s="1"/>
  <c r="H54" i="4"/>
  <c r="M54" i="3"/>
  <c r="I54" i="4" s="1"/>
  <c r="L4" i="4"/>
  <c r="P4" i="3"/>
  <c r="M4" i="4" s="1"/>
  <c r="O54" i="5"/>
  <c r="AE54" i="3"/>
  <c r="P54" i="5" s="1"/>
  <c r="AF55" i="3"/>
  <c r="H51" i="4"/>
  <c r="M51" i="3"/>
  <c r="I51" i="4" s="1"/>
  <c r="L27" i="4"/>
  <c r="P27" i="3"/>
  <c r="M27" i="4" s="1"/>
  <c r="J42" i="5"/>
  <c r="S42" i="3"/>
  <c r="K42" i="5" s="1"/>
  <c r="K92" i="6"/>
  <c r="AM91" i="3"/>
  <c r="AL92" i="3"/>
  <c r="L92" i="6" s="1"/>
  <c r="O93" i="5"/>
  <c r="AE93" i="3"/>
  <c r="P93" i="5" s="1"/>
  <c r="AF94" i="3"/>
  <c r="K42" i="6"/>
  <c r="AL42" i="3"/>
  <c r="L42" i="6" s="1"/>
  <c r="AM41" i="3"/>
  <c r="L61" i="4"/>
  <c r="P61" i="3"/>
  <c r="M61" i="4" s="1"/>
  <c r="O96" i="5"/>
  <c r="AE96" i="3"/>
  <c r="P96" i="5" s="1"/>
  <c r="AF97" i="3"/>
  <c r="J61" i="5"/>
  <c r="S61" i="3"/>
  <c r="K61" i="5" s="1"/>
  <c r="J10" i="5"/>
  <c r="S10" i="3"/>
  <c r="K10" i="5" s="1"/>
  <c r="F72" i="5"/>
  <c r="F72" i="6"/>
  <c r="L72" i="3"/>
  <c r="K72" i="3"/>
  <c r="F93" i="5"/>
  <c r="F93" i="6"/>
  <c r="L93" i="3"/>
  <c r="K93" i="3"/>
  <c r="K40" i="6"/>
  <c r="AM39" i="3"/>
  <c r="AL40" i="3"/>
  <c r="L40" i="6" s="1"/>
  <c r="F90" i="6"/>
  <c r="F90" i="5"/>
  <c r="L90" i="3"/>
  <c r="K90" i="3"/>
  <c r="J90" i="5"/>
  <c r="S90" i="3"/>
  <c r="K90" i="5" s="1"/>
  <c r="K38" i="6"/>
  <c r="AL38" i="3"/>
  <c r="L38" i="6" s="1"/>
  <c r="AM37" i="3"/>
  <c r="K76" i="6"/>
  <c r="AL76" i="3"/>
  <c r="L76" i="6" s="1"/>
  <c r="AM75" i="3"/>
  <c r="J16" i="5"/>
  <c r="S16" i="3"/>
  <c r="K16" i="5" s="1"/>
  <c r="K44" i="6"/>
  <c r="AL44" i="3"/>
  <c r="L44" i="6" s="1"/>
  <c r="AM43" i="3"/>
  <c r="F26" i="6"/>
  <c r="F26" i="5"/>
  <c r="L26" i="3"/>
  <c r="K26" i="3"/>
  <c r="F36" i="6"/>
  <c r="F36" i="5"/>
  <c r="L36" i="3"/>
  <c r="K36" i="3"/>
  <c r="H80" i="4"/>
  <c r="M80" i="3"/>
  <c r="I80" i="4" s="1"/>
  <c r="K96" i="6"/>
  <c r="AM95" i="3"/>
  <c r="AL96" i="3"/>
  <c r="L96" i="6" s="1"/>
  <c r="J64" i="5"/>
  <c r="S64" i="3"/>
  <c r="K64" i="5" s="1"/>
  <c r="H70" i="4"/>
  <c r="M70" i="3"/>
  <c r="I70" i="4" s="1"/>
  <c r="J11" i="5"/>
  <c r="S11" i="3"/>
  <c r="K11" i="5" s="1"/>
  <c r="F64" i="5"/>
  <c r="F64" i="6"/>
  <c r="L64" i="3"/>
  <c r="K64" i="3"/>
  <c r="O92" i="5"/>
  <c r="AF93" i="3"/>
  <c r="AE92" i="3"/>
  <c r="P92" i="5" s="1"/>
  <c r="J28" i="5"/>
  <c r="S28" i="3"/>
  <c r="K28" i="5" s="1"/>
  <c r="L21" i="4"/>
  <c r="P21" i="3"/>
  <c r="M21" i="4" s="1"/>
  <c r="F30" i="6"/>
  <c r="F30" i="5"/>
  <c r="L30" i="3"/>
  <c r="K30" i="3"/>
  <c r="M57" i="6"/>
  <c r="AN57" i="3"/>
  <c r="N57" i="6" s="1"/>
  <c r="J35" i="5"/>
  <c r="S35" i="3"/>
  <c r="K35" i="5" s="1"/>
  <c r="K55" i="6"/>
  <c r="AM54" i="3"/>
  <c r="AL55" i="3"/>
  <c r="L55" i="6" s="1"/>
  <c r="L15" i="4"/>
  <c r="P15" i="3"/>
  <c r="M15" i="4" s="1"/>
  <c r="G54" i="6"/>
  <c r="G54" i="5"/>
  <c r="O28" i="5"/>
  <c r="AF29" i="3"/>
  <c r="AE28" i="3"/>
  <c r="P28" i="5" s="1"/>
  <c r="O79" i="5"/>
  <c r="AF80" i="3"/>
  <c r="AE79" i="3"/>
  <c r="P79" i="5" s="1"/>
  <c r="F83" i="5"/>
  <c r="F83" i="6"/>
  <c r="L83" i="3"/>
  <c r="K83" i="3"/>
  <c r="F94" i="6"/>
  <c r="F94" i="5"/>
  <c r="K94" i="3"/>
  <c r="L94" i="3"/>
  <c r="L20" i="4"/>
  <c r="P20" i="3"/>
  <c r="M20" i="4" s="1"/>
  <c r="K36" i="6"/>
  <c r="AL36" i="3"/>
  <c r="L36" i="6" s="1"/>
  <c r="AM35" i="3"/>
  <c r="L90" i="4"/>
  <c r="P90" i="3"/>
  <c r="M90" i="4" s="1"/>
  <c r="H61" i="4"/>
  <c r="M61" i="3"/>
  <c r="I61" i="4" s="1"/>
  <c r="L11" i="4"/>
  <c r="P11" i="3"/>
  <c r="M11" i="4" s="1"/>
  <c r="O15" i="5"/>
  <c r="AF16" i="3"/>
  <c r="AE15" i="3"/>
  <c r="P15" i="5" s="1"/>
  <c r="K14" i="6"/>
  <c r="AM13" i="3"/>
  <c r="AL14" i="3"/>
  <c r="L14" i="6" s="1"/>
  <c r="J27" i="5"/>
  <c r="S27" i="3"/>
  <c r="K27" i="5" s="1"/>
  <c r="K45" i="6"/>
  <c r="AM44" i="3"/>
  <c r="AL45" i="3"/>
  <c r="L45" i="6" s="1"/>
  <c r="O32" i="5"/>
  <c r="AE32" i="3"/>
  <c r="P32" i="5" s="1"/>
  <c r="AF33" i="3"/>
  <c r="L92" i="4"/>
  <c r="P92" i="3"/>
  <c r="M92" i="4" s="1"/>
  <c r="P71" i="3"/>
  <c r="M71" i="4" s="1"/>
  <c r="L71" i="4"/>
  <c r="J37" i="5"/>
  <c r="S37" i="3"/>
  <c r="K37" i="5" s="1"/>
  <c r="AF22" i="3"/>
  <c r="O21" i="5"/>
  <c r="AE21" i="3"/>
  <c r="P21" i="5" s="1"/>
  <c r="F15" i="6"/>
  <c r="F15" i="5"/>
  <c r="L15" i="3"/>
  <c r="K15" i="3"/>
  <c r="L3" i="4"/>
  <c r="P3" i="3"/>
  <c r="M3" i="4" s="1"/>
  <c r="F48" i="6"/>
  <c r="F48" i="5"/>
  <c r="K48" i="3"/>
  <c r="L48" i="3"/>
  <c r="L55" i="4"/>
  <c r="P55" i="3"/>
  <c r="M55" i="4" s="1"/>
  <c r="K15" i="6"/>
  <c r="AL15" i="3"/>
  <c r="L15" i="6" s="1"/>
  <c r="AM14" i="3"/>
  <c r="F82" i="5"/>
  <c r="F82" i="6"/>
  <c r="L82" i="3"/>
  <c r="K82" i="3"/>
  <c r="F2" i="5"/>
  <c r="K2" i="3"/>
  <c r="F2" i="6"/>
  <c r="L2" i="3"/>
  <c r="O88" i="5"/>
  <c r="AE88" i="3"/>
  <c r="P88" i="5" s="1"/>
  <c r="AF89" i="3"/>
  <c r="O76" i="5"/>
  <c r="AE76" i="3"/>
  <c r="P76" i="5" s="1"/>
  <c r="AF77" i="3"/>
  <c r="K79" i="6"/>
  <c r="AL79" i="3"/>
  <c r="L79" i="6" s="1"/>
  <c r="AM78" i="3"/>
  <c r="K94" i="6"/>
  <c r="AL94" i="3"/>
  <c r="L94" i="6" s="1"/>
  <c r="AM93" i="3"/>
  <c r="L22" i="4"/>
  <c r="P22" i="3"/>
  <c r="M22" i="4" s="1"/>
  <c r="K91" i="6"/>
  <c r="AL91" i="3"/>
  <c r="L91" i="6" s="1"/>
  <c r="AM90" i="3"/>
  <c r="O95" i="5"/>
  <c r="AF96" i="3"/>
  <c r="AE95" i="3"/>
  <c r="P95" i="5" s="1"/>
  <c r="O62" i="5"/>
  <c r="AE62" i="3"/>
  <c r="P62" i="5" s="1"/>
  <c r="AF63" i="3"/>
  <c r="K95" i="6"/>
  <c r="AL95" i="3"/>
  <c r="L95" i="6" s="1"/>
  <c r="AM94" i="3"/>
  <c r="O83" i="5"/>
  <c r="AF84" i="3"/>
  <c r="AE83" i="3"/>
  <c r="P83" i="5" s="1"/>
  <c r="F81" i="5"/>
  <c r="F81" i="6"/>
  <c r="L81" i="3"/>
  <c r="K81" i="3"/>
  <c r="F97" i="5"/>
  <c r="F97" i="6"/>
  <c r="L97" i="3"/>
  <c r="K97" i="3"/>
  <c r="K28" i="6"/>
  <c r="AL28" i="3"/>
  <c r="L28" i="6" s="1"/>
  <c r="AM27" i="3"/>
  <c r="G61" i="5"/>
  <c r="G61" i="6"/>
  <c r="F68" i="5"/>
  <c r="F68" i="6"/>
  <c r="L68" i="3"/>
  <c r="K68" i="3"/>
  <c r="O2" i="5"/>
  <c r="AE2" i="3"/>
  <c r="P2" i="5" s="1"/>
  <c r="AF3" i="3"/>
  <c r="F87" i="6"/>
  <c r="F87" i="5"/>
  <c r="K87" i="3"/>
  <c r="L87" i="3"/>
  <c r="K66" i="6"/>
  <c r="AM65" i="3"/>
  <c r="AL66" i="3"/>
  <c r="L66" i="6" s="1"/>
  <c r="G70" i="6"/>
  <c r="G70" i="5"/>
  <c r="P24" i="3"/>
  <c r="M24" i="4" s="1"/>
  <c r="L24" i="4"/>
  <c r="J71" i="5"/>
  <c r="S71" i="3"/>
  <c r="K71" i="5" s="1"/>
  <c r="K21" i="6"/>
  <c r="AM20" i="3"/>
  <c r="AL21" i="3"/>
  <c r="L21" i="6" s="1"/>
  <c r="F69" i="6"/>
  <c r="F69" i="5"/>
  <c r="L69" i="3"/>
  <c r="K69" i="3"/>
  <c r="F57" i="5"/>
  <c r="F57" i="6"/>
  <c r="L57" i="3"/>
  <c r="K57" i="3"/>
  <c r="J3" i="5"/>
  <c r="S3" i="3"/>
  <c r="K3" i="5" s="1"/>
  <c r="J55" i="5"/>
  <c r="S55" i="3"/>
  <c r="K55" i="5" s="1"/>
  <c r="L45" i="4"/>
  <c r="P45" i="3"/>
  <c r="M45" i="4" s="1"/>
  <c r="F23" i="5"/>
  <c r="F23" i="6"/>
  <c r="L23" i="3"/>
  <c r="K23" i="3"/>
  <c r="L25" i="4"/>
  <c r="P25" i="3"/>
  <c r="M25" i="4" s="1"/>
  <c r="J46" i="5"/>
  <c r="S46" i="3"/>
  <c r="K46" i="5" s="1"/>
  <c r="L37" i="4"/>
  <c r="P37" i="3"/>
  <c r="M37" i="4" s="1"/>
  <c r="K67" i="6"/>
  <c r="AM66" i="3"/>
  <c r="AL67" i="3"/>
  <c r="L67" i="6" s="1"/>
  <c r="K31" i="6"/>
  <c r="AM30" i="3"/>
  <c r="AL31" i="3"/>
  <c r="L31" i="6" s="1"/>
  <c r="J15" i="5"/>
  <c r="S15" i="3"/>
  <c r="K15" i="5" s="1"/>
  <c r="F24" i="5"/>
  <c r="F24" i="6"/>
  <c r="L24" i="3"/>
  <c r="K24" i="3"/>
  <c r="F73" i="5"/>
  <c r="F73" i="6"/>
  <c r="L73" i="3"/>
  <c r="K73" i="3"/>
  <c r="J38" i="5"/>
  <c r="S38" i="3"/>
  <c r="K38" i="5" s="1"/>
  <c r="K33" i="6"/>
  <c r="AL33" i="3"/>
  <c r="L33" i="6" s="1"/>
  <c r="AM32" i="3"/>
  <c r="S98" i="3"/>
  <c r="K98" i="5" s="1"/>
  <c r="J98" i="5"/>
  <c r="J80" i="5"/>
  <c r="S80" i="3"/>
  <c r="K80" i="5" s="1"/>
  <c r="O90" i="5"/>
  <c r="AE90" i="3"/>
  <c r="P90" i="5" s="1"/>
  <c r="AF91" i="3"/>
  <c r="K69" i="6"/>
  <c r="AL69" i="3"/>
  <c r="L69" i="6" s="1"/>
  <c r="AM68" i="3"/>
  <c r="K84" i="6"/>
  <c r="AL84" i="3"/>
  <c r="L84" i="6" s="1"/>
  <c r="AM83" i="3"/>
  <c r="J82" i="5"/>
  <c r="S82" i="3"/>
  <c r="K82" i="5" s="1"/>
  <c r="L69" i="4"/>
  <c r="P69" i="3"/>
  <c r="M69" i="4" s="1"/>
  <c r="J74" i="5"/>
  <c r="S74" i="3"/>
  <c r="K74" i="5" s="1"/>
  <c r="J70" i="5"/>
  <c r="S70" i="3"/>
  <c r="K70" i="5" s="1"/>
  <c r="J95" i="5"/>
  <c r="S95" i="3"/>
  <c r="K95" i="5" s="1"/>
  <c r="K71" i="6"/>
  <c r="AM70" i="3"/>
  <c r="AL71" i="3"/>
  <c r="L71" i="6" s="1"/>
  <c r="O10" i="5"/>
  <c r="AE10" i="3"/>
  <c r="P10" i="5" s="1"/>
  <c r="AF11" i="3"/>
  <c r="J81" i="5"/>
  <c r="S81" i="3"/>
  <c r="K81" i="5" s="1"/>
  <c r="K29" i="6"/>
  <c r="AL29" i="3"/>
  <c r="L29" i="6" s="1"/>
  <c r="AM28" i="3"/>
  <c r="O98" i="5"/>
  <c r="AE98" i="3"/>
  <c r="P98" i="5" s="1"/>
  <c r="L83" i="4"/>
  <c r="P83" i="3"/>
  <c r="M83" i="4" s="1"/>
  <c r="K16" i="6"/>
  <c r="AM15" i="3"/>
  <c r="AL16" i="3"/>
  <c r="L16" i="6" s="1"/>
  <c r="O65" i="5"/>
  <c r="AF66" i="3"/>
  <c r="AE65" i="3"/>
  <c r="P65" i="5" s="1"/>
  <c r="O23" i="5"/>
  <c r="AF24" i="3"/>
  <c r="AE23" i="3"/>
  <c r="P23" i="5" s="1"/>
  <c r="L64" i="4"/>
  <c r="P64" i="3"/>
  <c r="M64" i="4" s="1"/>
  <c r="O27" i="5"/>
  <c r="AF28" i="3"/>
  <c r="AE27" i="3"/>
  <c r="P27" i="5" s="1"/>
  <c r="F34" i="5"/>
  <c r="F34" i="6"/>
  <c r="L34" i="3"/>
  <c r="K34" i="3"/>
  <c r="O26" i="5"/>
  <c r="AF27" i="3"/>
  <c r="AE26" i="3"/>
  <c r="P26" i="5" s="1"/>
  <c r="J21" i="5"/>
  <c r="S21" i="3"/>
  <c r="K21" i="5" s="1"/>
  <c r="F27" i="6"/>
  <c r="F27" i="5"/>
  <c r="K27" i="3"/>
  <c r="L27" i="3"/>
  <c r="F6" i="6"/>
  <c r="F6" i="5"/>
  <c r="L6" i="3"/>
  <c r="K6" i="3"/>
  <c r="J45" i="5"/>
  <c r="S45" i="3"/>
  <c r="K45" i="5" s="1"/>
  <c r="O70" i="5"/>
  <c r="AE70" i="3"/>
  <c r="P70" i="5" s="1"/>
  <c r="AF71" i="3"/>
  <c r="O12" i="5"/>
  <c r="AE12" i="3"/>
  <c r="P12" i="5" s="1"/>
  <c r="AF13" i="3"/>
  <c r="AF26" i="3"/>
  <c r="O25" i="5"/>
  <c r="AE25" i="3"/>
  <c r="P25" i="5" s="1"/>
  <c r="L81" i="4"/>
  <c r="P81" i="3"/>
  <c r="M81" i="4" s="1"/>
  <c r="K65" i="6"/>
  <c r="AL65" i="3"/>
  <c r="L65" i="6" s="1"/>
  <c r="AM64" i="3"/>
  <c r="K89" i="6"/>
  <c r="AL89" i="3"/>
  <c r="L89" i="6" s="1"/>
  <c r="AM88" i="3"/>
  <c r="J51" i="5"/>
  <c r="S51" i="3"/>
  <c r="K51" i="5" s="1"/>
  <c r="J69" i="5"/>
  <c r="S69" i="3"/>
  <c r="K69" i="5" s="1"/>
  <c r="F77" i="5"/>
  <c r="F77" i="6"/>
  <c r="L77" i="3"/>
  <c r="K77" i="3"/>
  <c r="K70" i="6"/>
  <c r="AM69" i="3"/>
  <c r="AL70" i="3"/>
  <c r="L70" i="6" s="1"/>
  <c r="F9" i="6"/>
  <c r="F9" i="5"/>
  <c r="L9" i="3"/>
  <c r="K9" i="3"/>
  <c r="K98" i="6"/>
  <c r="AM97" i="3"/>
  <c r="AL98" i="3"/>
  <c r="L98" i="6" s="1"/>
  <c r="J83" i="5"/>
  <c r="S83" i="3"/>
  <c r="K83" i="5" s="1"/>
  <c r="F96" i="5"/>
  <c r="F96" i="6"/>
  <c r="L96" i="3"/>
  <c r="K96" i="3"/>
  <c r="O20" i="5"/>
  <c r="AF21" i="3"/>
  <c r="AE20" i="3"/>
  <c r="P20" i="5" s="1"/>
  <c r="O68" i="5"/>
  <c r="AE68" i="3"/>
  <c r="P68" i="5" s="1"/>
  <c r="AF69" i="3"/>
  <c r="F55" i="6"/>
  <c r="F55" i="5"/>
  <c r="L55" i="3"/>
  <c r="K55" i="3"/>
  <c r="F28" i="6"/>
  <c r="F28" i="5"/>
  <c r="K28" i="3"/>
  <c r="L28" i="3"/>
  <c r="L33" i="4"/>
  <c r="P33" i="3"/>
  <c r="M33" i="4" s="1"/>
  <c r="L53" i="4"/>
  <c r="P53" i="3"/>
  <c r="M53" i="4" s="1"/>
  <c r="H62" i="4"/>
  <c r="M62" i="3"/>
  <c r="I62" i="4" s="1"/>
  <c r="J31" i="5"/>
  <c r="S31" i="3"/>
  <c r="K31" i="5" s="1"/>
  <c r="F79" i="6"/>
  <c r="K79" i="3"/>
  <c r="F79" i="5"/>
  <c r="L79" i="3"/>
  <c r="O58" i="5"/>
  <c r="AE58" i="3"/>
  <c r="P58" i="5" s="1"/>
  <c r="AF59" i="3"/>
  <c r="K61" i="6"/>
  <c r="AL61" i="3"/>
  <c r="L61" i="6" s="1"/>
  <c r="AM60" i="3"/>
  <c r="L17" i="4"/>
  <c r="P17" i="3"/>
  <c r="M17" i="4" s="1"/>
  <c r="F5" i="6"/>
  <c r="F5" i="5"/>
  <c r="L5" i="3"/>
  <c r="K5" i="3"/>
  <c r="F31" i="6"/>
  <c r="F31" i="5"/>
  <c r="L31" i="3"/>
  <c r="K31" i="3"/>
  <c r="L98" i="4"/>
  <c r="P98" i="3"/>
  <c r="M98" i="4" s="1"/>
  <c r="O35" i="5"/>
  <c r="AF36" i="3"/>
  <c r="AE35" i="3"/>
  <c r="P35" i="5" s="1"/>
  <c r="F11" i="6"/>
  <c r="F11" i="5"/>
  <c r="K11" i="3"/>
  <c r="L11" i="3"/>
  <c r="K59" i="6"/>
  <c r="AM58" i="3"/>
  <c r="AL59" i="3"/>
  <c r="L59" i="6" s="1"/>
  <c r="F19" i="5"/>
  <c r="F19" i="6"/>
  <c r="L19" i="3"/>
  <c r="K19" i="3"/>
  <c r="O86" i="5"/>
  <c r="AF87" i="3"/>
  <c r="AE86" i="3"/>
  <c r="P86" i="5" s="1"/>
  <c r="L18" i="4"/>
  <c r="P18" i="3"/>
  <c r="M18" i="4" s="1"/>
  <c r="F44" i="6"/>
  <c r="F44" i="5"/>
  <c r="L44" i="3"/>
  <c r="K44" i="3"/>
  <c r="F41" i="5"/>
  <c r="F41" i="6"/>
  <c r="L41" i="3"/>
  <c r="K41" i="3"/>
  <c r="F67" i="6"/>
  <c r="F67" i="5"/>
  <c r="L67" i="3"/>
  <c r="K67" i="3"/>
  <c r="F59" i="6"/>
  <c r="F59" i="5"/>
  <c r="L59" i="3"/>
  <c r="K59" i="3"/>
  <c r="F46" i="6"/>
  <c r="F46" i="5"/>
  <c r="L46" i="3"/>
  <c r="K46" i="3"/>
  <c r="H25" i="4"/>
  <c r="M25" i="3"/>
  <c r="I25" i="4" s="1"/>
  <c r="O33" i="5"/>
  <c r="AF34" i="3"/>
  <c r="AE33" i="3"/>
  <c r="P33" i="5" s="1"/>
  <c r="J53" i="5"/>
  <c r="S53" i="3"/>
  <c r="K53" i="5" s="1"/>
  <c r="L5" i="4"/>
  <c r="P5" i="3"/>
  <c r="M5" i="4" s="1"/>
  <c r="F63" i="5"/>
  <c r="F63" i="6"/>
  <c r="L63" i="3"/>
  <c r="K63" i="3"/>
  <c r="G62" i="5"/>
  <c r="G62" i="6"/>
  <c r="AG53" i="3" l="1"/>
  <c r="R53" i="5" s="1"/>
  <c r="Q81" i="5"/>
  <c r="M81" i="6"/>
  <c r="M23" i="6"/>
  <c r="AN11" i="3"/>
  <c r="N11" i="6" s="1"/>
  <c r="M31" i="6"/>
  <c r="M61" i="6"/>
  <c r="AG18" i="3"/>
  <c r="R18" i="5" s="1"/>
  <c r="AN53" i="3"/>
  <c r="N53" i="6" s="1"/>
  <c r="Q23" i="5"/>
  <c r="AG51" i="3"/>
  <c r="R51" i="5" s="1"/>
  <c r="H21" i="4"/>
  <c r="AG49" i="3"/>
  <c r="R49" i="5" s="1"/>
  <c r="M10" i="6"/>
  <c r="AN10" i="3"/>
  <c r="N10" i="6" s="1"/>
  <c r="Q79" i="5"/>
  <c r="AG79" i="3"/>
  <c r="R79" i="5" s="1"/>
  <c r="Q58" i="5"/>
  <c r="AG58" i="3"/>
  <c r="R58" i="5" s="1"/>
  <c r="M92" i="6"/>
  <c r="AN92" i="3"/>
  <c r="N92" i="6" s="1"/>
  <c r="H13" i="4"/>
  <c r="M13" i="3"/>
  <c r="I13" i="4" s="1"/>
  <c r="M84" i="6"/>
  <c r="AN84" i="3"/>
  <c r="N84" i="6" s="1"/>
  <c r="G60" i="5"/>
  <c r="G60" i="6"/>
  <c r="G23" i="5"/>
  <c r="G23" i="6"/>
  <c r="H94" i="4"/>
  <c r="M94" i="3"/>
  <c r="I94" i="4" s="1"/>
  <c r="M43" i="6"/>
  <c r="AN43" i="3"/>
  <c r="N43" i="6" s="1"/>
  <c r="H93" i="4"/>
  <c r="M93" i="3"/>
  <c r="I93" i="4" s="1"/>
  <c r="Q94" i="5"/>
  <c r="AG94" i="3"/>
  <c r="R94" i="5" s="1"/>
  <c r="Q76" i="5"/>
  <c r="AG76" i="3"/>
  <c r="R76" i="5" s="1"/>
  <c r="G12" i="6"/>
  <c r="G12" i="5"/>
  <c r="M58" i="6"/>
  <c r="AN58" i="3"/>
  <c r="N58" i="6" s="1"/>
  <c r="H28" i="4"/>
  <c r="M28" i="3"/>
  <c r="I28" i="4" s="1"/>
  <c r="Q28" i="5"/>
  <c r="AG28" i="3"/>
  <c r="R28" i="5" s="1"/>
  <c r="H24" i="4"/>
  <c r="M24" i="3"/>
  <c r="I24" i="4" s="1"/>
  <c r="H15" i="4"/>
  <c r="M15" i="3"/>
  <c r="I15" i="4" s="1"/>
  <c r="G93" i="5"/>
  <c r="G93" i="6"/>
  <c r="Q40" i="5"/>
  <c r="AG40" i="3"/>
  <c r="R40" i="5" s="1"/>
  <c r="Q5" i="5"/>
  <c r="AG5" i="3"/>
  <c r="R5" i="5" s="1"/>
  <c r="M92" i="3"/>
  <c r="I92" i="4" s="1"/>
  <c r="H92" i="4"/>
  <c r="Q25" i="5"/>
  <c r="AG25" i="3"/>
  <c r="R25" i="5" s="1"/>
  <c r="H74" i="4"/>
  <c r="M74" i="3"/>
  <c r="I74" i="4" s="1"/>
  <c r="H49" i="4"/>
  <c r="M49" i="3"/>
  <c r="I49" i="4" s="1"/>
  <c r="Q61" i="5"/>
  <c r="AG61" i="3"/>
  <c r="R61" i="5" s="1"/>
  <c r="Q54" i="5"/>
  <c r="AG54" i="3"/>
  <c r="R54" i="5" s="1"/>
  <c r="H89" i="4"/>
  <c r="M89" i="3"/>
  <c r="I89" i="4" s="1"/>
  <c r="M52" i="6"/>
  <c r="AN52" i="3"/>
  <c r="N52" i="6" s="1"/>
  <c r="G13" i="6"/>
  <c r="G13" i="5"/>
  <c r="G28" i="6"/>
  <c r="G28" i="5"/>
  <c r="M60" i="6"/>
  <c r="AN60" i="3"/>
  <c r="N60" i="6" s="1"/>
  <c r="M88" i="6"/>
  <c r="AN88" i="3"/>
  <c r="N88" i="6" s="1"/>
  <c r="M68" i="6"/>
  <c r="AN68" i="3"/>
  <c r="N68" i="6" s="1"/>
  <c r="G24" i="5"/>
  <c r="G24" i="6"/>
  <c r="M27" i="6"/>
  <c r="AN27" i="3"/>
  <c r="N27" i="6" s="1"/>
  <c r="G2" i="5"/>
  <c r="G2" i="6"/>
  <c r="G15" i="5"/>
  <c r="G15" i="6"/>
  <c r="Q19" i="5"/>
  <c r="AG19" i="3"/>
  <c r="R19" i="5" s="1"/>
  <c r="M6" i="6"/>
  <c r="AN6" i="3"/>
  <c r="N6" i="6" s="1"/>
  <c r="M77" i="6"/>
  <c r="AN77" i="3"/>
  <c r="N77" i="6" s="1"/>
  <c r="M19" i="6"/>
  <c r="AN19" i="3"/>
  <c r="N19" i="6" s="1"/>
  <c r="M8" i="6"/>
  <c r="AN8" i="3"/>
  <c r="N8" i="6" s="1"/>
  <c r="G92" i="5"/>
  <c r="G92" i="6"/>
  <c r="M72" i="6"/>
  <c r="AN72" i="3"/>
  <c r="N72" i="6" s="1"/>
  <c r="Q39" i="5"/>
  <c r="AG39" i="3"/>
  <c r="R39" i="5" s="1"/>
  <c r="G74" i="6"/>
  <c r="G74" i="5"/>
  <c r="G49" i="6"/>
  <c r="G49" i="5"/>
  <c r="M48" i="6"/>
  <c r="AN48" i="3"/>
  <c r="N48" i="6" s="1"/>
  <c r="G89" i="6"/>
  <c r="G89" i="5"/>
  <c r="M85" i="6"/>
  <c r="AN85" i="3"/>
  <c r="N85" i="6" s="1"/>
  <c r="Q11" i="5"/>
  <c r="AG11" i="3"/>
  <c r="R11" i="5" s="1"/>
  <c r="Q96" i="5"/>
  <c r="AG96" i="3"/>
  <c r="R96" i="5" s="1"/>
  <c r="M13" i="6"/>
  <c r="AN13" i="3"/>
  <c r="N13" i="6" s="1"/>
  <c r="H83" i="4"/>
  <c r="M83" i="3"/>
  <c r="I83" i="4" s="1"/>
  <c r="M89" i="6"/>
  <c r="AN89" i="3"/>
  <c r="N89" i="6" s="1"/>
  <c r="Q7" i="5"/>
  <c r="AG7" i="3"/>
  <c r="R7" i="5" s="1"/>
  <c r="G17" i="6"/>
  <c r="G17" i="5"/>
  <c r="M82" i="6"/>
  <c r="AN82" i="3"/>
  <c r="N82" i="6" s="1"/>
  <c r="M3" i="6"/>
  <c r="AN3" i="3"/>
  <c r="N3" i="6" s="1"/>
  <c r="Q52" i="5"/>
  <c r="AG52" i="3"/>
  <c r="R52" i="5" s="1"/>
  <c r="Q75" i="5"/>
  <c r="AG75" i="3"/>
  <c r="R75" i="5" s="1"/>
  <c r="H6" i="4"/>
  <c r="M6" i="3"/>
  <c r="I6" i="4" s="1"/>
  <c r="G41" i="5"/>
  <c r="G41" i="6"/>
  <c r="H11" i="4"/>
  <c r="M11" i="3"/>
  <c r="I11" i="4" s="1"/>
  <c r="H55" i="4"/>
  <c r="M55" i="3"/>
  <c r="I55" i="4" s="1"/>
  <c r="G6" i="6"/>
  <c r="G6" i="5"/>
  <c r="H2" i="4"/>
  <c r="M2" i="3"/>
  <c r="I2" i="4" s="1"/>
  <c r="G83" i="5"/>
  <c r="G83" i="6"/>
  <c r="M30" i="3"/>
  <c r="I30" i="4" s="1"/>
  <c r="H30" i="4"/>
  <c r="H72" i="4"/>
  <c r="M72" i="3"/>
  <c r="I72" i="4" s="1"/>
  <c r="M91" i="6"/>
  <c r="AN91" i="3"/>
  <c r="N91" i="6" s="1"/>
  <c r="H17" i="4"/>
  <c r="M17" i="3"/>
  <c r="I17" i="4" s="1"/>
  <c r="M5" i="6"/>
  <c r="AN5" i="3"/>
  <c r="N5" i="6" s="1"/>
  <c r="H4" i="4"/>
  <c r="M4" i="3"/>
  <c r="I4" i="4" s="1"/>
  <c r="Q70" i="5"/>
  <c r="AG70" i="3"/>
  <c r="R70" i="5" s="1"/>
  <c r="M41" i="3"/>
  <c r="I41" i="4" s="1"/>
  <c r="H41" i="4"/>
  <c r="H33" i="4"/>
  <c r="M33" i="3"/>
  <c r="I33" i="4" s="1"/>
  <c r="Q20" i="5"/>
  <c r="AG20" i="3"/>
  <c r="R20" i="5" s="1"/>
  <c r="M88" i="3"/>
  <c r="I88" i="4" s="1"/>
  <c r="H88" i="4"/>
  <c r="M24" i="6"/>
  <c r="AN24" i="3"/>
  <c r="N24" i="6" s="1"/>
  <c r="M45" i="6"/>
  <c r="AN45" i="3"/>
  <c r="N45" i="6" s="1"/>
  <c r="G3" i="6"/>
  <c r="G3" i="5"/>
  <c r="G75" i="6"/>
  <c r="G75" i="5"/>
  <c r="M2" i="6"/>
  <c r="AN2" i="3"/>
  <c r="N2" i="6" s="1"/>
  <c r="M74" i="6"/>
  <c r="AN74" i="3"/>
  <c r="N74" i="6" s="1"/>
  <c r="H76" i="4"/>
  <c r="M76" i="3"/>
  <c r="I76" i="4" s="1"/>
  <c r="M59" i="6"/>
  <c r="AN59" i="3"/>
  <c r="N59" i="6" s="1"/>
  <c r="Q57" i="5"/>
  <c r="AG57" i="3"/>
  <c r="R57" i="5" s="1"/>
  <c r="G4" i="6"/>
  <c r="G4" i="5"/>
  <c r="Q24" i="5"/>
  <c r="AG24" i="3"/>
  <c r="R24" i="5" s="1"/>
  <c r="G97" i="5"/>
  <c r="G97" i="6"/>
  <c r="M82" i="3"/>
  <c r="I82" i="4" s="1"/>
  <c r="H82" i="4"/>
  <c r="Q16" i="5"/>
  <c r="AG16" i="3"/>
  <c r="R16" i="5" s="1"/>
  <c r="M95" i="6"/>
  <c r="AN95" i="3"/>
  <c r="N95" i="6" s="1"/>
  <c r="M25" i="6"/>
  <c r="AN25" i="3"/>
  <c r="N25" i="6" s="1"/>
  <c r="G76" i="5"/>
  <c r="G76" i="6"/>
  <c r="M87" i="6"/>
  <c r="AN87" i="3"/>
  <c r="N87" i="6" s="1"/>
  <c r="G30" i="6"/>
  <c r="G30" i="5"/>
  <c r="M75" i="6"/>
  <c r="AN75" i="3"/>
  <c r="N75" i="6" s="1"/>
  <c r="G72" i="5"/>
  <c r="G72" i="6"/>
  <c r="G33" i="6"/>
  <c r="G33" i="5"/>
  <c r="M47" i="6"/>
  <c r="AN47" i="3"/>
  <c r="N47" i="6" s="1"/>
  <c r="Q10" i="5"/>
  <c r="AG10" i="3"/>
  <c r="R10" i="5" s="1"/>
  <c r="Q46" i="5"/>
  <c r="AG46" i="3"/>
  <c r="R46" i="5" s="1"/>
  <c r="H39" i="4"/>
  <c r="M39" i="3"/>
  <c r="I39" i="4" s="1"/>
  <c r="Q37" i="5"/>
  <c r="AG37" i="3"/>
  <c r="R37" i="5" s="1"/>
  <c r="G88" i="5"/>
  <c r="G88" i="6"/>
  <c r="Q45" i="5"/>
  <c r="AG45" i="3"/>
  <c r="R45" i="5" s="1"/>
  <c r="H3" i="4"/>
  <c r="M3" i="3"/>
  <c r="I3" i="4" s="1"/>
  <c r="H75" i="4"/>
  <c r="M75" i="3"/>
  <c r="I75" i="4" s="1"/>
  <c r="H46" i="4"/>
  <c r="M46" i="3"/>
  <c r="I46" i="4" s="1"/>
  <c r="H44" i="4"/>
  <c r="M44" i="3"/>
  <c r="I44" i="4" s="1"/>
  <c r="H9" i="4"/>
  <c r="M9" i="3"/>
  <c r="I9" i="4" s="1"/>
  <c r="G27" i="6"/>
  <c r="G27" i="5"/>
  <c r="M70" i="6"/>
  <c r="AN70" i="3"/>
  <c r="N70" i="6" s="1"/>
  <c r="M65" i="6"/>
  <c r="AN65" i="3"/>
  <c r="N65" i="6" s="1"/>
  <c r="G82" i="5"/>
  <c r="G82" i="6"/>
  <c r="Q22" i="5"/>
  <c r="AG22" i="3"/>
  <c r="R22" i="5" s="1"/>
  <c r="H84" i="4"/>
  <c r="M84" i="3"/>
  <c r="I84" i="4" s="1"/>
  <c r="M67" i="6"/>
  <c r="AN67" i="3"/>
  <c r="N67" i="6" s="1"/>
  <c r="G39" i="6"/>
  <c r="G39" i="5"/>
  <c r="M38" i="6"/>
  <c r="AN38" i="3"/>
  <c r="N38" i="6" s="1"/>
  <c r="H85" i="4"/>
  <c r="M85" i="3"/>
  <c r="I85" i="4" s="1"/>
  <c r="H16" i="4"/>
  <c r="M16" i="3"/>
  <c r="I16" i="4" s="1"/>
  <c r="Q31" i="5"/>
  <c r="AG31" i="3"/>
  <c r="R31" i="5" s="1"/>
  <c r="Q82" i="5"/>
  <c r="AG82" i="3"/>
  <c r="R82" i="5" s="1"/>
  <c r="M30" i="6"/>
  <c r="AN30" i="3"/>
  <c r="N30" i="6" s="1"/>
  <c r="Q80" i="5"/>
  <c r="AG80" i="3"/>
  <c r="R80" i="5" s="1"/>
  <c r="M37" i="6"/>
  <c r="AN37" i="3"/>
  <c r="N37" i="6" s="1"/>
  <c r="G84" i="6"/>
  <c r="G84" i="5"/>
  <c r="M42" i="6"/>
  <c r="AN42" i="3"/>
  <c r="N42" i="6" s="1"/>
  <c r="G42" i="5"/>
  <c r="G42" i="6"/>
  <c r="M40" i="6"/>
  <c r="AN40" i="3"/>
  <c r="N40" i="6" s="1"/>
  <c r="M34" i="6"/>
  <c r="AN34" i="3"/>
  <c r="N34" i="6" s="1"/>
  <c r="G85" i="5"/>
  <c r="G85" i="6"/>
  <c r="G16" i="6"/>
  <c r="G16" i="5"/>
  <c r="Q73" i="5"/>
  <c r="AG73" i="3"/>
  <c r="R73" i="5" s="1"/>
  <c r="M4" i="6"/>
  <c r="AN4" i="3"/>
  <c r="N4" i="6" s="1"/>
  <c r="M96" i="6"/>
  <c r="AN96" i="3"/>
  <c r="N96" i="6" s="1"/>
  <c r="Q6" i="5"/>
  <c r="AG6" i="3"/>
  <c r="R6" i="5" s="1"/>
  <c r="Q8" i="5"/>
  <c r="AG8" i="3"/>
  <c r="R8" i="5" s="1"/>
  <c r="H57" i="4"/>
  <c r="M57" i="3"/>
  <c r="I57" i="4" s="1"/>
  <c r="G87" i="6"/>
  <c r="G87" i="5"/>
  <c r="H81" i="4"/>
  <c r="M81" i="3"/>
  <c r="I81" i="4" s="1"/>
  <c r="M71" i="3"/>
  <c r="I71" i="4" s="1"/>
  <c r="H71" i="4"/>
  <c r="M53" i="3"/>
  <c r="I53" i="4" s="1"/>
  <c r="H53" i="4"/>
  <c r="M17" i="6"/>
  <c r="AN17" i="3"/>
  <c r="N17" i="6" s="1"/>
  <c r="Q88" i="5"/>
  <c r="AG88" i="3"/>
  <c r="R88" i="5" s="1"/>
  <c r="Q62" i="5"/>
  <c r="AG62" i="3"/>
  <c r="R62" i="5" s="1"/>
  <c r="M97" i="6"/>
  <c r="AN97" i="3"/>
  <c r="N97" i="6" s="1"/>
  <c r="M64" i="6"/>
  <c r="AN64" i="3"/>
  <c r="N64" i="6" s="1"/>
  <c r="Q66" i="5"/>
  <c r="AG66" i="3"/>
  <c r="R66" i="5" s="1"/>
  <c r="M42" i="3"/>
  <c r="I42" i="4" s="1"/>
  <c r="H42" i="4"/>
  <c r="H79" i="4"/>
  <c r="M79" i="3"/>
  <c r="I79" i="4" s="1"/>
  <c r="G57" i="5"/>
  <c r="G57" i="6"/>
  <c r="H87" i="4"/>
  <c r="M87" i="3"/>
  <c r="I87" i="4" s="1"/>
  <c r="G81" i="5"/>
  <c r="G81" i="6"/>
  <c r="M93" i="6"/>
  <c r="AN93" i="3"/>
  <c r="N93" i="6" s="1"/>
  <c r="M14" i="6"/>
  <c r="AN14" i="3"/>
  <c r="N14" i="6" s="1"/>
  <c r="H36" i="4"/>
  <c r="M36" i="3"/>
  <c r="I36" i="4" s="1"/>
  <c r="H65" i="4"/>
  <c r="M65" i="3"/>
  <c r="I65" i="4" s="1"/>
  <c r="Q86" i="5"/>
  <c r="AG86" i="3"/>
  <c r="R86" i="5" s="1"/>
  <c r="M62" i="6"/>
  <c r="AN62" i="3"/>
  <c r="N62" i="6" s="1"/>
  <c r="Q72" i="5"/>
  <c r="AG72" i="3"/>
  <c r="R72" i="5" s="1"/>
  <c r="G71" i="6"/>
  <c r="G71" i="5"/>
  <c r="Q42" i="5"/>
  <c r="AG42" i="3"/>
  <c r="R42" i="5" s="1"/>
  <c r="M36" i="6"/>
  <c r="AN36" i="3"/>
  <c r="N36" i="6" s="1"/>
  <c r="G53" i="6"/>
  <c r="G53" i="5"/>
  <c r="H66" i="4"/>
  <c r="M66" i="3"/>
  <c r="I66" i="4" s="1"/>
  <c r="G40" i="5"/>
  <c r="G40" i="6"/>
  <c r="M66" i="6"/>
  <c r="AN66" i="3"/>
  <c r="N66" i="6" s="1"/>
  <c r="Q29" i="5"/>
  <c r="AG29" i="3"/>
  <c r="R29" i="5" s="1"/>
  <c r="G36" i="6"/>
  <c r="G36" i="5"/>
  <c r="Q67" i="5"/>
  <c r="AG67" i="3"/>
  <c r="R67" i="5" s="1"/>
  <c r="G65" i="5"/>
  <c r="G65" i="6"/>
  <c r="M29" i="6"/>
  <c r="AN29" i="3"/>
  <c r="N29" i="6" s="1"/>
  <c r="Q95" i="5"/>
  <c r="AG95" i="3"/>
  <c r="R95" i="5" s="1"/>
  <c r="Q56" i="5"/>
  <c r="AG56" i="3"/>
  <c r="R56" i="5" s="1"/>
  <c r="Q44" i="5"/>
  <c r="AG44" i="3"/>
  <c r="R44" i="5" s="1"/>
  <c r="H98" i="4"/>
  <c r="M98" i="3"/>
  <c r="I98" i="4" s="1"/>
  <c r="Q98" i="5"/>
  <c r="AG98" i="3"/>
  <c r="R98" i="5" s="1"/>
  <c r="G66" i="6"/>
  <c r="G66" i="5"/>
  <c r="H40" i="4"/>
  <c r="M40" i="3"/>
  <c r="I40" i="4" s="1"/>
  <c r="M56" i="6"/>
  <c r="AN56" i="3"/>
  <c r="N56" i="6" s="1"/>
  <c r="G44" i="6"/>
  <c r="G44" i="5"/>
  <c r="Q36" i="5"/>
  <c r="AG36" i="3"/>
  <c r="R36" i="5" s="1"/>
  <c r="Q69" i="5"/>
  <c r="AG69" i="3"/>
  <c r="R69" i="5" s="1"/>
  <c r="M27" i="3"/>
  <c r="I27" i="4" s="1"/>
  <c r="H27" i="4"/>
  <c r="H59" i="4"/>
  <c r="M59" i="3"/>
  <c r="I59" i="4" s="1"/>
  <c r="G59" i="6"/>
  <c r="G59" i="5"/>
  <c r="H31" i="4"/>
  <c r="M31" i="3"/>
  <c r="I31" i="4" s="1"/>
  <c r="Q21" i="5"/>
  <c r="AG21" i="3"/>
  <c r="R21" i="5" s="1"/>
  <c r="M69" i="6"/>
  <c r="AN69" i="3"/>
  <c r="N69" i="6" s="1"/>
  <c r="Q26" i="5"/>
  <c r="AG26" i="3"/>
  <c r="R26" i="5" s="1"/>
  <c r="M15" i="6"/>
  <c r="AN15" i="3"/>
  <c r="N15" i="6" s="1"/>
  <c r="M32" i="6"/>
  <c r="AN32" i="3"/>
  <c r="N32" i="6" s="1"/>
  <c r="Q97" i="5"/>
  <c r="AG97" i="3"/>
  <c r="R97" i="5" s="1"/>
  <c r="Q55" i="5"/>
  <c r="AG55" i="3"/>
  <c r="R55" i="5" s="1"/>
  <c r="Q15" i="5"/>
  <c r="AG15" i="3"/>
  <c r="R15" i="5" s="1"/>
  <c r="M46" i="6"/>
  <c r="AN46" i="3"/>
  <c r="N46" i="6" s="1"/>
  <c r="H91" i="4"/>
  <c r="M91" i="3"/>
  <c r="I91" i="4" s="1"/>
  <c r="Q83" i="5"/>
  <c r="AG83" i="3"/>
  <c r="R83" i="5" s="1"/>
  <c r="H22" i="4"/>
  <c r="M22" i="3"/>
  <c r="I22" i="4" s="1"/>
  <c r="G98" i="5"/>
  <c r="G98" i="6"/>
  <c r="H32" i="4"/>
  <c r="M32" i="3"/>
  <c r="I32" i="4" s="1"/>
  <c r="H29" i="4"/>
  <c r="M29" i="3"/>
  <c r="I29" i="4" s="1"/>
  <c r="M80" i="6"/>
  <c r="AN80" i="3"/>
  <c r="N80" i="6" s="1"/>
  <c r="Q35" i="5"/>
  <c r="AG35" i="3"/>
  <c r="R35" i="5" s="1"/>
  <c r="H58" i="4"/>
  <c r="M58" i="3"/>
  <c r="I58" i="4" s="1"/>
  <c r="Q3" i="5"/>
  <c r="AG3" i="3"/>
  <c r="R3" i="5" s="1"/>
  <c r="M78" i="6"/>
  <c r="AN78" i="3"/>
  <c r="N78" i="6" s="1"/>
  <c r="Q93" i="5"/>
  <c r="AG93" i="3"/>
  <c r="R93" i="5" s="1"/>
  <c r="H90" i="4"/>
  <c r="M90" i="3"/>
  <c r="I90" i="4" s="1"/>
  <c r="G91" i="6"/>
  <c r="G91" i="5"/>
  <c r="M79" i="6"/>
  <c r="AN79" i="3"/>
  <c r="N79" i="6" s="1"/>
  <c r="H95" i="4"/>
  <c r="M95" i="3"/>
  <c r="I95" i="4" s="1"/>
  <c r="G22" i="6"/>
  <c r="G22" i="5"/>
  <c r="M73" i="6"/>
  <c r="AN73" i="3"/>
  <c r="N73" i="6" s="1"/>
  <c r="G32" i="6"/>
  <c r="G32" i="5"/>
  <c r="G29" i="6"/>
  <c r="G29" i="5"/>
  <c r="G58" i="5"/>
  <c r="G58" i="6"/>
  <c r="G9" i="6"/>
  <c r="G9" i="5"/>
  <c r="G31" i="6"/>
  <c r="G31" i="5"/>
  <c r="Q27" i="5"/>
  <c r="AG27" i="3"/>
  <c r="R27" i="5" s="1"/>
  <c r="M35" i="6"/>
  <c r="AN35" i="3"/>
  <c r="N35" i="6" s="1"/>
  <c r="H26" i="4"/>
  <c r="M26" i="3"/>
  <c r="I26" i="4" s="1"/>
  <c r="G90" i="6"/>
  <c r="G90" i="5"/>
  <c r="M18" i="6"/>
  <c r="AN18" i="3"/>
  <c r="N18" i="6" s="1"/>
  <c r="M21" i="6"/>
  <c r="AN21" i="3"/>
  <c r="N21" i="6" s="1"/>
  <c r="Q64" i="5"/>
  <c r="AG64" i="3"/>
  <c r="R64" i="5" s="1"/>
  <c r="G95" i="5"/>
  <c r="G95" i="6"/>
  <c r="M7" i="6"/>
  <c r="AN7" i="3"/>
  <c r="N7" i="6" s="1"/>
  <c r="H50" i="4"/>
  <c r="M50" i="3"/>
  <c r="I50" i="4" s="1"/>
  <c r="H47" i="4"/>
  <c r="M47" i="3"/>
  <c r="I47" i="4" s="1"/>
  <c r="Q85" i="5"/>
  <c r="AG85" i="3"/>
  <c r="R85" i="5" s="1"/>
  <c r="M86" i="6"/>
  <c r="AN86" i="3"/>
  <c r="N86" i="6" s="1"/>
  <c r="H96" i="4"/>
  <c r="M96" i="3"/>
  <c r="I96" i="4" s="1"/>
  <c r="Q84" i="5"/>
  <c r="AG84" i="3"/>
  <c r="R84" i="5" s="1"/>
  <c r="Q33" i="5"/>
  <c r="AG33" i="3"/>
  <c r="R33" i="5" s="1"/>
  <c r="G63" i="5"/>
  <c r="G63" i="6"/>
  <c r="G96" i="5"/>
  <c r="G96" i="6"/>
  <c r="G77" i="5"/>
  <c r="G77" i="6"/>
  <c r="G48" i="6"/>
  <c r="G48" i="5"/>
  <c r="H64" i="4"/>
  <c r="M64" i="3"/>
  <c r="I64" i="4" s="1"/>
  <c r="G26" i="6"/>
  <c r="G26" i="5"/>
  <c r="Q38" i="5"/>
  <c r="AG38" i="3"/>
  <c r="R38" i="5" s="1"/>
  <c r="H78" i="4"/>
  <c r="M78" i="3"/>
  <c r="I78" i="4" s="1"/>
  <c r="G35" i="6"/>
  <c r="G35" i="5"/>
  <c r="M49" i="6"/>
  <c r="AN49" i="3"/>
  <c r="N49" i="6" s="1"/>
  <c r="G50" i="6"/>
  <c r="G50" i="5"/>
  <c r="H7" i="4"/>
  <c r="M7" i="3"/>
  <c r="I7" i="4" s="1"/>
  <c r="Q30" i="5"/>
  <c r="AG30" i="3"/>
  <c r="R30" i="5" s="1"/>
  <c r="H86" i="4"/>
  <c r="M86" i="3"/>
  <c r="I86" i="4" s="1"/>
  <c r="M22" i="6"/>
  <c r="AN22" i="3"/>
  <c r="N22" i="6" s="1"/>
  <c r="G47" i="6"/>
  <c r="G47" i="5"/>
  <c r="G11" i="6"/>
  <c r="G11" i="5"/>
  <c r="M90" i="6"/>
  <c r="AN90" i="3"/>
  <c r="N90" i="6" s="1"/>
  <c r="G79" i="6"/>
  <c r="G79" i="5"/>
  <c r="H77" i="4"/>
  <c r="M77" i="3"/>
  <c r="I77" i="4" s="1"/>
  <c r="H19" i="4"/>
  <c r="M19" i="3"/>
  <c r="I19" i="4" s="1"/>
  <c r="M68" i="3"/>
  <c r="I68" i="4" s="1"/>
  <c r="H68" i="4"/>
  <c r="M94" i="6"/>
  <c r="AN94" i="3"/>
  <c r="N94" i="6" s="1"/>
  <c r="Q77" i="5"/>
  <c r="AG77" i="3"/>
  <c r="R77" i="5" s="1"/>
  <c r="H48" i="4"/>
  <c r="M48" i="3"/>
  <c r="I48" i="4" s="1"/>
  <c r="G64" i="5"/>
  <c r="G64" i="6"/>
  <c r="G78" i="5"/>
  <c r="G78" i="6"/>
  <c r="H35" i="4"/>
  <c r="M35" i="3"/>
  <c r="I35" i="4" s="1"/>
  <c r="M55" i="6"/>
  <c r="AN55" i="3"/>
  <c r="N55" i="6" s="1"/>
  <c r="Q50" i="5"/>
  <c r="AG50" i="3"/>
  <c r="R50" i="5" s="1"/>
  <c r="M51" i="6"/>
  <c r="AN51" i="3"/>
  <c r="N51" i="6" s="1"/>
  <c r="M71" i="6"/>
  <c r="AN71" i="3"/>
  <c r="N71" i="6" s="1"/>
  <c r="G7" i="6"/>
  <c r="G7" i="5"/>
  <c r="G86" i="6"/>
  <c r="G86" i="5"/>
  <c r="Q34" i="5"/>
  <c r="AG34" i="3"/>
  <c r="R34" i="5" s="1"/>
  <c r="Q59" i="5"/>
  <c r="AG59" i="3"/>
  <c r="R59" i="5" s="1"/>
  <c r="H97" i="4"/>
  <c r="M97" i="3"/>
  <c r="I97" i="4" s="1"/>
  <c r="Q13" i="5"/>
  <c r="AG13" i="3"/>
  <c r="R13" i="5" s="1"/>
  <c r="H69" i="4"/>
  <c r="M69" i="3"/>
  <c r="I69" i="4" s="1"/>
  <c r="H63" i="4"/>
  <c r="M63" i="3"/>
  <c r="I63" i="4" s="1"/>
  <c r="Q87" i="5"/>
  <c r="AG87" i="3"/>
  <c r="R87" i="5" s="1"/>
  <c r="G69" i="6"/>
  <c r="G69" i="5"/>
  <c r="H5" i="4"/>
  <c r="M5" i="3"/>
  <c r="I5" i="4" s="1"/>
  <c r="Q71" i="5"/>
  <c r="AG71" i="3"/>
  <c r="R71" i="5" s="1"/>
  <c r="H34" i="4"/>
  <c r="M34" i="3"/>
  <c r="I34" i="4" s="1"/>
  <c r="H67" i="4"/>
  <c r="M67" i="3"/>
  <c r="I67" i="4" s="1"/>
  <c r="G19" i="5"/>
  <c r="G19" i="6"/>
  <c r="G5" i="5"/>
  <c r="G5" i="6"/>
  <c r="G34" i="6"/>
  <c r="G34" i="5"/>
  <c r="H73" i="4"/>
  <c r="M73" i="3"/>
  <c r="I73" i="4" s="1"/>
  <c r="G68" i="5"/>
  <c r="G68" i="6"/>
  <c r="M41" i="6"/>
  <c r="AN41" i="3"/>
  <c r="N41" i="6" s="1"/>
  <c r="Q92" i="5"/>
  <c r="AG92" i="3"/>
  <c r="R92" i="5" s="1"/>
  <c r="Q4" i="5"/>
  <c r="AG4" i="3"/>
  <c r="R4" i="5" s="1"/>
  <c r="Q47" i="5"/>
  <c r="AG47" i="3"/>
  <c r="R47" i="5" s="1"/>
  <c r="M76" i="6"/>
  <c r="AN76" i="3"/>
  <c r="N76" i="6" s="1"/>
  <c r="Q74" i="5"/>
  <c r="AG74" i="3"/>
  <c r="R74" i="5" s="1"/>
  <c r="Q60" i="5"/>
  <c r="AG60" i="3"/>
  <c r="R60" i="5" s="1"/>
  <c r="Q90" i="5"/>
  <c r="AG90" i="3"/>
  <c r="R90" i="5" s="1"/>
  <c r="M50" i="6"/>
  <c r="AN50" i="3"/>
  <c r="N50" i="6" s="1"/>
  <c r="G67" i="6"/>
  <c r="G67" i="5"/>
  <c r="M33" i="6"/>
  <c r="AN33" i="3"/>
  <c r="N33" i="6" s="1"/>
  <c r="H45" i="4"/>
  <c r="M45" i="3"/>
  <c r="I45" i="4" s="1"/>
  <c r="M9" i="6"/>
  <c r="AN9" i="3"/>
  <c r="N9" i="6" s="1"/>
  <c r="H8" i="4"/>
  <c r="M8" i="3"/>
  <c r="I8" i="4" s="1"/>
  <c r="M16" i="6"/>
  <c r="AN16" i="3"/>
  <c r="N16" i="6" s="1"/>
  <c r="Q14" i="5"/>
  <c r="AG14" i="3"/>
  <c r="R14" i="5" s="1"/>
  <c r="G55" i="5"/>
  <c r="G55" i="6"/>
  <c r="Q91" i="5"/>
  <c r="AG91" i="3"/>
  <c r="R91" i="5" s="1"/>
  <c r="G46" i="6"/>
  <c r="G46" i="5"/>
  <c r="M28" i="6"/>
  <c r="AN28" i="3"/>
  <c r="N28" i="6" s="1"/>
  <c r="G73" i="5"/>
  <c r="G73" i="6"/>
  <c r="M20" i="6"/>
  <c r="AN20" i="3"/>
  <c r="N20" i="6" s="1"/>
  <c r="M44" i="6"/>
  <c r="AN44" i="3"/>
  <c r="N44" i="6" s="1"/>
  <c r="M54" i="6"/>
  <c r="AN54" i="3"/>
  <c r="N54" i="6" s="1"/>
  <c r="M39" i="6"/>
  <c r="AN39" i="3"/>
  <c r="N39" i="6" s="1"/>
  <c r="Q48" i="5"/>
  <c r="AG48" i="3"/>
  <c r="R48" i="5" s="1"/>
  <c r="M12" i="6"/>
  <c r="AN12" i="3"/>
  <c r="N12" i="6" s="1"/>
  <c r="H52" i="4"/>
  <c r="M52" i="3"/>
  <c r="I52" i="4" s="1"/>
  <c r="H56" i="4"/>
  <c r="M56" i="3"/>
  <c r="I56" i="4" s="1"/>
  <c r="M83" i="6"/>
  <c r="AN83" i="3"/>
  <c r="N83" i="6" s="1"/>
  <c r="H23" i="4"/>
  <c r="M23" i="3"/>
  <c r="I23" i="4" s="1"/>
  <c r="Q63" i="5"/>
  <c r="AG63" i="3"/>
  <c r="R63" i="5" s="1"/>
  <c r="Q89" i="5"/>
  <c r="AG89" i="3"/>
  <c r="R89" i="5" s="1"/>
  <c r="G94" i="6"/>
  <c r="G94" i="5"/>
  <c r="Q65" i="5"/>
  <c r="AG65" i="3"/>
  <c r="R65" i="5" s="1"/>
  <c r="Q78" i="5"/>
  <c r="AG78" i="3"/>
  <c r="R78" i="5" s="1"/>
  <c r="H12" i="4"/>
  <c r="M12" i="3"/>
  <c r="I12" i="4" s="1"/>
  <c r="G52" i="5"/>
  <c r="G52" i="6"/>
  <c r="G56" i="5"/>
  <c r="G56" i="6"/>
  <c r="G45" i="5"/>
  <c r="G45" i="6"/>
  <c r="M63" i="6"/>
  <c r="AN63" i="3"/>
  <c r="N63" i="6" s="1"/>
  <c r="G8" i="6"/>
  <c r="G8" i="5"/>
  <c r="Q9" i="5"/>
  <c r="AG9" i="3"/>
  <c r="R9" i="5" s="1"/>
  <c r="Q12" i="5"/>
  <c r="AG12" i="3"/>
  <c r="R12" i="5" s="1"/>
  <c r="H60" i="4"/>
  <c r="M60" i="3"/>
  <c r="I60" i="4" s="1"/>
</calcChain>
</file>

<file path=xl/sharedStrings.xml><?xml version="1.0" encoding="utf-8"?>
<sst xmlns="http://schemas.openxmlformats.org/spreadsheetml/2006/main" count="1040" uniqueCount="350">
  <si>
    <t>Purpose</t>
  </si>
  <si>
    <t>Provides a clean historical input book for Stage 1, PED, light RUC and heavy RUC model inputs. The workbook starts with source values and uses simple Excel formulas for real and log transformations.</t>
  </si>
  <si>
    <t>Scope</t>
  </si>
  <si>
    <t>Historical data only. The last row is 2026Q1 because CPI and fuel prices are available for that quarter; there are no forecasts or later-year rows.</t>
  </si>
  <si>
    <t>Design principle</t>
  </si>
  <si>
    <t>Source values are entered in Stage 1 Inputs; derived fields use formulas. Missing or unavailable numeric values are stored as zero so the model sheets stay consistent.</t>
  </si>
  <si>
    <t>CPI anchor</t>
  </si>
  <si>
    <t>2026Q1 CPI index = 1339</t>
  </si>
  <si>
    <t>Deflators!B2:B3</t>
  </si>
  <si>
    <t>Used for petrol, diesel and RUC price rebasing.</t>
  </si>
  <si>
    <t>GDP anchor</t>
  </si>
  <si>
    <t>2025Q4 GDP deflator = 1561</t>
  </si>
  <si>
    <t>Deflators!B4:B5</t>
  </si>
  <si>
    <t>Used for GDP rebasing because the GDP deflator is not yet available for 2026Q1.</t>
  </si>
  <si>
    <t>PED model inputs</t>
  </si>
  <si>
    <t>Includes petrol price, real GDP per capita, unemployment, VKT per capita, total VKT, trend and dummies.</t>
  </si>
  <si>
    <t>PED Inputs</t>
  </si>
  <si>
    <t>Linked to Stage 1 Inputs.</t>
  </si>
  <si>
    <t>Light RUC model inputs</t>
  </si>
  <si>
    <t>Includes real GDP, diesel price, light RUC price, lagged light RUC price and dummies.</t>
  </si>
  <si>
    <t>Light RUC Inputs</t>
  </si>
  <si>
    <t>Heavy RUC model inputs</t>
  </si>
  <si>
    <t>Includes real GDP, heavy RUC price, lead heavy RUC price and dummies. Diesel is not used by the heavy RUC model sheet.</t>
  </si>
  <si>
    <t>Heavy RUC Inputs</t>
  </si>
  <si>
    <t>Deflator anchor points</t>
  </si>
  <si>
    <t>CPI anchor quarter</t>
  </si>
  <si>
    <t>2026Q1</t>
  </si>
  <si>
    <t>CPI anchor index</t>
  </si>
  <si>
    <t>GDP anchor quarter</t>
  </si>
  <si>
    <t>2025Q4</t>
  </si>
  <si>
    <t>GDP anchor deflator</t>
  </si>
  <si>
    <t>Build note</t>
  </si>
  <si>
    <t>CPI and fuel series are carried through 2026Q1. GDP, population and labour inputs stop at their latest official quarter. No forecasts are included.</t>
  </si>
  <si>
    <t>Quarter</t>
  </si>
  <si>
    <t>Period</t>
  </si>
  <si>
    <t>CPI index</t>
  </si>
  <si>
    <t>CPI rebasing factor</t>
  </si>
  <si>
    <t>GDP deflator (seasonally adjusted)</t>
  </si>
  <si>
    <t>GDP rebasing factor</t>
  </si>
  <si>
    <t>Data status</t>
  </si>
  <si>
    <t>Notes</t>
  </si>
  <si>
    <t>2002Q1</t>
  </si>
  <si>
    <t>Mar 2002</t>
  </si>
  <si>
    <t>Official CPI and GDP deflator</t>
  </si>
  <si>
    <t>No special note</t>
  </si>
  <si>
    <t>2002Q2</t>
  </si>
  <si>
    <t>Jun 2002</t>
  </si>
  <si>
    <t>2002Q3</t>
  </si>
  <si>
    <t>Sep 2002</t>
  </si>
  <si>
    <t>2002Q4</t>
  </si>
  <si>
    <t>Dec 2002</t>
  </si>
  <si>
    <t>2003Q1</t>
  </si>
  <si>
    <t>Mar 2003</t>
  </si>
  <si>
    <t>2003Q2</t>
  </si>
  <si>
    <t>Jun 2003</t>
  </si>
  <si>
    <t>2003Q3</t>
  </si>
  <si>
    <t>Sep 2003</t>
  </si>
  <si>
    <t>2003Q4</t>
  </si>
  <si>
    <t>Dec 2003</t>
  </si>
  <si>
    <t>2004Q1</t>
  </si>
  <si>
    <t>Mar 2004</t>
  </si>
  <si>
    <t>2004Q2</t>
  </si>
  <si>
    <t>Jun 2004</t>
  </si>
  <si>
    <t>2004Q3</t>
  </si>
  <si>
    <t>Sep 2004</t>
  </si>
  <si>
    <t>2004Q4</t>
  </si>
  <si>
    <t>Dec 2004</t>
  </si>
  <si>
    <t>2005Q1</t>
  </si>
  <si>
    <t>Mar 2005</t>
  </si>
  <si>
    <t>2005Q2</t>
  </si>
  <si>
    <t>Jun 2005</t>
  </si>
  <si>
    <t>2005Q3</t>
  </si>
  <si>
    <t>Sep 2005</t>
  </si>
  <si>
    <t>2005Q4</t>
  </si>
  <si>
    <t>Dec 2005</t>
  </si>
  <si>
    <t>2006Q1</t>
  </si>
  <si>
    <t>Mar 2006</t>
  </si>
  <si>
    <t>2006Q2</t>
  </si>
  <si>
    <t>Jun 2006</t>
  </si>
  <si>
    <t>2006Q3</t>
  </si>
  <si>
    <t>Sep 2006</t>
  </si>
  <si>
    <t>2006Q4</t>
  </si>
  <si>
    <t>Dec 2006</t>
  </si>
  <si>
    <t>2007Q1</t>
  </si>
  <si>
    <t>Mar 2007</t>
  </si>
  <si>
    <t>2007Q2</t>
  </si>
  <si>
    <t>Jun 2007</t>
  </si>
  <si>
    <t>2007Q3</t>
  </si>
  <si>
    <t>Sep 2007</t>
  </si>
  <si>
    <t>2007Q4</t>
  </si>
  <si>
    <t>Dec 2007</t>
  </si>
  <si>
    <t>2008Q1</t>
  </si>
  <si>
    <t>Mar 2008</t>
  </si>
  <si>
    <t>2008Q2</t>
  </si>
  <si>
    <t>Jun 2008</t>
  </si>
  <si>
    <t>2008Q3</t>
  </si>
  <si>
    <t>Sep 2008</t>
  </si>
  <si>
    <t>2008Q4</t>
  </si>
  <si>
    <t>Dec 2008</t>
  </si>
  <si>
    <t>2009Q1</t>
  </si>
  <si>
    <t>Mar 2009</t>
  </si>
  <si>
    <t>2009Q2</t>
  </si>
  <si>
    <t>Jun 2009</t>
  </si>
  <si>
    <t>2009Q3</t>
  </si>
  <si>
    <t>Sep 2009</t>
  </si>
  <si>
    <t>2009Q4</t>
  </si>
  <si>
    <t>Dec 2009</t>
  </si>
  <si>
    <t>2010Q1</t>
  </si>
  <si>
    <t>Mar 2010</t>
  </si>
  <si>
    <t>2010Q2</t>
  </si>
  <si>
    <t>Jun 2010</t>
  </si>
  <si>
    <t>2010Q3</t>
  </si>
  <si>
    <t>Sep 2010</t>
  </si>
  <si>
    <t>2010Q4</t>
  </si>
  <si>
    <t>Dec 2010</t>
  </si>
  <si>
    <t>2011Q1</t>
  </si>
  <si>
    <t>Mar 2011</t>
  </si>
  <si>
    <t>2011Q2</t>
  </si>
  <si>
    <t>Jun 2011</t>
  </si>
  <si>
    <t>2011Q3</t>
  </si>
  <si>
    <t>Sep 2011</t>
  </si>
  <si>
    <t>2011Q4</t>
  </si>
  <si>
    <t>Dec 2011</t>
  </si>
  <si>
    <t>2012Q1</t>
  </si>
  <si>
    <t>Mar 2012</t>
  </si>
  <si>
    <t>2012Q2</t>
  </si>
  <si>
    <t>Jun 2012</t>
  </si>
  <si>
    <t>2012Q3</t>
  </si>
  <si>
    <t>Sep 2012</t>
  </si>
  <si>
    <t>2012Q4</t>
  </si>
  <si>
    <t>Dec 2012</t>
  </si>
  <si>
    <t>2013Q1</t>
  </si>
  <si>
    <t>Mar 2013</t>
  </si>
  <si>
    <t>2013Q2</t>
  </si>
  <si>
    <t>Jun 2013</t>
  </si>
  <si>
    <t>2013Q3</t>
  </si>
  <si>
    <t>Sep 2013</t>
  </si>
  <si>
    <t>2013Q4</t>
  </si>
  <si>
    <t>Dec 2013</t>
  </si>
  <si>
    <t>2014Q1</t>
  </si>
  <si>
    <t>Mar 2014</t>
  </si>
  <si>
    <t>2014Q2</t>
  </si>
  <si>
    <t>Jun 2014</t>
  </si>
  <si>
    <t>2014Q3</t>
  </si>
  <si>
    <t>Sep 2014</t>
  </si>
  <si>
    <t>2014Q4</t>
  </si>
  <si>
    <t>Dec 2014</t>
  </si>
  <si>
    <t>2015Q1</t>
  </si>
  <si>
    <t>Mar 2015</t>
  </si>
  <si>
    <t>2015Q2</t>
  </si>
  <si>
    <t>Jun 2015</t>
  </si>
  <si>
    <t>2015Q3</t>
  </si>
  <si>
    <t>Sep 2015</t>
  </si>
  <si>
    <t>2015Q4</t>
  </si>
  <si>
    <t>Dec 2015</t>
  </si>
  <si>
    <t>2016Q1</t>
  </si>
  <si>
    <t>Mar 2016</t>
  </si>
  <si>
    <t>2016Q2</t>
  </si>
  <si>
    <t>Jun 2016</t>
  </si>
  <si>
    <t>2016Q3</t>
  </si>
  <si>
    <t>Sep 2016</t>
  </si>
  <si>
    <t>2016Q4</t>
  </si>
  <si>
    <t>Dec 2016</t>
  </si>
  <si>
    <t>2017Q1</t>
  </si>
  <si>
    <t>Mar 2017</t>
  </si>
  <si>
    <t>2017Q2</t>
  </si>
  <si>
    <t>Jun 2017</t>
  </si>
  <si>
    <t>2017Q3</t>
  </si>
  <si>
    <t>Sep 2017</t>
  </si>
  <si>
    <t>2017Q4</t>
  </si>
  <si>
    <t>Dec 2017</t>
  </si>
  <si>
    <t>2018Q1</t>
  </si>
  <si>
    <t>Mar 2018</t>
  </si>
  <si>
    <t>2018Q2</t>
  </si>
  <si>
    <t>Jun 2018</t>
  </si>
  <si>
    <t>2018Q3</t>
  </si>
  <si>
    <t>Sep 2018</t>
  </si>
  <si>
    <t>2018Q4</t>
  </si>
  <si>
    <t>Dec 2018</t>
  </si>
  <si>
    <t>2019Q1</t>
  </si>
  <si>
    <t>Mar 2019</t>
  </si>
  <si>
    <t>2019Q2</t>
  </si>
  <si>
    <t>Jun 2019</t>
  </si>
  <si>
    <t>2019Q3</t>
  </si>
  <si>
    <t>Sep 2019</t>
  </si>
  <si>
    <t>2019Q4</t>
  </si>
  <si>
    <t>Dec 2019</t>
  </si>
  <si>
    <t>2020Q1</t>
  </si>
  <si>
    <t>Mar 2020</t>
  </si>
  <si>
    <t>2020Q2</t>
  </si>
  <si>
    <t>Jun 2020</t>
  </si>
  <si>
    <t>2020Q3</t>
  </si>
  <si>
    <t>Sep 2020</t>
  </si>
  <si>
    <t>2020Q4</t>
  </si>
  <si>
    <t>Dec 2020</t>
  </si>
  <si>
    <t>2021Q1</t>
  </si>
  <si>
    <t>Mar 2021</t>
  </si>
  <si>
    <t>2021Q2</t>
  </si>
  <si>
    <t>Jun 2021</t>
  </si>
  <si>
    <t>2021Q3</t>
  </si>
  <si>
    <t>Sep 2021</t>
  </si>
  <si>
    <t>2021Q4</t>
  </si>
  <si>
    <t>Dec 2021</t>
  </si>
  <si>
    <t>2022Q1</t>
  </si>
  <si>
    <t>Mar 2022</t>
  </si>
  <si>
    <t>2022Q2</t>
  </si>
  <si>
    <t>Jun 2022</t>
  </si>
  <si>
    <t>2022Q3</t>
  </si>
  <si>
    <t>Sep 2022</t>
  </si>
  <si>
    <t>2022Q4</t>
  </si>
  <si>
    <t>Dec 2022</t>
  </si>
  <si>
    <t>2023Q1</t>
  </si>
  <si>
    <t>Mar 2023</t>
  </si>
  <si>
    <t>2023Q2</t>
  </si>
  <si>
    <t>Jun 2023</t>
  </si>
  <si>
    <t>2023Q3</t>
  </si>
  <si>
    <t>Sep 2023</t>
  </si>
  <si>
    <t>2023Q4</t>
  </si>
  <si>
    <t>Dec 2023</t>
  </si>
  <si>
    <t>2024Q1</t>
  </si>
  <si>
    <t>Mar 2024</t>
  </si>
  <si>
    <t>2024Q2</t>
  </si>
  <si>
    <t>Jun 2024</t>
  </si>
  <si>
    <t>2024Q3</t>
  </si>
  <si>
    <t>Sep 2024</t>
  </si>
  <si>
    <t>2024Q4</t>
  </si>
  <si>
    <t>Dec 2024</t>
  </si>
  <si>
    <t>2025Q1</t>
  </si>
  <si>
    <t>Mar 2025</t>
  </si>
  <si>
    <t>2025Q2</t>
  </si>
  <si>
    <t>Jun 2025</t>
  </si>
  <si>
    <t>2025Q3</t>
  </si>
  <si>
    <t>Sep 2025</t>
  </si>
  <si>
    <t>Dec 2025</t>
  </si>
  <si>
    <t>Latest official GDP deflator anchor quarter.</t>
  </si>
  <si>
    <t>Mar 2026</t>
  </si>
  <si>
    <t>Official CPI only</t>
  </si>
  <si>
    <t>CPI anchor quarter; GDP deflator not yet released.</t>
  </si>
  <si>
    <t>Nominal GDP (SA, NZD)</t>
  </si>
  <si>
    <t>Population</t>
  </si>
  <si>
    <t>Nominal GDP per capita (NZD)</t>
  </si>
  <si>
    <t>Real GDP (SA, NZD)</t>
  </si>
  <si>
    <t>Real GDP per capita (NZD)</t>
  </si>
  <si>
    <t>Log real GDP</t>
  </si>
  <si>
    <t>Log real GDP per capita</t>
  </si>
  <si>
    <t>Petrol price (nominal, cents/litre)</t>
  </si>
  <si>
    <t>Petrol price (real, cents/litre)</t>
  </si>
  <si>
    <t>Log real petrol price</t>
  </si>
  <si>
    <t>Diesel price (nominal, cents/litre)</t>
  </si>
  <si>
    <t>Diesel price (real, cents/litre)</t>
  </si>
  <si>
    <t>Log real diesel price</t>
  </si>
  <si>
    <t>Light petrol VKT per capita (km)</t>
  </si>
  <si>
    <t>Light petrol VKT total (km)</t>
  </si>
  <si>
    <t>Log VKT per capita</t>
  </si>
  <si>
    <t>Log total VKT</t>
  </si>
  <si>
    <t>Unemployment (%)</t>
  </si>
  <si>
    <t>Unemployment rate</t>
  </si>
  <si>
    <t>Log unemployment rate</t>
  </si>
  <si>
    <t>Light RUC revenue (NZD)</t>
  </si>
  <si>
    <t>Light RUC net km</t>
  </si>
  <si>
    <t>Light RUC price (nominal, NZD/1,000 km)</t>
  </si>
  <si>
    <t>Light RUC price (real, NZD/1,000 km)</t>
  </si>
  <si>
    <t>Log real light RUC price</t>
  </si>
  <si>
    <t>Lagged light RUC price (real, NZD/1,000 km)</t>
  </si>
  <si>
    <t>Log lagged light RUC price</t>
  </si>
  <si>
    <t>Heavy RUC revenue (NZD)</t>
  </si>
  <si>
    <t>Heavy RUC net km</t>
  </si>
  <si>
    <t>Heavy RUC price (nominal, NZD/1,000 km)</t>
  </si>
  <si>
    <t>Heavy RUC price (real, NZD/1,000 km)</t>
  </si>
  <si>
    <t>Log real heavy RUC price</t>
  </si>
  <si>
    <t>Lead heavy RUC price (real, NZD/1,000 km)</t>
  </si>
  <si>
    <t>Log lead heavy RUC price</t>
  </si>
  <si>
    <t>Trend index</t>
  </si>
  <si>
    <t>Log trend index</t>
  </si>
  <si>
    <t>Post-2011 dummy</t>
  </si>
  <si>
    <t>2020 dummy</t>
  </si>
  <si>
    <t>Post-2020 dummy</t>
  </si>
  <si>
    <t>Q2 dummy</t>
  </si>
  <si>
    <t>Q3 dummy</t>
  </si>
  <si>
    <t>Q4 dummy</t>
  </si>
  <si>
    <t>Post-2011 × log trend</t>
  </si>
  <si>
    <t>Historical official/source data</t>
  </si>
  <si>
    <t>Latest full official quarter for GDP, population, labour and RUC/VKT inputs. Fuel prices refreshed from Stats NZ CPI detailed table.</t>
  </si>
  <si>
    <t>Partial official CPI and fuel update</t>
  </si>
  <si>
    <t>CPI and fuel values are official; GDP, population, labour, VKT and RUC volume/revenue are not yet released and remain zero.</t>
  </si>
  <si>
    <t>Area</t>
  </si>
  <si>
    <t>Item</t>
  </si>
  <si>
    <t>Calculation</t>
  </si>
  <si>
    <t>Why it is included</t>
  </si>
  <si>
    <t>Deflators</t>
  </si>
  <si>
    <t>CPI anchor index / CPI index</t>
  </si>
  <si>
    <t>Converts nominal price series into real-price terms.</t>
  </si>
  <si>
    <t>GDP anchor deflator / GDP deflator</t>
  </si>
  <si>
    <t>Converts nominal GDP into real GDP terms.</t>
  </si>
  <si>
    <t>Stage 1 Inputs</t>
  </si>
  <si>
    <t>Nominal GDP / population</t>
  </si>
  <si>
    <t>Creates the source per-capita GDP measure before rebasing.</t>
  </si>
  <si>
    <t>Nominal GDP × GDP rebasing factor</t>
  </si>
  <si>
    <t>Rebases nominal GDP with the GDP deflator.</t>
  </si>
  <si>
    <t>Real GDP / population</t>
  </si>
  <si>
    <t>Real GDP per capita for the PED model.</t>
  </si>
  <si>
    <t>Nominal petrol price × CPI rebasing factor</t>
  </si>
  <si>
    <t>Real petrol price in cents per litre.</t>
  </si>
  <si>
    <t>Nominal diesel price × CPI rebasing factor</t>
  </si>
  <si>
    <t>Real diesel price in cents per litre.</t>
  </si>
  <si>
    <t>Light petrol VKT per capita × population</t>
  </si>
  <si>
    <t>Converts VKT per capita to total VKT.</t>
  </si>
  <si>
    <t>Unemployment % / 100</t>
  </si>
  <si>
    <t>Converts unemployment percentage to a model-ready rate.</t>
  </si>
  <si>
    <t>Light RUC revenue / light RUC net km × 1,000</t>
  </si>
  <si>
    <t>Derives the nominal average light RUC price.</t>
  </si>
  <si>
    <t>Heavy RUC revenue / heavy RUC net km × 1,000</t>
  </si>
  <si>
    <t>Derives the nominal average heavy RUC price.</t>
  </si>
  <si>
    <t>Natural log columns</t>
  </si>
  <si>
    <t>IFERROR(LN(value), 0)</t>
  </si>
  <si>
    <t>Applies natural logs while returning zero for unavailable zero-valued inputs.</t>
  </si>
  <si>
    <t>Lagged light RUC price</t>
  </si>
  <si>
    <t>Previous row's real light RUC price</t>
  </si>
  <si>
    <t>Creates the lagged light RUC price term.</t>
  </si>
  <si>
    <t>Lead heavy RUC price</t>
  </si>
  <si>
    <t>Next row's real heavy RUC price</t>
  </si>
  <si>
    <t>Creates the lead heavy RUC price term.</t>
  </si>
  <si>
    <t>Source</t>
  </si>
  <si>
    <t>URL / file</t>
  </si>
  <si>
    <t>Used for</t>
  </si>
  <si>
    <t>Latest period used</t>
  </si>
  <si>
    <t>CPI and GDP deflator</t>
  </si>
  <si>
    <t>Reserve Bank of New Zealand M1, sourced from Stats NZ/RBNZ</t>
  </si>
  <si>
    <t>https://www.rbnz.govt.nz/statistics/series/economic-indicators/prices</t>
  </si>
  <si>
    <t>CPI index and GDP deflator</t>
  </si>
  <si>
    <t>CPI 2026Q1; GDP deflator 2025Q4</t>
  </si>
  <si>
    <t>CPI is used only as a current-price rebasing index; no legacy CPI rebasing factor is retained.</t>
  </si>
  <si>
    <t>Nominal GDP</t>
  </si>
  <si>
    <t>Reserve Bank of New Zealand M5, sourced from Stats NZ</t>
  </si>
  <si>
    <t>https://www.rbnz.govt.nz/statistics/series/economic-indicators/gross-domestic-product</t>
  </si>
  <si>
    <t>Nominal GDP seasonally adjusted</t>
  </si>
  <si>
    <t>Used as the hard-coded nominal GDP input.</t>
  </si>
  <si>
    <t>Reserve Bank of New Zealand M12, sourced from Stats NZ</t>
  </si>
  <si>
    <t>https://www.rbnz.govt.nz/statistics/series/economic-indicators/population-and-migration</t>
  </si>
  <si>
    <t>Estimated resident population</t>
  </si>
  <si>
    <t>Population is not rebased or deflated.</t>
  </si>
  <si>
    <t>Labour market</t>
  </si>
  <si>
    <t>Reserve Bank of New Zealand M9, sourced from Stats NZ</t>
  </si>
  <si>
    <t>https://www.rbnz.govt.nz/statistics/series/economic-indicators/labour-market</t>
  </si>
  <si>
    <t>Used for PED model input.</t>
  </si>
  <si>
    <t>Fuel prices</t>
  </si>
  <si>
    <t>Stats NZ CPI detailed tables, March quarter</t>
  </si>
  <si>
    <t>https://www.stats.govt.nz/assets/Uploads/Consumers-price-index/Consumers-price-index-March-2026-quarter/Download-data/consumers-price-index-march-2026-quarter.xlsx</t>
  </si>
  <si>
    <t>Petrol 91 and diesel nominal prices</t>
  </si>
  <si>
    <t>Table 4 values are dollars per 10 litres, converted to cents per litre.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</si>
</sst>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5" x14ac:knownFonts="1">
    <font>
      <sz val="11"/>
      <name val="Carlito"/>
    </font>
    <font>
      <b/>
      <sz val="10"/>
      <color rgb="FF111827"/>
      <name val="Aptos"/>
      <family val="2"/>
    </font>
    <font>
      <sz val="10"/>
      <color rgb="FF111827"/>
      <name val="Aptos"/>
      <family val="2"/>
    </font>
    <font>
      <b/>
      <sz val="10"/>
      <color rgb="FF1F2937"/>
      <name val="Aptos"/>
      <family val="2"/>
    </font>
    <font>
      <b/>
      <sz val="13"/>
      <color rgb="FF111827"/>
      <name val="Aptos"/>
      <family val="2"/>
    </font>
  </fonts>
  <fills count="4">
    <fill>
      <patternFill patternType="none"/>
    </fill>
    <fill>
      <patternFill patternType="gray125"/>
    </fill>
    <fill>
      <patternFill patternType="solid">
        <fgColor rgb="FFF3F7FB"/>
      </patternFill>
    </fill>
    <fill>
      <patternFill patternType="solid">
        <fgColor rgb="FFEAF2F8"/>
      </patternFill>
    </fill>
  </fills>
  <borders count="12">
    <border>
      <left/>
      <right/>
      <top/>
      <bottom/>
      <diagonal/>
    </border>
    <border>
      <left style="thin">
        <color rgb="FFD7DEE8"/>
      </left>
      <right/>
      <top style="thin">
        <color rgb="FFD7DEE8"/>
      </top>
      <bottom/>
      <diagonal/>
    </border>
    <border>
      <left/>
      <right/>
      <top style="thin">
        <color rgb="FFD7DEE8"/>
      </top>
      <bottom/>
      <diagonal/>
    </border>
    <border>
      <left/>
      <right style="thin">
        <color rgb="FFD7DEE8"/>
      </right>
      <top style="thin">
        <color rgb="FFD7DEE8"/>
      </top>
      <bottom/>
      <diagonal/>
    </border>
    <border>
      <left style="thin">
        <color rgb="FFD7DEE8"/>
      </left>
      <right/>
      <top/>
      <bottom/>
      <diagonal/>
    </border>
    <border>
      <left/>
      <right style="thin">
        <color rgb="FFD7DEE8"/>
      </right>
      <top/>
      <bottom/>
      <diagonal/>
    </border>
    <border>
      <left style="thin">
        <color rgb="FFD7DEE8"/>
      </left>
      <right/>
      <top/>
      <bottom style="thin">
        <color rgb="FFD7DEE8"/>
      </bottom>
      <diagonal/>
    </border>
    <border>
      <left/>
      <right/>
      <top/>
      <bottom style="thin">
        <color rgb="FFD7DEE8"/>
      </bottom>
      <diagonal/>
    </border>
    <border>
      <left/>
      <right style="thin">
        <color rgb="FFD7DEE8"/>
      </right>
      <top/>
      <bottom style="thin">
        <color rgb="FFD7DEE8"/>
      </bottom>
      <diagonal/>
    </border>
    <border>
      <left style="thin">
        <color rgb="FFD7DEE8"/>
      </left>
      <right/>
      <top style="thin">
        <color rgb="FFD7DEE8"/>
      </top>
      <bottom style="thin">
        <color rgb="FFD7DEE8"/>
      </bottom>
      <diagonal/>
    </border>
    <border>
      <left/>
      <right/>
      <top style="thin">
        <color rgb="FFD7DEE8"/>
      </top>
      <bottom style="thin">
        <color rgb="FFD7DEE8"/>
      </bottom>
      <diagonal/>
    </border>
    <border>
      <left/>
      <right style="thin">
        <color rgb="FFD7DEE8"/>
      </right>
      <top style="thin">
        <color rgb="FFD7DEE8"/>
      </top>
      <bottom style="thin">
        <color rgb="FFD7DEE8"/>
      </bottom>
      <diagonal/>
    </border>
  </borders>
  <cellStyleXfs count="1">
    <xf numFmtId="0" fontId="0" fillId="0" borderId="0"/>
  </cellStyleXfs>
  <cellXfs count="2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vertical="center" wrapText="1"/>
    </xf>
    <xf numFmtId="0" fontId="3" fillId="2" borderId="1" xfId="0" applyFont="1" applyFill="1" applyBorder="1" applyAlignment="1">
      <alignment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3" fillId="0" borderId="4" xfId="0" applyFont="1" applyBorder="1" applyAlignment="1">
      <alignment vertical="top" wrapText="1"/>
    </xf>
    <xf numFmtId="0" fontId="2" fillId="0" borderId="5" xfId="0" applyFont="1" applyBorder="1" applyAlignment="1">
      <alignment vertical="top" wrapText="1"/>
    </xf>
    <xf numFmtId="0" fontId="3"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164" fontId="2" fillId="0" borderId="0" xfId="0" applyNumberFormat="1" applyFont="1" applyAlignment="1">
      <alignment vertical="center" wrapText="1"/>
    </xf>
    <xf numFmtId="0" fontId="4" fillId="2" borderId="0" xfId="0" applyFont="1" applyFill="1" applyAlignment="1">
      <alignment vertical="top" wrapText="1"/>
    </xf>
    <xf numFmtId="0" fontId="1" fillId="2" borderId="0" xfId="0" applyFont="1" applyFill="1" applyAlignment="1">
      <alignment vertical="top" wrapText="1"/>
    </xf>
    <xf numFmtId="0" fontId="3" fillId="3" borderId="0" xfId="0" applyFont="1" applyFill="1" applyAlignment="1">
      <alignment horizontal="center" vertical="center" wrapText="1"/>
    </xf>
    <xf numFmtId="3" fontId="2" fillId="0" borderId="0" xfId="0" applyNumberFormat="1" applyFont="1" applyAlignment="1">
      <alignment vertical="center" wrapText="1"/>
    </xf>
    <xf numFmtId="4" fontId="2" fillId="0" borderId="0" xfId="0" applyNumberFormat="1" applyFont="1" applyAlignment="1">
      <alignment vertical="center" wrapText="1"/>
    </xf>
    <xf numFmtId="165" fontId="2" fillId="0" borderId="0" xfId="0" applyNumberFormat="1" applyFont="1" applyAlignment="1">
      <alignment vertical="center" wrapText="1"/>
    </xf>
    <xf numFmtId="2" fontId="2" fillId="0" borderId="0" xfId="0" applyNumberFormat="1" applyFont="1" applyAlignment="1">
      <alignment vertical="center" wrapText="1"/>
    </xf>
    <xf numFmtId="1" fontId="2" fillId="0" borderId="0" xfId="0" applyNumberFormat="1" applyFont="1" applyAlignment="1">
      <alignment vertical="center" wrapText="1"/>
    </xf>
    <xf numFmtId="0" fontId="3" fillId="3" borderId="9"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3" fillId="3"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showGridLines="0" workbookViewId="0">
      <selection activeCell="D16" sqref="D16"/>
    </sheetView>
  </sheetViews>
  <sheetFormatPr defaultRowHeight="14.4" x14ac:dyDescent="0.3"/>
  <cols>
    <col min="1" max="1" width="22" customWidth="1"/>
    <col min="2" max="2" width="78" customWidth="1"/>
    <col min="3" max="3" width="24" customWidth="1"/>
    <col min="4" max="4" width="44" customWidth="1"/>
  </cols>
  <sheetData>
    <row r="1" spans="1:4" ht="42" customHeight="1" x14ac:dyDescent="0.3">
      <c r="A1" s="4" t="s">
        <v>0</v>
      </c>
      <c r="B1" s="5" t="s">
        <v>1</v>
      </c>
      <c r="C1" s="5"/>
      <c r="D1" s="6"/>
    </row>
    <row r="2" spans="1:4" ht="34.049999999999997" customHeight="1" x14ac:dyDescent="0.3">
      <c r="A2" s="7" t="s">
        <v>2</v>
      </c>
      <c r="B2" s="2" t="s">
        <v>3</v>
      </c>
      <c r="C2" s="2"/>
      <c r="D2" s="8"/>
    </row>
    <row r="3" spans="1:4" ht="34.049999999999997" customHeight="1" x14ac:dyDescent="0.3">
      <c r="A3" s="7" t="s">
        <v>4</v>
      </c>
      <c r="B3" s="2" t="s">
        <v>5</v>
      </c>
      <c r="C3" s="2"/>
      <c r="D3" s="8"/>
    </row>
    <row r="4" spans="1:4" ht="34.049999999999997" customHeight="1" x14ac:dyDescent="0.3">
      <c r="A4" s="7" t="s">
        <v>6</v>
      </c>
      <c r="B4" s="2" t="s">
        <v>7</v>
      </c>
      <c r="C4" s="2" t="s">
        <v>8</v>
      </c>
      <c r="D4" s="8" t="s">
        <v>9</v>
      </c>
    </row>
    <row r="5" spans="1:4" ht="34.049999999999997" customHeight="1" x14ac:dyDescent="0.3">
      <c r="A5" s="7" t="s">
        <v>10</v>
      </c>
      <c r="B5" s="2" t="s">
        <v>11</v>
      </c>
      <c r="C5" s="2" t="s">
        <v>12</v>
      </c>
      <c r="D5" s="8" t="s">
        <v>13</v>
      </c>
    </row>
    <row r="6" spans="1:4" ht="34.049999999999997" customHeight="1" x14ac:dyDescent="0.3">
      <c r="A6" s="7" t="s">
        <v>14</v>
      </c>
      <c r="B6" s="2" t="s">
        <v>15</v>
      </c>
      <c r="C6" s="2" t="s">
        <v>16</v>
      </c>
      <c r="D6" s="8" t="s">
        <v>17</v>
      </c>
    </row>
    <row r="7" spans="1:4" ht="34.049999999999997" customHeight="1" x14ac:dyDescent="0.3">
      <c r="A7" s="7" t="s">
        <v>18</v>
      </c>
      <c r="B7" s="2" t="s">
        <v>19</v>
      </c>
      <c r="C7" s="2" t="s">
        <v>20</v>
      </c>
      <c r="D7" s="8" t="s">
        <v>17</v>
      </c>
    </row>
    <row r="8" spans="1:4" ht="34.049999999999997" customHeight="1" x14ac:dyDescent="0.3">
      <c r="A8" s="9" t="s">
        <v>21</v>
      </c>
      <c r="B8" s="10" t="s">
        <v>22</v>
      </c>
      <c r="C8" s="10" t="s">
        <v>23</v>
      </c>
      <c r="D8" s="11"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5"/>
  <sheetViews>
    <sheetView showGridLines="0" workbookViewId="0"/>
  </sheetViews>
  <sheetFormatPr defaultRowHeight="14.4" x14ac:dyDescent="0.3"/>
  <cols>
    <col min="1" max="1" width="10" customWidth="1"/>
    <col min="2" max="2" width="12" customWidth="1"/>
    <col min="3" max="4" width="17" customWidth="1"/>
    <col min="5" max="5" width="24" customWidth="1"/>
    <col min="6" max="6" width="18" customWidth="1"/>
    <col min="7" max="8" width="28" customWidth="1"/>
  </cols>
  <sheetData>
    <row r="1" spans="1:8" ht="69.599999999999994" x14ac:dyDescent="0.3">
      <c r="A1" s="13" t="s">
        <v>24</v>
      </c>
      <c r="B1" s="14"/>
      <c r="C1" s="14"/>
      <c r="D1" s="14"/>
      <c r="E1" s="14"/>
      <c r="F1" s="14"/>
      <c r="G1" s="14"/>
      <c r="H1" s="14"/>
    </row>
    <row r="2" spans="1:8" ht="41.4" x14ac:dyDescent="0.3">
      <c r="A2" s="1" t="s">
        <v>25</v>
      </c>
      <c r="B2" s="2" t="s">
        <v>26</v>
      </c>
      <c r="C2" s="2"/>
      <c r="D2" s="2"/>
      <c r="E2" s="2"/>
      <c r="F2" s="2"/>
      <c r="G2" s="2"/>
      <c r="H2" s="2"/>
    </row>
    <row r="3" spans="1:8" ht="41.4" x14ac:dyDescent="0.3">
      <c r="A3" s="1" t="s">
        <v>27</v>
      </c>
      <c r="B3" s="2">
        <v>1339</v>
      </c>
      <c r="C3" s="2"/>
      <c r="D3" s="2"/>
      <c r="E3" s="2"/>
      <c r="F3" s="2"/>
      <c r="G3" s="2"/>
      <c r="H3" s="2"/>
    </row>
    <row r="4" spans="1:8" ht="41.4" x14ac:dyDescent="0.3">
      <c r="A4" s="1" t="s">
        <v>28</v>
      </c>
      <c r="B4" s="2" t="s">
        <v>29</v>
      </c>
      <c r="C4" s="2"/>
      <c r="D4" s="2"/>
      <c r="E4" s="2"/>
      <c r="F4" s="2"/>
      <c r="G4" s="2"/>
      <c r="H4" s="2"/>
    </row>
    <row r="5" spans="1:8" ht="41.4" x14ac:dyDescent="0.3">
      <c r="A5" s="1" t="s">
        <v>30</v>
      </c>
      <c r="B5" s="2">
        <v>1561</v>
      </c>
      <c r="C5" s="2"/>
      <c r="D5" s="2"/>
      <c r="E5" s="2"/>
      <c r="F5" s="2"/>
      <c r="G5" s="2"/>
      <c r="H5" s="2"/>
    </row>
    <row r="6" spans="1:8" ht="34.049999999999997" customHeight="1" x14ac:dyDescent="0.3">
      <c r="A6" s="1" t="s">
        <v>31</v>
      </c>
      <c r="B6" s="2" t="s">
        <v>32</v>
      </c>
      <c r="C6" s="2"/>
      <c r="D6" s="2"/>
      <c r="E6" s="2"/>
      <c r="F6" s="2"/>
      <c r="G6" s="2"/>
      <c r="H6" s="2"/>
    </row>
    <row r="7" spans="1:8" x14ac:dyDescent="0.3">
      <c r="A7" s="3"/>
      <c r="B7" s="3"/>
      <c r="C7" s="3"/>
      <c r="D7" s="3"/>
      <c r="E7" s="3"/>
      <c r="F7" s="3"/>
      <c r="G7" s="3"/>
      <c r="H7" s="3"/>
    </row>
    <row r="8" spans="1:8" ht="42" customHeight="1" x14ac:dyDescent="0.3">
      <c r="A8" s="15" t="s">
        <v>33</v>
      </c>
      <c r="B8" s="15" t="s">
        <v>34</v>
      </c>
      <c r="C8" s="15" t="s">
        <v>35</v>
      </c>
      <c r="D8" s="15" t="s">
        <v>36</v>
      </c>
      <c r="E8" s="15" t="s">
        <v>37</v>
      </c>
      <c r="F8" s="15" t="s">
        <v>38</v>
      </c>
      <c r="G8" s="15" t="s">
        <v>39</v>
      </c>
      <c r="H8" s="15" t="s">
        <v>40</v>
      </c>
    </row>
    <row r="9" spans="1:8" ht="25.95" customHeight="1" x14ac:dyDescent="0.3">
      <c r="A9" s="3" t="s">
        <v>41</v>
      </c>
      <c r="B9" s="3" t="s">
        <v>42</v>
      </c>
      <c r="C9" s="12">
        <v>727</v>
      </c>
      <c r="D9" s="12">
        <f t="shared" ref="D9:D40" si="0">$B$3/C9</f>
        <v>1.8418156808803301</v>
      </c>
      <c r="E9" s="12">
        <v>835</v>
      </c>
      <c r="F9" s="12">
        <f t="shared" ref="F9:F40" si="1">IFERROR($B$5/E9,0)</f>
        <v>1.8694610778443115</v>
      </c>
      <c r="G9" s="3" t="s">
        <v>43</v>
      </c>
      <c r="H9" s="3" t="s">
        <v>44</v>
      </c>
    </row>
    <row r="10" spans="1:8" ht="25.95" customHeight="1" x14ac:dyDescent="0.3">
      <c r="A10" s="3" t="s">
        <v>45</v>
      </c>
      <c r="B10" s="3" t="s">
        <v>46</v>
      </c>
      <c r="C10" s="12">
        <v>734</v>
      </c>
      <c r="D10" s="12">
        <f t="shared" si="0"/>
        <v>1.8242506811989101</v>
      </c>
      <c r="E10" s="12">
        <v>825</v>
      </c>
      <c r="F10" s="12">
        <f t="shared" si="1"/>
        <v>1.8921212121212121</v>
      </c>
      <c r="G10" s="3" t="s">
        <v>43</v>
      </c>
      <c r="H10" s="3" t="s">
        <v>44</v>
      </c>
    </row>
    <row r="11" spans="1:8" ht="25.95" customHeight="1" x14ac:dyDescent="0.3">
      <c r="A11" s="3" t="s">
        <v>47</v>
      </c>
      <c r="B11" s="3" t="s">
        <v>48</v>
      </c>
      <c r="C11" s="12">
        <v>738</v>
      </c>
      <c r="D11" s="12">
        <f t="shared" si="0"/>
        <v>1.8143631436314362</v>
      </c>
      <c r="E11" s="12">
        <v>832</v>
      </c>
      <c r="F11" s="12">
        <f t="shared" si="1"/>
        <v>1.8762019230769231</v>
      </c>
      <c r="G11" s="3" t="s">
        <v>43</v>
      </c>
      <c r="H11" s="3" t="s">
        <v>44</v>
      </c>
    </row>
    <row r="12" spans="1:8" ht="25.95" customHeight="1" x14ac:dyDescent="0.3">
      <c r="A12" s="3" t="s">
        <v>49</v>
      </c>
      <c r="B12" s="3" t="s">
        <v>50</v>
      </c>
      <c r="C12" s="12">
        <v>742</v>
      </c>
      <c r="D12" s="12">
        <f t="shared" si="0"/>
        <v>1.8045822102425877</v>
      </c>
      <c r="E12" s="12">
        <v>820</v>
      </c>
      <c r="F12" s="12">
        <f t="shared" si="1"/>
        <v>1.9036585365853658</v>
      </c>
      <c r="G12" s="3" t="s">
        <v>43</v>
      </c>
      <c r="H12" s="3" t="s">
        <v>44</v>
      </c>
    </row>
    <row r="13" spans="1:8" ht="25.95" customHeight="1" x14ac:dyDescent="0.3">
      <c r="A13" s="3" t="s">
        <v>51</v>
      </c>
      <c r="B13" s="3" t="s">
        <v>52</v>
      </c>
      <c r="C13" s="12">
        <v>745</v>
      </c>
      <c r="D13" s="12">
        <f t="shared" si="0"/>
        <v>1.7973154362416108</v>
      </c>
      <c r="E13" s="12">
        <v>828</v>
      </c>
      <c r="F13" s="12">
        <f t="shared" si="1"/>
        <v>1.8852657004830917</v>
      </c>
      <c r="G13" s="3" t="s">
        <v>43</v>
      </c>
      <c r="H13" s="3" t="s">
        <v>44</v>
      </c>
    </row>
    <row r="14" spans="1:8" ht="25.95" customHeight="1" x14ac:dyDescent="0.3">
      <c r="A14" s="3" t="s">
        <v>53</v>
      </c>
      <c r="B14" s="3" t="s">
        <v>54</v>
      </c>
      <c r="C14" s="12">
        <v>745</v>
      </c>
      <c r="D14" s="12">
        <f t="shared" si="0"/>
        <v>1.7973154362416108</v>
      </c>
      <c r="E14" s="12">
        <v>836</v>
      </c>
      <c r="F14" s="12">
        <f t="shared" si="1"/>
        <v>1.8672248803827751</v>
      </c>
      <c r="G14" s="3" t="s">
        <v>43</v>
      </c>
      <c r="H14" s="3" t="s">
        <v>44</v>
      </c>
    </row>
    <row r="15" spans="1:8" ht="25.95" customHeight="1" x14ac:dyDescent="0.3">
      <c r="A15" s="3" t="s">
        <v>55</v>
      </c>
      <c r="B15" s="3" t="s">
        <v>56</v>
      </c>
      <c r="C15" s="12">
        <v>748</v>
      </c>
      <c r="D15" s="12">
        <f t="shared" si="0"/>
        <v>1.7901069518716577</v>
      </c>
      <c r="E15" s="12">
        <v>841</v>
      </c>
      <c r="F15" s="12">
        <f t="shared" si="1"/>
        <v>1.8561236623067776</v>
      </c>
      <c r="G15" s="3" t="s">
        <v>43</v>
      </c>
      <c r="H15" s="3" t="s">
        <v>44</v>
      </c>
    </row>
    <row r="16" spans="1:8" ht="25.95" customHeight="1" x14ac:dyDescent="0.3">
      <c r="A16" s="3" t="s">
        <v>57</v>
      </c>
      <c r="B16" s="3" t="s">
        <v>58</v>
      </c>
      <c r="C16" s="12">
        <v>754</v>
      </c>
      <c r="D16" s="12">
        <f t="shared" si="0"/>
        <v>1.7758620689655173</v>
      </c>
      <c r="E16" s="12">
        <v>847</v>
      </c>
      <c r="F16" s="12">
        <f t="shared" si="1"/>
        <v>1.8429752066115703</v>
      </c>
      <c r="G16" s="3" t="s">
        <v>43</v>
      </c>
      <c r="H16" s="3" t="s">
        <v>44</v>
      </c>
    </row>
    <row r="17" spans="1:8" ht="25.95" customHeight="1" x14ac:dyDescent="0.3">
      <c r="A17" s="3" t="s">
        <v>59</v>
      </c>
      <c r="B17" s="3" t="s">
        <v>60</v>
      </c>
      <c r="C17" s="12">
        <v>757</v>
      </c>
      <c r="D17" s="12">
        <f t="shared" si="0"/>
        <v>1.7688243064729194</v>
      </c>
      <c r="E17" s="12">
        <v>850</v>
      </c>
      <c r="F17" s="12">
        <f t="shared" si="1"/>
        <v>1.8364705882352941</v>
      </c>
      <c r="G17" s="3" t="s">
        <v>43</v>
      </c>
      <c r="H17" s="3" t="s">
        <v>44</v>
      </c>
    </row>
    <row r="18" spans="1:8" ht="25.95" customHeight="1" x14ac:dyDescent="0.3">
      <c r="A18" s="3" t="s">
        <v>61</v>
      </c>
      <c r="B18" s="3" t="s">
        <v>62</v>
      </c>
      <c r="C18" s="12">
        <v>763</v>
      </c>
      <c r="D18" s="12">
        <f t="shared" si="0"/>
        <v>1.7549148099606815</v>
      </c>
      <c r="E18" s="12">
        <v>862</v>
      </c>
      <c r="F18" s="12">
        <f t="shared" si="1"/>
        <v>1.8109048723897911</v>
      </c>
      <c r="G18" s="3" t="s">
        <v>43</v>
      </c>
      <c r="H18" s="3" t="s">
        <v>44</v>
      </c>
    </row>
    <row r="19" spans="1:8" ht="25.95" customHeight="1" x14ac:dyDescent="0.3">
      <c r="A19" s="3" t="s">
        <v>63</v>
      </c>
      <c r="B19" s="3" t="s">
        <v>64</v>
      </c>
      <c r="C19" s="12">
        <v>767</v>
      </c>
      <c r="D19" s="12">
        <f t="shared" si="0"/>
        <v>1.7457627118644068</v>
      </c>
      <c r="E19" s="12">
        <v>875</v>
      </c>
      <c r="F19" s="12">
        <f t="shared" si="1"/>
        <v>1.784</v>
      </c>
      <c r="G19" s="3" t="s">
        <v>43</v>
      </c>
      <c r="H19" s="3" t="s">
        <v>44</v>
      </c>
    </row>
    <row r="20" spans="1:8" ht="25.95" customHeight="1" x14ac:dyDescent="0.3">
      <c r="A20" s="3" t="s">
        <v>65</v>
      </c>
      <c r="B20" s="3" t="s">
        <v>66</v>
      </c>
      <c r="C20" s="12">
        <v>774</v>
      </c>
      <c r="D20" s="12">
        <f t="shared" si="0"/>
        <v>1.7299741602067182</v>
      </c>
      <c r="E20" s="12">
        <v>879</v>
      </c>
      <c r="F20" s="12">
        <f t="shared" si="1"/>
        <v>1.775881683731513</v>
      </c>
      <c r="G20" s="3" t="s">
        <v>43</v>
      </c>
      <c r="H20" s="3" t="s">
        <v>44</v>
      </c>
    </row>
    <row r="21" spans="1:8" ht="25.95" customHeight="1" x14ac:dyDescent="0.3">
      <c r="A21" s="3" t="s">
        <v>67</v>
      </c>
      <c r="B21" s="3" t="s">
        <v>68</v>
      </c>
      <c r="C21" s="12">
        <v>778</v>
      </c>
      <c r="D21" s="12">
        <f t="shared" si="0"/>
        <v>1.7210796915167095</v>
      </c>
      <c r="E21" s="12">
        <v>880</v>
      </c>
      <c r="F21" s="12">
        <f t="shared" si="1"/>
        <v>1.7738636363636364</v>
      </c>
      <c r="G21" s="3" t="s">
        <v>43</v>
      </c>
      <c r="H21" s="3" t="s">
        <v>44</v>
      </c>
    </row>
    <row r="22" spans="1:8" ht="25.95" customHeight="1" x14ac:dyDescent="0.3">
      <c r="A22" s="3" t="s">
        <v>69</v>
      </c>
      <c r="B22" s="3" t="s">
        <v>70</v>
      </c>
      <c r="C22" s="12">
        <v>784</v>
      </c>
      <c r="D22" s="12">
        <f t="shared" si="0"/>
        <v>1.7079081632653061</v>
      </c>
      <c r="E22" s="12">
        <v>886</v>
      </c>
      <c r="F22" s="12">
        <f t="shared" si="1"/>
        <v>1.7618510158013545</v>
      </c>
      <c r="G22" s="3" t="s">
        <v>43</v>
      </c>
      <c r="H22" s="3" t="s">
        <v>44</v>
      </c>
    </row>
    <row r="23" spans="1:8" ht="25.95" customHeight="1" x14ac:dyDescent="0.3">
      <c r="A23" s="3" t="s">
        <v>71</v>
      </c>
      <c r="B23" s="3" t="s">
        <v>72</v>
      </c>
      <c r="C23" s="12">
        <v>793</v>
      </c>
      <c r="D23" s="12">
        <f t="shared" si="0"/>
        <v>1.6885245901639345</v>
      </c>
      <c r="E23" s="12">
        <v>896</v>
      </c>
      <c r="F23" s="12">
        <f t="shared" si="1"/>
        <v>1.7421875</v>
      </c>
      <c r="G23" s="3" t="s">
        <v>43</v>
      </c>
      <c r="H23" s="3" t="s">
        <v>44</v>
      </c>
    </row>
    <row r="24" spans="1:8" ht="25.95" customHeight="1" x14ac:dyDescent="0.3">
      <c r="A24" s="3" t="s">
        <v>73</v>
      </c>
      <c r="B24" s="3" t="s">
        <v>74</v>
      </c>
      <c r="C24" s="12">
        <v>799</v>
      </c>
      <c r="D24" s="12">
        <f t="shared" si="0"/>
        <v>1.6758448060075093</v>
      </c>
      <c r="E24" s="12">
        <v>893</v>
      </c>
      <c r="F24" s="12">
        <f t="shared" si="1"/>
        <v>1.7480403135498321</v>
      </c>
      <c r="G24" s="3" t="s">
        <v>43</v>
      </c>
      <c r="H24" s="3" t="s">
        <v>44</v>
      </c>
    </row>
    <row r="25" spans="1:8" ht="25.95" customHeight="1" x14ac:dyDescent="0.3">
      <c r="A25" s="3" t="s">
        <v>75</v>
      </c>
      <c r="B25" s="3" t="s">
        <v>76</v>
      </c>
      <c r="C25" s="12">
        <v>803</v>
      </c>
      <c r="D25" s="12">
        <f t="shared" si="0"/>
        <v>1.6674968866749689</v>
      </c>
      <c r="E25" s="12">
        <v>896</v>
      </c>
      <c r="F25" s="12">
        <f t="shared" si="1"/>
        <v>1.7421875</v>
      </c>
      <c r="G25" s="3" t="s">
        <v>43</v>
      </c>
      <c r="H25" s="3" t="s">
        <v>44</v>
      </c>
    </row>
    <row r="26" spans="1:8" ht="25.95" customHeight="1" x14ac:dyDescent="0.3">
      <c r="A26" s="3" t="s">
        <v>77</v>
      </c>
      <c r="B26" s="3" t="s">
        <v>78</v>
      </c>
      <c r="C26" s="12">
        <v>816</v>
      </c>
      <c r="D26" s="12">
        <f t="shared" si="0"/>
        <v>1.6409313725490196</v>
      </c>
      <c r="E26" s="12">
        <v>913</v>
      </c>
      <c r="F26" s="12">
        <f t="shared" si="1"/>
        <v>1.7097480832420591</v>
      </c>
      <c r="G26" s="3" t="s">
        <v>43</v>
      </c>
      <c r="H26" s="3" t="s">
        <v>44</v>
      </c>
    </row>
    <row r="27" spans="1:8" ht="25.95" customHeight="1" x14ac:dyDescent="0.3">
      <c r="A27" s="3" t="s">
        <v>79</v>
      </c>
      <c r="B27" s="3" t="s">
        <v>80</v>
      </c>
      <c r="C27" s="12">
        <v>821</v>
      </c>
      <c r="D27" s="12">
        <f t="shared" si="0"/>
        <v>1.6309378806333739</v>
      </c>
      <c r="E27" s="12">
        <v>908</v>
      </c>
      <c r="F27" s="12">
        <f t="shared" si="1"/>
        <v>1.7191629955947136</v>
      </c>
      <c r="G27" s="3" t="s">
        <v>43</v>
      </c>
      <c r="H27" s="3" t="s">
        <v>44</v>
      </c>
    </row>
    <row r="28" spans="1:8" ht="25.95" customHeight="1" x14ac:dyDescent="0.3">
      <c r="A28" s="3" t="s">
        <v>81</v>
      </c>
      <c r="B28" s="3" t="s">
        <v>82</v>
      </c>
      <c r="C28" s="12">
        <v>820</v>
      </c>
      <c r="D28" s="12">
        <f t="shared" si="0"/>
        <v>1.6329268292682926</v>
      </c>
      <c r="E28" s="12">
        <v>930</v>
      </c>
      <c r="F28" s="12">
        <f t="shared" si="1"/>
        <v>1.678494623655914</v>
      </c>
      <c r="G28" s="3" t="s">
        <v>43</v>
      </c>
      <c r="H28" s="3" t="s">
        <v>44</v>
      </c>
    </row>
    <row r="29" spans="1:8" ht="25.95" customHeight="1" x14ac:dyDescent="0.3">
      <c r="A29" s="3" t="s">
        <v>83</v>
      </c>
      <c r="B29" s="3" t="s">
        <v>84</v>
      </c>
      <c r="C29" s="12">
        <v>824</v>
      </c>
      <c r="D29" s="12">
        <f t="shared" si="0"/>
        <v>1.625</v>
      </c>
      <c r="E29" s="12">
        <v>934</v>
      </c>
      <c r="F29" s="12">
        <f t="shared" si="1"/>
        <v>1.671306209850107</v>
      </c>
      <c r="G29" s="3" t="s">
        <v>43</v>
      </c>
      <c r="H29" s="3" t="s">
        <v>44</v>
      </c>
    </row>
    <row r="30" spans="1:8" ht="25.95" customHeight="1" x14ac:dyDescent="0.3">
      <c r="A30" s="3" t="s">
        <v>85</v>
      </c>
      <c r="B30" s="3" t="s">
        <v>86</v>
      </c>
      <c r="C30" s="12">
        <v>832</v>
      </c>
      <c r="D30" s="12">
        <f t="shared" si="0"/>
        <v>1.609375</v>
      </c>
      <c r="E30" s="12">
        <v>944</v>
      </c>
      <c r="F30" s="12">
        <f t="shared" si="1"/>
        <v>1.6536016949152543</v>
      </c>
      <c r="G30" s="3" t="s">
        <v>43</v>
      </c>
      <c r="H30" s="3" t="s">
        <v>44</v>
      </c>
    </row>
    <row r="31" spans="1:8" ht="25.95" customHeight="1" x14ac:dyDescent="0.3">
      <c r="A31" s="3" t="s">
        <v>87</v>
      </c>
      <c r="B31" s="3" t="s">
        <v>88</v>
      </c>
      <c r="C31" s="12">
        <v>836</v>
      </c>
      <c r="D31" s="12">
        <f t="shared" si="0"/>
        <v>1.6016746411483254</v>
      </c>
      <c r="E31" s="12">
        <v>962</v>
      </c>
      <c r="F31" s="12">
        <f t="shared" si="1"/>
        <v>1.6226611226611227</v>
      </c>
      <c r="G31" s="3" t="s">
        <v>43</v>
      </c>
      <c r="H31" s="3" t="s">
        <v>44</v>
      </c>
    </row>
    <row r="32" spans="1:8" ht="25.95" customHeight="1" x14ac:dyDescent="0.3">
      <c r="A32" s="3" t="s">
        <v>89</v>
      </c>
      <c r="B32" s="3" t="s">
        <v>90</v>
      </c>
      <c r="C32" s="12">
        <v>846</v>
      </c>
      <c r="D32" s="12">
        <f t="shared" si="0"/>
        <v>1.58274231678487</v>
      </c>
      <c r="E32" s="12">
        <v>970</v>
      </c>
      <c r="F32" s="12">
        <f t="shared" si="1"/>
        <v>1.609278350515464</v>
      </c>
      <c r="G32" s="3" t="s">
        <v>43</v>
      </c>
      <c r="H32" s="3" t="s">
        <v>44</v>
      </c>
    </row>
    <row r="33" spans="1:8" ht="25.95" customHeight="1" x14ac:dyDescent="0.3">
      <c r="A33" s="3" t="s">
        <v>91</v>
      </c>
      <c r="B33" s="3" t="s">
        <v>92</v>
      </c>
      <c r="C33" s="12">
        <v>852</v>
      </c>
      <c r="D33" s="12">
        <f t="shared" si="0"/>
        <v>1.5715962441314555</v>
      </c>
      <c r="E33" s="12">
        <v>983</v>
      </c>
      <c r="F33" s="12">
        <f t="shared" si="1"/>
        <v>1.5879959308240081</v>
      </c>
      <c r="G33" s="3" t="s">
        <v>43</v>
      </c>
      <c r="H33" s="3" t="s">
        <v>44</v>
      </c>
    </row>
    <row r="34" spans="1:8" ht="25.95" customHeight="1" x14ac:dyDescent="0.3">
      <c r="A34" s="3" t="s">
        <v>93</v>
      </c>
      <c r="B34" s="3" t="s">
        <v>94</v>
      </c>
      <c r="C34" s="12">
        <v>865</v>
      </c>
      <c r="D34" s="12">
        <f t="shared" si="0"/>
        <v>1.5479768786127168</v>
      </c>
      <c r="E34" s="12">
        <v>996</v>
      </c>
      <c r="F34" s="12">
        <f t="shared" si="1"/>
        <v>1.5672690763052208</v>
      </c>
      <c r="G34" s="3" t="s">
        <v>43</v>
      </c>
      <c r="H34" s="3" t="s">
        <v>44</v>
      </c>
    </row>
    <row r="35" spans="1:8" ht="25.95" customHeight="1" x14ac:dyDescent="0.3">
      <c r="A35" s="3" t="s">
        <v>95</v>
      </c>
      <c r="B35" s="3" t="s">
        <v>96</v>
      </c>
      <c r="C35" s="12">
        <v>878</v>
      </c>
      <c r="D35" s="12">
        <f t="shared" si="0"/>
        <v>1.5250569476082005</v>
      </c>
      <c r="E35" s="12">
        <v>983</v>
      </c>
      <c r="F35" s="12">
        <f t="shared" si="1"/>
        <v>1.5879959308240081</v>
      </c>
      <c r="G35" s="3" t="s">
        <v>43</v>
      </c>
      <c r="H35" s="3" t="s">
        <v>44</v>
      </c>
    </row>
    <row r="36" spans="1:8" ht="25.95" customHeight="1" x14ac:dyDescent="0.3">
      <c r="A36" s="3" t="s">
        <v>97</v>
      </c>
      <c r="B36" s="3" t="s">
        <v>98</v>
      </c>
      <c r="C36" s="12">
        <v>874</v>
      </c>
      <c r="D36" s="12">
        <f t="shared" si="0"/>
        <v>1.5320366132723111</v>
      </c>
      <c r="E36" s="12">
        <v>996</v>
      </c>
      <c r="F36" s="12">
        <f t="shared" si="1"/>
        <v>1.5672690763052208</v>
      </c>
      <c r="G36" s="3" t="s">
        <v>43</v>
      </c>
      <c r="H36" s="3" t="s">
        <v>44</v>
      </c>
    </row>
    <row r="37" spans="1:8" ht="25.95" customHeight="1" x14ac:dyDescent="0.3">
      <c r="A37" s="3" t="s">
        <v>99</v>
      </c>
      <c r="B37" s="3" t="s">
        <v>100</v>
      </c>
      <c r="C37" s="12">
        <v>877</v>
      </c>
      <c r="D37" s="12">
        <f t="shared" si="0"/>
        <v>1.5267958950969214</v>
      </c>
      <c r="E37" s="12">
        <v>1003</v>
      </c>
      <c r="F37" s="12">
        <f t="shared" si="1"/>
        <v>1.5563310069790628</v>
      </c>
      <c r="G37" s="3" t="s">
        <v>43</v>
      </c>
      <c r="H37" s="3" t="s">
        <v>44</v>
      </c>
    </row>
    <row r="38" spans="1:8" ht="25.95" customHeight="1" x14ac:dyDescent="0.3">
      <c r="A38" s="3" t="s">
        <v>101</v>
      </c>
      <c r="B38" s="3" t="s">
        <v>102</v>
      </c>
      <c r="C38" s="12">
        <v>882</v>
      </c>
      <c r="D38" s="12">
        <f t="shared" si="0"/>
        <v>1.5181405895691611</v>
      </c>
      <c r="E38" s="12">
        <v>991</v>
      </c>
      <c r="F38" s="12">
        <f t="shared" si="1"/>
        <v>1.5751765893037335</v>
      </c>
      <c r="G38" s="3" t="s">
        <v>43</v>
      </c>
      <c r="H38" s="3" t="s">
        <v>44</v>
      </c>
    </row>
    <row r="39" spans="1:8" ht="25.95" customHeight="1" x14ac:dyDescent="0.3">
      <c r="A39" s="3" t="s">
        <v>103</v>
      </c>
      <c r="B39" s="3" t="s">
        <v>104</v>
      </c>
      <c r="C39" s="12">
        <v>893</v>
      </c>
      <c r="D39" s="12">
        <f t="shared" si="0"/>
        <v>1.4994400895856663</v>
      </c>
      <c r="E39" s="12">
        <v>1001</v>
      </c>
      <c r="F39" s="12">
        <f t="shared" si="1"/>
        <v>1.5594405594405594</v>
      </c>
      <c r="G39" s="3" t="s">
        <v>43</v>
      </c>
      <c r="H39" s="3" t="s">
        <v>44</v>
      </c>
    </row>
    <row r="40" spans="1:8" ht="25.95" customHeight="1" x14ac:dyDescent="0.3">
      <c r="A40" s="3" t="s">
        <v>105</v>
      </c>
      <c r="B40" s="3" t="s">
        <v>106</v>
      </c>
      <c r="C40" s="12">
        <v>892</v>
      </c>
      <c r="D40" s="12">
        <f t="shared" si="0"/>
        <v>1.5011210762331839</v>
      </c>
      <c r="E40" s="12">
        <v>998</v>
      </c>
      <c r="F40" s="12">
        <f t="shared" si="1"/>
        <v>1.5641282565130261</v>
      </c>
      <c r="G40" s="3" t="s">
        <v>43</v>
      </c>
      <c r="H40" s="3" t="s">
        <v>44</v>
      </c>
    </row>
    <row r="41" spans="1:8" ht="25.95" customHeight="1" x14ac:dyDescent="0.3">
      <c r="A41" s="3" t="s">
        <v>107</v>
      </c>
      <c r="B41" s="3" t="s">
        <v>108</v>
      </c>
      <c r="C41" s="12">
        <v>895</v>
      </c>
      <c r="D41" s="12">
        <f t="shared" ref="D41:D72" si="2">$B$3/C41</f>
        <v>1.4960893854748603</v>
      </c>
      <c r="E41" s="12">
        <v>1010</v>
      </c>
      <c r="F41" s="12">
        <f t="shared" ref="F41:F72" si="3">IFERROR($B$5/E41,0)</f>
        <v>1.5455445544554456</v>
      </c>
      <c r="G41" s="3" t="s">
        <v>43</v>
      </c>
      <c r="H41" s="3" t="s">
        <v>44</v>
      </c>
    </row>
    <row r="42" spans="1:8" ht="25.95" customHeight="1" x14ac:dyDescent="0.3">
      <c r="A42" s="3" t="s">
        <v>109</v>
      </c>
      <c r="B42" s="3" t="s">
        <v>110</v>
      </c>
      <c r="C42" s="12">
        <v>896</v>
      </c>
      <c r="D42" s="12">
        <f t="shared" si="2"/>
        <v>1.4944196428571428</v>
      </c>
      <c r="E42" s="12">
        <v>1010</v>
      </c>
      <c r="F42" s="12">
        <f t="shared" si="3"/>
        <v>1.5455445544554456</v>
      </c>
      <c r="G42" s="3" t="s">
        <v>43</v>
      </c>
      <c r="H42" s="3" t="s">
        <v>44</v>
      </c>
    </row>
    <row r="43" spans="1:8" ht="25.95" customHeight="1" x14ac:dyDescent="0.3">
      <c r="A43" s="3" t="s">
        <v>111</v>
      </c>
      <c r="B43" s="3" t="s">
        <v>112</v>
      </c>
      <c r="C43" s="12">
        <v>906</v>
      </c>
      <c r="D43" s="12">
        <f t="shared" si="2"/>
        <v>1.4779249448123621</v>
      </c>
      <c r="E43" s="12">
        <v>1031</v>
      </c>
      <c r="F43" s="12">
        <f t="shared" si="3"/>
        <v>1.5140640155189138</v>
      </c>
      <c r="G43" s="3" t="s">
        <v>43</v>
      </c>
      <c r="H43" s="3" t="s">
        <v>44</v>
      </c>
    </row>
    <row r="44" spans="1:8" ht="25.95" customHeight="1" x14ac:dyDescent="0.3">
      <c r="A44" s="3" t="s">
        <v>113</v>
      </c>
      <c r="B44" s="3" t="s">
        <v>114</v>
      </c>
      <c r="C44" s="12">
        <v>927</v>
      </c>
      <c r="D44" s="12">
        <f t="shared" si="2"/>
        <v>1.4444444444444444</v>
      </c>
      <c r="E44" s="12">
        <v>1058</v>
      </c>
      <c r="F44" s="12">
        <f t="shared" si="3"/>
        <v>1.4754253308128544</v>
      </c>
      <c r="G44" s="3" t="s">
        <v>43</v>
      </c>
      <c r="H44" s="3" t="s">
        <v>44</v>
      </c>
    </row>
    <row r="45" spans="1:8" ht="25.95" customHeight="1" x14ac:dyDescent="0.3">
      <c r="A45" s="3" t="s">
        <v>115</v>
      </c>
      <c r="B45" s="3" t="s">
        <v>116</v>
      </c>
      <c r="C45" s="12">
        <v>935</v>
      </c>
      <c r="D45" s="12">
        <f t="shared" si="2"/>
        <v>1.4320855614973262</v>
      </c>
      <c r="E45" s="12">
        <v>1049</v>
      </c>
      <c r="F45" s="12">
        <f t="shared" si="3"/>
        <v>1.4880838894184938</v>
      </c>
      <c r="G45" s="3" t="s">
        <v>43</v>
      </c>
      <c r="H45" s="3" t="s">
        <v>44</v>
      </c>
    </row>
    <row r="46" spans="1:8" ht="25.95" customHeight="1" x14ac:dyDescent="0.3">
      <c r="A46" s="3" t="s">
        <v>117</v>
      </c>
      <c r="B46" s="3" t="s">
        <v>118</v>
      </c>
      <c r="C46" s="12">
        <v>944</v>
      </c>
      <c r="D46" s="12">
        <f t="shared" si="2"/>
        <v>1.4184322033898304</v>
      </c>
      <c r="E46" s="12">
        <v>1057</v>
      </c>
      <c r="F46" s="12">
        <f t="shared" si="3"/>
        <v>1.4768211920529801</v>
      </c>
      <c r="G46" s="3" t="s">
        <v>43</v>
      </c>
      <c r="H46" s="3" t="s">
        <v>44</v>
      </c>
    </row>
    <row r="47" spans="1:8" ht="25.95" customHeight="1" x14ac:dyDescent="0.3">
      <c r="A47" s="3" t="s">
        <v>119</v>
      </c>
      <c r="B47" s="3" t="s">
        <v>120</v>
      </c>
      <c r="C47" s="12">
        <v>948</v>
      </c>
      <c r="D47" s="12">
        <f t="shared" si="2"/>
        <v>1.4124472573839661</v>
      </c>
      <c r="E47" s="12">
        <v>1062</v>
      </c>
      <c r="F47" s="12">
        <f t="shared" si="3"/>
        <v>1.4698681732580037</v>
      </c>
      <c r="G47" s="3" t="s">
        <v>43</v>
      </c>
      <c r="H47" s="3" t="s">
        <v>44</v>
      </c>
    </row>
    <row r="48" spans="1:8" ht="25.95" customHeight="1" x14ac:dyDescent="0.3">
      <c r="A48" s="3" t="s">
        <v>121</v>
      </c>
      <c r="B48" s="3" t="s">
        <v>122</v>
      </c>
      <c r="C48" s="12">
        <v>945</v>
      </c>
      <c r="D48" s="12">
        <f t="shared" si="2"/>
        <v>1.4169312169312169</v>
      </c>
      <c r="E48" s="12">
        <v>1059</v>
      </c>
      <c r="F48" s="12">
        <f t="shared" si="3"/>
        <v>1.4740321057601511</v>
      </c>
      <c r="G48" s="3" t="s">
        <v>43</v>
      </c>
      <c r="H48" s="3" t="s">
        <v>44</v>
      </c>
    </row>
    <row r="49" spans="1:8" ht="25.95" customHeight="1" x14ac:dyDescent="0.3">
      <c r="A49" s="3" t="s">
        <v>123</v>
      </c>
      <c r="B49" s="3" t="s">
        <v>124</v>
      </c>
      <c r="C49" s="12">
        <v>949</v>
      </c>
      <c r="D49" s="12">
        <f t="shared" si="2"/>
        <v>1.4109589041095891</v>
      </c>
      <c r="E49" s="12">
        <v>1057</v>
      </c>
      <c r="F49" s="12">
        <f t="shared" si="3"/>
        <v>1.4768211920529801</v>
      </c>
      <c r="G49" s="3" t="s">
        <v>43</v>
      </c>
      <c r="H49" s="3" t="s">
        <v>44</v>
      </c>
    </row>
    <row r="50" spans="1:8" ht="25.95" customHeight="1" x14ac:dyDescent="0.3">
      <c r="A50" s="3" t="s">
        <v>125</v>
      </c>
      <c r="B50" s="3" t="s">
        <v>126</v>
      </c>
      <c r="C50" s="12">
        <v>953</v>
      </c>
      <c r="D50" s="12">
        <f t="shared" si="2"/>
        <v>1.4050367261280168</v>
      </c>
      <c r="E50" s="12">
        <v>1067</v>
      </c>
      <c r="F50" s="12">
        <f t="shared" si="3"/>
        <v>1.4629803186504218</v>
      </c>
      <c r="G50" s="3" t="s">
        <v>43</v>
      </c>
      <c r="H50" s="3" t="s">
        <v>44</v>
      </c>
    </row>
    <row r="51" spans="1:8" ht="25.95" customHeight="1" x14ac:dyDescent="0.3">
      <c r="A51" s="3" t="s">
        <v>127</v>
      </c>
      <c r="B51" s="3" t="s">
        <v>128</v>
      </c>
      <c r="C51" s="12">
        <v>955</v>
      </c>
      <c r="D51" s="12">
        <f t="shared" si="2"/>
        <v>1.4020942408376964</v>
      </c>
      <c r="E51" s="12">
        <v>1051</v>
      </c>
      <c r="F51" s="12">
        <f t="shared" si="3"/>
        <v>1.4852521408182684</v>
      </c>
      <c r="G51" s="3" t="s">
        <v>43</v>
      </c>
      <c r="H51" s="3" t="s">
        <v>44</v>
      </c>
    </row>
    <row r="52" spans="1:8" ht="25.95" customHeight="1" x14ac:dyDescent="0.3">
      <c r="A52" s="3" t="s">
        <v>129</v>
      </c>
      <c r="B52" s="3" t="s">
        <v>130</v>
      </c>
      <c r="C52" s="12">
        <v>954</v>
      </c>
      <c r="D52" s="12">
        <f t="shared" si="2"/>
        <v>1.4035639412997905</v>
      </c>
      <c r="E52" s="12">
        <v>1042</v>
      </c>
      <c r="F52" s="12">
        <f t="shared" si="3"/>
        <v>1.4980806142034548</v>
      </c>
      <c r="G52" s="3" t="s">
        <v>43</v>
      </c>
      <c r="H52" s="3" t="s">
        <v>44</v>
      </c>
    </row>
    <row r="53" spans="1:8" ht="25.95" customHeight="1" x14ac:dyDescent="0.3">
      <c r="A53" s="3" t="s">
        <v>131</v>
      </c>
      <c r="B53" s="3" t="s">
        <v>132</v>
      </c>
      <c r="C53" s="12">
        <v>958</v>
      </c>
      <c r="D53" s="12">
        <f t="shared" si="2"/>
        <v>1.3977035490605427</v>
      </c>
      <c r="E53" s="12">
        <v>1057</v>
      </c>
      <c r="F53" s="12">
        <f t="shared" si="3"/>
        <v>1.4768211920529801</v>
      </c>
      <c r="G53" s="3" t="s">
        <v>43</v>
      </c>
      <c r="H53" s="3" t="s">
        <v>44</v>
      </c>
    </row>
    <row r="54" spans="1:8" ht="25.95" customHeight="1" x14ac:dyDescent="0.3">
      <c r="A54" s="3" t="s">
        <v>133</v>
      </c>
      <c r="B54" s="3" t="s">
        <v>134</v>
      </c>
      <c r="C54" s="12">
        <v>959</v>
      </c>
      <c r="D54" s="12">
        <f t="shared" si="2"/>
        <v>1.3962460896767466</v>
      </c>
      <c r="E54" s="12">
        <v>1072</v>
      </c>
      <c r="F54" s="12">
        <f t="shared" si="3"/>
        <v>1.4561567164179106</v>
      </c>
      <c r="G54" s="3" t="s">
        <v>43</v>
      </c>
      <c r="H54" s="3" t="s">
        <v>44</v>
      </c>
    </row>
    <row r="55" spans="1:8" ht="25.95" customHeight="1" x14ac:dyDescent="0.3">
      <c r="A55" s="3" t="s">
        <v>135</v>
      </c>
      <c r="B55" s="3" t="s">
        <v>136</v>
      </c>
      <c r="C55" s="12">
        <v>968</v>
      </c>
      <c r="D55" s="12">
        <f t="shared" si="2"/>
        <v>1.3832644628099173</v>
      </c>
      <c r="E55" s="12">
        <v>1097</v>
      </c>
      <c r="F55" s="12">
        <f t="shared" si="3"/>
        <v>1.4229717411121239</v>
      </c>
      <c r="G55" s="3" t="s">
        <v>43</v>
      </c>
      <c r="H55" s="3" t="s">
        <v>44</v>
      </c>
    </row>
    <row r="56" spans="1:8" ht="25.95" customHeight="1" x14ac:dyDescent="0.3">
      <c r="A56" s="3" t="s">
        <v>137</v>
      </c>
      <c r="B56" s="3" t="s">
        <v>138</v>
      </c>
      <c r="C56" s="12">
        <v>969</v>
      </c>
      <c r="D56" s="12">
        <f t="shared" si="2"/>
        <v>1.3818369453044375</v>
      </c>
      <c r="E56" s="12">
        <v>1129</v>
      </c>
      <c r="F56" s="12">
        <f t="shared" si="3"/>
        <v>1.3826395039858281</v>
      </c>
      <c r="G56" s="3" t="s">
        <v>43</v>
      </c>
      <c r="H56" s="3" t="s">
        <v>44</v>
      </c>
    </row>
    <row r="57" spans="1:8" ht="25.95" customHeight="1" x14ac:dyDescent="0.3">
      <c r="A57" s="3" t="s">
        <v>139</v>
      </c>
      <c r="B57" s="3" t="s">
        <v>140</v>
      </c>
      <c r="C57" s="12">
        <v>972</v>
      </c>
      <c r="D57" s="12">
        <f t="shared" si="2"/>
        <v>1.3775720164609053</v>
      </c>
      <c r="E57" s="12">
        <v>1122</v>
      </c>
      <c r="F57" s="12">
        <f t="shared" si="3"/>
        <v>1.3912655971479502</v>
      </c>
      <c r="G57" s="3" t="s">
        <v>43</v>
      </c>
      <c r="H57" s="3" t="s">
        <v>44</v>
      </c>
    </row>
    <row r="58" spans="1:8" ht="25.95" customHeight="1" x14ac:dyDescent="0.3">
      <c r="A58" s="3" t="s">
        <v>141</v>
      </c>
      <c r="B58" s="3" t="s">
        <v>142</v>
      </c>
      <c r="C58" s="12">
        <v>975</v>
      </c>
      <c r="D58" s="12">
        <f t="shared" si="2"/>
        <v>1.3733333333333333</v>
      </c>
      <c r="E58" s="12">
        <v>1119</v>
      </c>
      <c r="F58" s="12">
        <f t="shared" si="3"/>
        <v>1.3949955317247542</v>
      </c>
      <c r="G58" s="3" t="s">
        <v>43</v>
      </c>
      <c r="H58" s="3" t="s">
        <v>44</v>
      </c>
    </row>
    <row r="59" spans="1:8" ht="25.95" customHeight="1" x14ac:dyDescent="0.3">
      <c r="A59" s="3" t="s">
        <v>143</v>
      </c>
      <c r="B59" s="3" t="s">
        <v>144</v>
      </c>
      <c r="C59" s="12">
        <v>978</v>
      </c>
      <c r="D59" s="12">
        <f t="shared" si="2"/>
        <v>1.369120654396728</v>
      </c>
      <c r="E59" s="12">
        <v>1112</v>
      </c>
      <c r="F59" s="12">
        <f t="shared" si="3"/>
        <v>1.4037769784172662</v>
      </c>
      <c r="G59" s="3" t="s">
        <v>43</v>
      </c>
      <c r="H59" s="3" t="s">
        <v>44</v>
      </c>
    </row>
    <row r="60" spans="1:8" ht="25.95" customHeight="1" x14ac:dyDescent="0.3">
      <c r="A60" s="3" t="s">
        <v>145</v>
      </c>
      <c r="B60" s="3" t="s">
        <v>146</v>
      </c>
      <c r="C60" s="12">
        <v>976</v>
      </c>
      <c r="D60" s="12">
        <f t="shared" si="2"/>
        <v>1.3719262295081966</v>
      </c>
      <c r="E60" s="12">
        <v>1106</v>
      </c>
      <c r="F60" s="12">
        <f t="shared" si="3"/>
        <v>1.4113924050632911</v>
      </c>
      <c r="G60" s="3" t="s">
        <v>43</v>
      </c>
      <c r="H60" s="3" t="s">
        <v>44</v>
      </c>
    </row>
    <row r="61" spans="1:8" ht="25.95" customHeight="1" x14ac:dyDescent="0.3">
      <c r="A61" s="3" t="s">
        <v>147</v>
      </c>
      <c r="B61" s="3" t="s">
        <v>148</v>
      </c>
      <c r="C61" s="12">
        <v>975</v>
      </c>
      <c r="D61" s="12">
        <f t="shared" si="2"/>
        <v>1.3733333333333333</v>
      </c>
      <c r="E61" s="12">
        <v>1113</v>
      </c>
      <c r="F61" s="12">
        <f t="shared" si="3"/>
        <v>1.4025157232704402</v>
      </c>
      <c r="G61" s="3" t="s">
        <v>43</v>
      </c>
      <c r="H61" s="3" t="s">
        <v>44</v>
      </c>
    </row>
    <row r="62" spans="1:8" ht="25.95" customHeight="1" x14ac:dyDescent="0.3">
      <c r="A62" s="3" t="s">
        <v>149</v>
      </c>
      <c r="B62" s="3" t="s">
        <v>150</v>
      </c>
      <c r="C62" s="12">
        <v>979</v>
      </c>
      <c r="D62" s="12">
        <f t="shared" si="2"/>
        <v>1.3677221654749745</v>
      </c>
      <c r="E62" s="12">
        <v>1126</v>
      </c>
      <c r="F62" s="12">
        <f t="shared" si="3"/>
        <v>1.3863232682060391</v>
      </c>
      <c r="G62" s="3" t="s">
        <v>43</v>
      </c>
      <c r="H62" s="3" t="s">
        <v>44</v>
      </c>
    </row>
    <row r="63" spans="1:8" ht="25.95" customHeight="1" x14ac:dyDescent="0.3">
      <c r="A63" s="3" t="s">
        <v>151</v>
      </c>
      <c r="B63" s="3" t="s">
        <v>152</v>
      </c>
      <c r="C63" s="12">
        <v>982</v>
      </c>
      <c r="D63" s="12">
        <f t="shared" si="2"/>
        <v>1.3635437881873727</v>
      </c>
      <c r="E63" s="12">
        <v>1122</v>
      </c>
      <c r="F63" s="12">
        <f t="shared" si="3"/>
        <v>1.3912655971479502</v>
      </c>
      <c r="G63" s="3" t="s">
        <v>43</v>
      </c>
      <c r="H63" s="3" t="s">
        <v>44</v>
      </c>
    </row>
    <row r="64" spans="1:8" ht="25.95" customHeight="1" x14ac:dyDescent="0.3">
      <c r="A64" s="3" t="s">
        <v>153</v>
      </c>
      <c r="B64" s="3" t="s">
        <v>154</v>
      </c>
      <c r="C64" s="12">
        <v>977</v>
      </c>
      <c r="D64" s="12">
        <f t="shared" si="2"/>
        <v>1.3705220061412486</v>
      </c>
      <c r="E64" s="12">
        <v>1114</v>
      </c>
      <c r="F64" s="12">
        <f t="shared" si="3"/>
        <v>1.4012567324955116</v>
      </c>
      <c r="G64" s="3" t="s">
        <v>43</v>
      </c>
      <c r="H64" s="3" t="s">
        <v>44</v>
      </c>
    </row>
    <row r="65" spans="1:8" ht="25.95" customHeight="1" x14ac:dyDescent="0.3">
      <c r="A65" s="3" t="s">
        <v>155</v>
      </c>
      <c r="B65" s="3" t="s">
        <v>156</v>
      </c>
      <c r="C65" s="12">
        <v>979</v>
      </c>
      <c r="D65" s="12">
        <f t="shared" si="2"/>
        <v>1.3677221654749745</v>
      </c>
      <c r="E65" s="12">
        <v>1130</v>
      </c>
      <c r="F65" s="12">
        <f t="shared" si="3"/>
        <v>1.3814159292035397</v>
      </c>
      <c r="G65" s="3" t="s">
        <v>43</v>
      </c>
      <c r="H65" s="3" t="s">
        <v>44</v>
      </c>
    </row>
    <row r="66" spans="1:8" ht="25.95" customHeight="1" x14ac:dyDescent="0.3">
      <c r="A66" s="3" t="s">
        <v>157</v>
      </c>
      <c r="B66" s="3" t="s">
        <v>158</v>
      </c>
      <c r="C66" s="12">
        <v>983</v>
      </c>
      <c r="D66" s="12">
        <f t="shared" si="2"/>
        <v>1.3621566632756867</v>
      </c>
      <c r="E66" s="12">
        <v>1134</v>
      </c>
      <c r="F66" s="12">
        <f t="shared" si="3"/>
        <v>1.3765432098765431</v>
      </c>
      <c r="G66" s="3" t="s">
        <v>43</v>
      </c>
      <c r="H66" s="3" t="s">
        <v>44</v>
      </c>
    </row>
    <row r="67" spans="1:8" ht="25.95" customHeight="1" x14ac:dyDescent="0.3">
      <c r="A67" s="3" t="s">
        <v>159</v>
      </c>
      <c r="B67" s="3" t="s">
        <v>160</v>
      </c>
      <c r="C67" s="12">
        <v>986</v>
      </c>
      <c r="D67" s="12">
        <f t="shared" si="2"/>
        <v>1.3580121703853956</v>
      </c>
      <c r="E67" s="12">
        <v>1139</v>
      </c>
      <c r="F67" s="12">
        <f t="shared" si="3"/>
        <v>1.3705004389815627</v>
      </c>
      <c r="G67" s="3" t="s">
        <v>43</v>
      </c>
      <c r="H67" s="3" t="s">
        <v>44</v>
      </c>
    </row>
    <row r="68" spans="1:8" ht="25.95" customHeight="1" x14ac:dyDescent="0.3">
      <c r="A68" s="3" t="s">
        <v>161</v>
      </c>
      <c r="B68" s="3" t="s">
        <v>162</v>
      </c>
      <c r="C68" s="12">
        <v>990</v>
      </c>
      <c r="D68" s="12">
        <f t="shared" si="2"/>
        <v>1.3525252525252525</v>
      </c>
      <c r="E68" s="12">
        <v>1153</v>
      </c>
      <c r="F68" s="12">
        <f t="shared" si="3"/>
        <v>1.3538594969644406</v>
      </c>
      <c r="G68" s="3" t="s">
        <v>43</v>
      </c>
      <c r="H68" s="3" t="s">
        <v>44</v>
      </c>
    </row>
    <row r="69" spans="1:8" ht="25.95" customHeight="1" x14ac:dyDescent="0.3">
      <c r="A69" s="3" t="s">
        <v>163</v>
      </c>
      <c r="B69" s="3" t="s">
        <v>164</v>
      </c>
      <c r="C69" s="12">
        <v>1000</v>
      </c>
      <c r="D69" s="12">
        <f t="shared" si="2"/>
        <v>1.339</v>
      </c>
      <c r="E69" s="12">
        <v>1169</v>
      </c>
      <c r="F69" s="12">
        <f t="shared" si="3"/>
        <v>1.3353293413173652</v>
      </c>
      <c r="G69" s="3" t="s">
        <v>43</v>
      </c>
      <c r="H69" s="3" t="s">
        <v>44</v>
      </c>
    </row>
    <row r="70" spans="1:8" ht="25.95" customHeight="1" x14ac:dyDescent="0.3">
      <c r="A70" s="3" t="s">
        <v>165</v>
      </c>
      <c r="B70" s="3" t="s">
        <v>166</v>
      </c>
      <c r="C70" s="12">
        <v>1000</v>
      </c>
      <c r="D70" s="12">
        <f t="shared" si="2"/>
        <v>1.339</v>
      </c>
      <c r="E70" s="12">
        <v>1164</v>
      </c>
      <c r="F70" s="12">
        <f t="shared" si="3"/>
        <v>1.3410652920962198</v>
      </c>
      <c r="G70" s="3" t="s">
        <v>43</v>
      </c>
      <c r="H70" s="3" t="s">
        <v>44</v>
      </c>
    </row>
    <row r="71" spans="1:8" ht="25.95" customHeight="1" x14ac:dyDescent="0.3">
      <c r="A71" s="3" t="s">
        <v>167</v>
      </c>
      <c r="B71" s="3" t="s">
        <v>168</v>
      </c>
      <c r="C71" s="12">
        <v>1005</v>
      </c>
      <c r="D71" s="12">
        <f t="shared" si="2"/>
        <v>1.3323383084577114</v>
      </c>
      <c r="E71" s="12">
        <v>1178</v>
      </c>
      <c r="F71" s="12">
        <f t="shared" si="3"/>
        <v>1.3251273344651953</v>
      </c>
      <c r="G71" s="3" t="s">
        <v>43</v>
      </c>
      <c r="H71" s="3" t="s">
        <v>44</v>
      </c>
    </row>
    <row r="72" spans="1:8" ht="25.95" customHeight="1" x14ac:dyDescent="0.3">
      <c r="A72" s="3" t="s">
        <v>169</v>
      </c>
      <c r="B72" s="3" t="s">
        <v>170</v>
      </c>
      <c r="C72" s="12">
        <v>1006</v>
      </c>
      <c r="D72" s="12">
        <f t="shared" si="2"/>
        <v>1.331013916500994</v>
      </c>
      <c r="E72" s="12">
        <v>1191</v>
      </c>
      <c r="F72" s="12">
        <f t="shared" si="3"/>
        <v>1.3106633081444166</v>
      </c>
      <c r="G72" s="3" t="s">
        <v>43</v>
      </c>
      <c r="H72" s="3" t="s">
        <v>44</v>
      </c>
    </row>
    <row r="73" spans="1:8" ht="25.95" customHeight="1" x14ac:dyDescent="0.3">
      <c r="A73" s="3" t="s">
        <v>171</v>
      </c>
      <c r="B73" s="3" t="s">
        <v>172</v>
      </c>
      <c r="C73" s="12">
        <v>1011</v>
      </c>
      <c r="D73" s="12">
        <f t="shared" ref="D73:D104" si="4">$B$3/C73</f>
        <v>1.324431256181998</v>
      </c>
      <c r="E73" s="12">
        <v>1187</v>
      </c>
      <c r="F73" s="12">
        <f t="shared" ref="F73:F104" si="5">IFERROR($B$5/E73,0)</f>
        <v>1.3150800336983994</v>
      </c>
      <c r="G73" s="3" t="s">
        <v>43</v>
      </c>
      <c r="H73" s="3" t="s">
        <v>44</v>
      </c>
    </row>
    <row r="74" spans="1:8" ht="25.95" customHeight="1" x14ac:dyDescent="0.3">
      <c r="A74" s="3" t="s">
        <v>173</v>
      </c>
      <c r="B74" s="3" t="s">
        <v>174</v>
      </c>
      <c r="C74" s="12">
        <v>1015</v>
      </c>
      <c r="D74" s="12">
        <f t="shared" si="4"/>
        <v>1.3192118226600986</v>
      </c>
      <c r="E74" s="12">
        <v>1191</v>
      </c>
      <c r="F74" s="12">
        <f t="shared" si="5"/>
        <v>1.3106633081444166</v>
      </c>
      <c r="G74" s="3" t="s">
        <v>43</v>
      </c>
      <c r="H74" s="3" t="s">
        <v>44</v>
      </c>
    </row>
    <row r="75" spans="1:8" ht="25.95" customHeight="1" x14ac:dyDescent="0.3">
      <c r="A75" s="3" t="s">
        <v>175</v>
      </c>
      <c r="B75" s="3" t="s">
        <v>176</v>
      </c>
      <c r="C75" s="12">
        <v>1024</v>
      </c>
      <c r="D75" s="12">
        <f t="shared" si="4"/>
        <v>1.3076171875</v>
      </c>
      <c r="E75" s="12">
        <v>1199</v>
      </c>
      <c r="F75" s="12">
        <f t="shared" si="5"/>
        <v>1.3019182652210175</v>
      </c>
      <c r="G75" s="3" t="s">
        <v>43</v>
      </c>
      <c r="H75" s="3" t="s">
        <v>44</v>
      </c>
    </row>
    <row r="76" spans="1:8" ht="25.95" customHeight="1" x14ac:dyDescent="0.3">
      <c r="A76" s="3" t="s">
        <v>177</v>
      </c>
      <c r="B76" s="3" t="s">
        <v>178</v>
      </c>
      <c r="C76" s="12">
        <v>1025</v>
      </c>
      <c r="D76" s="12">
        <f t="shared" si="4"/>
        <v>1.3063414634146342</v>
      </c>
      <c r="E76" s="12">
        <v>1195</v>
      </c>
      <c r="F76" s="12">
        <f t="shared" si="5"/>
        <v>1.306276150627615</v>
      </c>
      <c r="G76" s="3" t="s">
        <v>43</v>
      </c>
      <c r="H76" s="3" t="s">
        <v>44</v>
      </c>
    </row>
    <row r="77" spans="1:8" ht="25.95" customHeight="1" x14ac:dyDescent="0.3">
      <c r="A77" s="3" t="s">
        <v>179</v>
      </c>
      <c r="B77" s="3" t="s">
        <v>180</v>
      </c>
      <c r="C77" s="12">
        <v>1026</v>
      </c>
      <c r="D77" s="12">
        <f t="shared" si="4"/>
        <v>1.3050682261208577</v>
      </c>
      <c r="E77" s="12">
        <v>1203</v>
      </c>
      <c r="F77" s="12">
        <f t="shared" si="5"/>
        <v>1.2975893599334996</v>
      </c>
      <c r="G77" s="3" t="s">
        <v>43</v>
      </c>
      <c r="H77" s="3" t="s">
        <v>44</v>
      </c>
    </row>
    <row r="78" spans="1:8" ht="25.95" customHeight="1" x14ac:dyDescent="0.3">
      <c r="A78" s="3" t="s">
        <v>181</v>
      </c>
      <c r="B78" s="3" t="s">
        <v>182</v>
      </c>
      <c r="C78" s="12">
        <v>1032</v>
      </c>
      <c r="D78" s="12">
        <f t="shared" si="4"/>
        <v>1.2974806201550388</v>
      </c>
      <c r="E78" s="12">
        <v>1220</v>
      </c>
      <c r="F78" s="12">
        <f t="shared" si="5"/>
        <v>1.2795081967213116</v>
      </c>
      <c r="G78" s="3" t="s">
        <v>43</v>
      </c>
      <c r="H78" s="3" t="s">
        <v>44</v>
      </c>
    </row>
    <row r="79" spans="1:8" ht="25.95" customHeight="1" x14ac:dyDescent="0.3">
      <c r="A79" s="3" t="s">
        <v>183</v>
      </c>
      <c r="B79" s="3" t="s">
        <v>184</v>
      </c>
      <c r="C79" s="12">
        <v>1039</v>
      </c>
      <c r="D79" s="12">
        <f t="shared" si="4"/>
        <v>1.2887391722810395</v>
      </c>
      <c r="E79" s="12">
        <v>1226</v>
      </c>
      <c r="F79" s="12">
        <f t="shared" si="5"/>
        <v>1.2732463295269167</v>
      </c>
      <c r="G79" s="3" t="s">
        <v>43</v>
      </c>
      <c r="H79" s="3" t="s">
        <v>44</v>
      </c>
    </row>
    <row r="80" spans="1:8" ht="25.95" customHeight="1" x14ac:dyDescent="0.3">
      <c r="A80" s="3" t="s">
        <v>185</v>
      </c>
      <c r="B80" s="3" t="s">
        <v>186</v>
      </c>
      <c r="C80" s="12">
        <v>1044</v>
      </c>
      <c r="D80" s="12">
        <f t="shared" si="4"/>
        <v>1.2825670498084292</v>
      </c>
      <c r="E80" s="12">
        <v>1240</v>
      </c>
      <c r="F80" s="12">
        <f t="shared" si="5"/>
        <v>1.2588709677419354</v>
      </c>
      <c r="G80" s="3" t="s">
        <v>43</v>
      </c>
      <c r="H80" s="3" t="s">
        <v>44</v>
      </c>
    </row>
    <row r="81" spans="1:8" ht="25.95" customHeight="1" x14ac:dyDescent="0.3">
      <c r="A81" s="3" t="s">
        <v>187</v>
      </c>
      <c r="B81" s="3" t="s">
        <v>188</v>
      </c>
      <c r="C81" s="12">
        <v>1052</v>
      </c>
      <c r="D81" s="12">
        <f t="shared" si="4"/>
        <v>1.2728136882129277</v>
      </c>
      <c r="E81" s="12">
        <v>1251</v>
      </c>
      <c r="F81" s="12">
        <f t="shared" si="5"/>
        <v>1.2478017585931256</v>
      </c>
      <c r="G81" s="3" t="s">
        <v>43</v>
      </c>
      <c r="H81" s="3" t="s">
        <v>44</v>
      </c>
    </row>
    <row r="82" spans="1:8" ht="25.95" customHeight="1" x14ac:dyDescent="0.3">
      <c r="A82" s="3" t="s">
        <v>189</v>
      </c>
      <c r="B82" s="3" t="s">
        <v>190</v>
      </c>
      <c r="C82" s="12">
        <v>1047</v>
      </c>
      <c r="D82" s="12">
        <f t="shared" si="4"/>
        <v>1.2788920725883477</v>
      </c>
      <c r="E82" s="12">
        <v>1250</v>
      </c>
      <c r="F82" s="12">
        <f t="shared" si="5"/>
        <v>1.2487999999999999</v>
      </c>
      <c r="G82" s="3" t="s">
        <v>43</v>
      </c>
      <c r="H82" s="3" t="s">
        <v>44</v>
      </c>
    </row>
    <row r="83" spans="1:8" ht="25.95" customHeight="1" x14ac:dyDescent="0.3">
      <c r="A83" s="3" t="s">
        <v>191</v>
      </c>
      <c r="B83" s="3" t="s">
        <v>192</v>
      </c>
      <c r="C83" s="12">
        <v>1054</v>
      </c>
      <c r="D83" s="12">
        <f t="shared" si="4"/>
        <v>1.2703984819734346</v>
      </c>
      <c r="E83" s="12">
        <v>1250</v>
      </c>
      <c r="F83" s="12">
        <f t="shared" si="5"/>
        <v>1.2487999999999999</v>
      </c>
      <c r="G83" s="3" t="s">
        <v>43</v>
      </c>
      <c r="H83" s="3" t="s">
        <v>44</v>
      </c>
    </row>
    <row r="84" spans="1:8" ht="25.95" customHeight="1" x14ac:dyDescent="0.3">
      <c r="A84" s="3" t="s">
        <v>193</v>
      </c>
      <c r="B84" s="3" t="s">
        <v>194</v>
      </c>
      <c r="C84" s="12">
        <v>1059</v>
      </c>
      <c r="D84" s="12">
        <f t="shared" si="4"/>
        <v>1.2644003777148254</v>
      </c>
      <c r="E84" s="12">
        <v>1252</v>
      </c>
      <c r="F84" s="12">
        <f t="shared" si="5"/>
        <v>1.2468051118210863</v>
      </c>
      <c r="G84" s="3" t="s">
        <v>43</v>
      </c>
      <c r="H84" s="3" t="s">
        <v>44</v>
      </c>
    </row>
    <row r="85" spans="1:8" ht="25.95" customHeight="1" x14ac:dyDescent="0.3">
      <c r="A85" s="3" t="s">
        <v>195</v>
      </c>
      <c r="B85" s="3" t="s">
        <v>196</v>
      </c>
      <c r="C85" s="12">
        <v>1068</v>
      </c>
      <c r="D85" s="12">
        <f t="shared" si="4"/>
        <v>1.2537453183520599</v>
      </c>
      <c r="E85" s="12">
        <v>1258</v>
      </c>
      <c r="F85" s="12">
        <f t="shared" si="5"/>
        <v>1.2408585055643879</v>
      </c>
      <c r="G85" s="3" t="s">
        <v>43</v>
      </c>
      <c r="H85" s="3" t="s">
        <v>44</v>
      </c>
    </row>
    <row r="86" spans="1:8" ht="25.95" customHeight="1" x14ac:dyDescent="0.3">
      <c r="A86" s="3" t="s">
        <v>197</v>
      </c>
      <c r="B86" s="3" t="s">
        <v>198</v>
      </c>
      <c r="C86" s="12">
        <v>1082</v>
      </c>
      <c r="D86" s="12">
        <f t="shared" si="4"/>
        <v>1.2375231053604436</v>
      </c>
      <c r="E86" s="12">
        <v>1273</v>
      </c>
      <c r="F86" s="12">
        <f t="shared" si="5"/>
        <v>1.2262372348782404</v>
      </c>
      <c r="G86" s="3" t="s">
        <v>43</v>
      </c>
      <c r="H86" s="3" t="s">
        <v>44</v>
      </c>
    </row>
    <row r="87" spans="1:8" ht="25.95" customHeight="1" x14ac:dyDescent="0.3">
      <c r="A87" s="3" t="s">
        <v>199</v>
      </c>
      <c r="B87" s="3" t="s">
        <v>200</v>
      </c>
      <c r="C87" s="12">
        <v>1106</v>
      </c>
      <c r="D87" s="12">
        <f t="shared" si="4"/>
        <v>1.2106690777576854</v>
      </c>
      <c r="E87" s="12">
        <v>1302</v>
      </c>
      <c r="F87" s="12">
        <f t="shared" si="5"/>
        <v>1.1989247311827957</v>
      </c>
      <c r="G87" s="3" t="s">
        <v>43</v>
      </c>
      <c r="H87" s="3" t="s">
        <v>44</v>
      </c>
    </row>
    <row r="88" spans="1:8" ht="25.95" customHeight="1" x14ac:dyDescent="0.3">
      <c r="A88" s="3" t="s">
        <v>201</v>
      </c>
      <c r="B88" s="3" t="s">
        <v>202</v>
      </c>
      <c r="C88" s="12">
        <v>1122</v>
      </c>
      <c r="D88" s="12">
        <f t="shared" si="4"/>
        <v>1.1934046345811051</v>
      </c>
      <c r="E88" s="12">
        <v>1320</v>
      </c>
      <c r="F88" s="12">
        <f t="shared" si="5"/>
        <v>1.1825757575757576</v>
      </c>
      <c r="G88" s="3" t="s">
        <v>43</v>
      </c>
      <c r="H88" s="3" t="s">
        <v>44</v>
      </c>
    </row>
    <row r="89" spans="1:8" ht="25.95" customHeight="1" x14ac:dyDescent="0.3">
      <c r="A89" s="3" t="s">
        <v>203</v>
      </c>
      <c r="B89" s="3" t="s">
        <v>204</v>
      </c>
      <c r="C89" s="12">
        <v>1142</v>
      </c>
      <c r="D89" s="12">
        <f t="shared" si="4"/>
        <v>1.1725043782837128</v>
      </c>
      <c r="E89" s="12">
        <v>1339</v>
      </c>
      <c r="F89" s="12">
        <f t="shared" si="5"/>
        <v>1.1657953696788648</v>
      </c>
      <c r="G89" s="3" t="s">
        <v>43</v>
      </c>
      <c r="H89" s="3" t="s">
        <v>44</v>
      </c>
    </row>
    <row r="90" spans="1:8" ht="25.95" customHeight="1" x14ac:dyDescent="0.3">
      <c r="A90" s="3" t="s">
        <v>205</v>
      </c>
      <c r="B90" s="3" t="s">
        <v>206</v>
      </c>
      <c r="C90" s="12">
        <v>1161</v>
      </c>
      <c r="D90" s="12">
        <f t="shared" si="4"/>
        <v>1.1533161068044788</v>
      </c>
      <c r="E90" s="12">
        <v>1358</v>
      </c>
      <c r="F90" s="12">
        <f t="shared" si="5"/>
        <v>1.1494845360824741</v>
      </c>
      <c r="G90" s="3" t="s">
        <v>43</v>
      </c>
      <c r="H90" s="3" t="s">
        <v>44</v>
      </c>
    </row>
    <row r="91" spans="1:8" ht="25.95" customHeight="1" x14ac:dyDescent="0.3">
      <c r="A91" s="3" t="s">
        <v>207</v>
      </c>
      <c r="B91" s="3" t="s">
        <v>208</v>
      </c>
      <c r="C91" s="12">
        <v>1186</v>
      </c>
      <c r="D91" s="12">
        <f t="shared" si="4"/>
        <v>1.1290050590219225</v>
      </c>
      <c r="E91" s="12">
        <v>1364</v>
      </c>
      <c r="F91" s="12">
        <f t="shared" si="5"/>
        <v>1.1444281524926687</v>
      </c>
      <c r="G91" s="3" t="s">
        <v>43</v>
      </c>
      <c r="H91" s="3" t="s">
        <v>44</v>
      </c>
    </row>
    <row r="92" spans="1:8" ht="25.95" customHeight="1" x14ac:dyDescent="0.3">
      <c r="A92" s="3" t="s">
        <v>209</v>
      </c>
      <c r="B92" s="3" t="s">
        <v>210</v>
      </c>
      <c r="C92" s="12">
        <v>1203</v>
      </c>
      <c r="D92" s="12">
        <f t="shared" si="4"/>
        <v>1.113050706566916</v>
      </c>
      <c r="E92" s="12">
        <v>1392</v>
      </c>
      <c r="F92" s="12">
        <f t="shared" si="5"/>
        <v>1.1214080459770115</v>
      </c>
      <c r="G92" s="3" t="s">
        <v>43</v>
      </c>
      <c r="H92" s="3" t="s">
        <v>44</v>
      </c>
    </row>
    <row r="93" spans="1:8" ht="25.95" customHeight="1" x14ac:dyDescent="0.3">
      <c r="A93" s="3" t="s">
        <v>211</v>
      </c>
      <c r="B93" s="3" t="s">
        <v>212</v>
      </c>
      <c r="C93" s="12">
        <v>1218</v>
      </c>
      <c r="D93" s="12">
        <f t="shared" si="4"/>
        <v>1.0993431855500821</v>
      </c>
      <c r="E93" s="12">
        <v>1409</v>
      </c>
      <c r="F93" s="12">
        <f t="shared" si="5"/>
        <v>1.1078779276082329</v>
      </c>
      <c r="G93" s="3" t="s">
        <v>43</v>
      </c>
      <c r="H93" s="3" t="s">
        <v>44</v>
      </c>
    </row>
    <row r="94" spans="1:8" ht="25.95" customHeight="1" x14ac:dyDescent="0.3">
      <c r="A94" s="3" t="s">
        <v>213</v>
      </c>
      <c r="B94" s="3" t="s">
        <v>214</v>
      </c>
      <c r="C94" s="12">
        <v>1231</v>
      </c>
      <c r="D94" s="12">
        <f t="shared" si="4"/>
        <v>1.0877335499593825</v>
      </c>
      <c r="E94" s="12">
        <v>1429</v>
      </c>
      <c r="F94" s="12">
        <f t="shared" si="5"/>
        <v>1.0923722883135059</v>
      </c>
      <c r="G94" s="3" t="s">
        <v>43</v>
      </c>
      <c r="H94" s="3" t="s">
        <v>44</v>
      </c>
    </row>
    <row r="95" spans="1:8" ht="25.95" customHeight="1" x14ac:dyDescent="0.3">
      <c r="A95" s="3" t="s">
        <v>215</v>
      </c>
      <c r="B95" s="3" t="s">
        <v>216</v>
      </c>
      <c r="C95" s="12">
        <v>1253</v>
      </c>
      <c r="D95" s="12">
        <f t="shared" si="4"/>
        <v>1.0686352753391859</v>
      </c>
      <c r="E95" s="12">
        <v>1448</v>
      </c>
      <c r="F95" s="12">
        <f t="shared" si="5"/>
        <v>1.0780386740331491</v>
      </c>
      <c r="G95" s="3" t="s">
        <v>43</v>
      </c>
      <c r="H95" s="3" t="s">
        <v>44</v>
      </c>
    </row>
    <row r="96" spans="1:8" ht="25.95" customHeight="1" x14ac:dyDescent="0.3">
      <c r="A96" s="3" t="s">
        <v>217</v>
      </c>
      <c r="B96" s="3" t="s">
        <v>218</v>
      </c>
      <c r="C96" s="12">
        <v>1259</v>
      </c>
      <c r="D96" s="12">
        <f t="shared" si="4"/>
        <v>1.0635424940428913</v>
      </c>
      <c r="E96" s="12">
        <v>1435</v>
      </c>
      <c r="F96" s="12">
        <f t="shared" si="5"/>
        <v>1.0878048780487806</v>
      </c>
      <c r="G96" s="3" t="s">
        <v>43</v>
      </c>
      <c r="H96" s="3" t="s">
        <v>44</v>
      </c>
    </row>
    <row r="97" spans="1:8" ht="25.95" customHeight="1" x14ac:dyDescent="0.3">
      <c r="A97" s="3" t="s">
        <v>219</v>
      </c>
      <c r="B97" s="3" t="s">
        <v>220</v>
      </c>
      <c r="C97" s="12">
        <v>1267</v>
      </c>
      <c r="D97" s="12">
        <f t="shared" si="4"/>
        <v>1.0568271507498026</v>
      </c>
      <c r="E97" s="12">
        <v>1460</v>
      </c>
      <c r="F97" s="12">
        <f t="shared" si="5"/>
        <v>1.0691780821917809</v>
      </c>
      <c r="G97" s="3" t="s">
        <v>43</v>
      </c>
      <c r="H97" s="3" t="s">
        <v>44</v>
      </c>
    </row>
    <row r="98" spans="1:8" ht="25.95" customHeight="1" x14ac:dyDescent="0.3">
      <c r="A98" s="3" t="s">
        <v>221</v>
      </c>
      <c r="B98" s="3" t="s">
        <v>222</v>
      </c>
      <c r="C98" s="12">
        <v>1272</v>
      </c>
      <c r="D98" s="12">
        <f t="shared" si="4"/>
        <v>1.0526729559748427</v>
      </c>
      <c r="E98" s="12">
        <v>1475</v>
      </c>
      <c r="F98" s="12">
        <f t="shared" si="5"/>
        <v>1.0583050847457627</v>
      </c>
      <c r="G98" s="3" t="s">
        <v>43</v>
      </c>
      <c r="H98" s="3" t="s">
        <v>44</v>
      </c>
    </row>
    <row r="99" spans="1:8" ht="25.95" customHeight="1" x14ac:dyDescent="0.3">
      <c r="A99" s="3" t="s">
        <v>223</v>
      </c>
      <c r="B99" s="3" t="s">
        <v>224</v>
      </c>
      <c r="C99" s="12">
        <v>1280</v>
      </c>
      <c r="D99" s="12">
        <f t="shared" si="4"/>
        <v>1.04609375</v>
      </c>
      <c r="E99" s="12">
        <v>1497</v>
      </c>
      <c r="F99" s="12">
        <f t="shared" si="5"/>
        <v>1.042752171008684</v>
      </c>
      <c r="G99" s="3" t="s">
        <v>43</v>
      </c>
      <c r="H99" s="3" t="s">
        <v>44</v>
      </c>
    </row>
    <row r="100" spans="1:8" ht="25.95" customHeight="1" x14ac:dyDescent="0.3">
      <c r="A100" s="3" t="s">
        <v>225</v>
      </c>
      <c r="B100" s="3" t="s">
        <v>226</v>
      </c>
      <c r="C100" s="12">
        <v>1287</v>
      </c>
      <c r="D100" s="12">
        <f t="shared" si="4"/>
        <v>1.0404040404040404</v>
      </c>
      <c r="E100" s="12">
        <v>1512</v>
      </c>
      <c r="F100" s="12">
        <f t="shared" si="5"/>
        <v>1.0324074074074074</v>
      </c>
      <c r="G100" s="3" t="s">
        <v>43</v>
      </c>
      <c r="H100" s="3" t="s">
        <v>44</v>
      </c>
    </row>
    <row r="101" spans="1:8" ht="25.95" customHeight="1" x14ac:dyDescent="0.3">
      <c r="A101" s="3" t="s">
        <v>227</v>
      </c>
      <c r="B101" s="3" t="s">
        <v>228</v>
      </c>
      <c r="C101" s="12">
        <v>1299</v>
      </c>
      <c r="D101" s="12">
        <f t="shared" si="4"/>
        <v>1.0307929176289454</v>
      </c>
      <c r="E101" s="12">
        <v>1521</v>
      </c>
      <c r="F101" s="12">
        <f t="shared" si="5"/>
        <v>1.0262984878369494</v>
      </c>
      <c r="G101" s="3" t="s">
        <v>43</v>
      </c>
      <c r="H101" s="3" t="s">
        <v>44</v>
      </c>
    </row>
    <row r="102" spans="1:8" ht="25.95" customHeight="1" x14ac:dyDescent="0.3">
      <c r="A102" s="3" t="s">
        <v>229</v>
      </c>
      <c r="B102" s="3" t="s">
        <v>230</v>
      </c>
      <c r="C102" s="12">
        <v>1306</v>
      </c>
      <c r="D102" s="12">
        <f t="shared" si="4"/>
        <v>1.0252679938744258</v>
      </c>
      <c r="E102" s="12">
        <v>1535</v>
      </c>
      <c r="F102" s="12">
        <f t="shared" si="5"/>
        <v>1.0169381107491857</v>
      </c>
      <c r="G102" s="3" t="s">
        <v>43</v>
      </c>
      <c r="H102" s="3" t="s">
        <v>44</v>
      </c>
    </row>
    <row r="103" spans="1:8" ht="25.95" customHeight="1" x14ac:dyDescent="0.3">
      <c r="A103" s="3" t="s">
        <v>231</v>
      </c>
      <c r="B103" s="3" t="s">
        <v>232</v>
      </c>
      <c r="C103" s="12">
        <v>1319</v>
      </c>
      <c r="D103" s="12">
        <f t="shared" si="4"/>
        <v>1.0151630022744504</v>
      </c>
      <c r="E103" s="12">
        <v>1542</v>
      </c>
      <c r="F103" s="12">
        <f t="shared" si="5"/>
        <v>1.0123216601815823</v>
      </c>
      <c r="G103" s="3" t="s">
        <v>43</v>
      </c>
      <c r="H103" s="3" t="s">
        <v>44</v>
      </c>
    </row>
    <row r="104" spans="1:8" ht="25.95" customHeight="1" x14ac:dyDescent="0.3">
      <c r="A104" s="3" t="s">
        <v>29</v>
      </c>
      <c r="B104" s="3" t="s">
        <v>233</v>
      </c>
      <c r="C104" s="12">
        <v>1327</v>
      </c>
      <c r="D104" s="12">
        <f t="shared" si="4"/>
        <v>1.0090429540316503</v>
      </c>
      <c r="E104" s="12">
        <v>1561</v>
      </c>
      <c r="F104" s="12">
        <f t="shared" si="5"/>
        <v>1</v>
      </c>
      <c r="G104" s="3" t="s">
        <v>43</v>
      </c>
      <c r="H104" s="3" t="s">
        <v>234</v>
      </c>
    </row>
    <row r="105" spans="1:8" ht="25.95" customHeight="1" x14ac:dyDescent="0.3">
      <c r="A105" s="3" t="s">
        <v>26</v>
      </c>
      <c r="B105" s="3" t="s">
        <v>235</v>
      </c>
      <c r="C105" s="12">
        <v>1339</v>
      </c>
      <c r="D105" s="12">
        <f t="shared" ref="D105" si="6">$B$3/C105</f>
        <v>1</v>
      </c>
      <c r="E105" s="12">
        <v>0</v>
      </c>
      <c r="F105" s="12">
        <f t="shared" ref="F105" si="7">IFERROR($B$5/E105,0)</f>
        <v>0</v>
      </c>
      <c r="G105" s="3" t="s">
        <v>236</v>
      </c>
      <c r="H105" s="3" t="s">
        <v>237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98"/>
  <sheetViews>
    <sheetView showGridLines="0" topLeftCell="H70" workbookViewId="0">
      <selection activeCell="T2" sqref="T2:T98"/>
    </sheetView>
  </sheetViews>
  <sheetFormatPr defaultRowHeight="14.4" x14ac:dyDescent="0.3"/>
  <cols>
    <col min="1" max="1" width="10" customWidth="1"/>
    <col min="2" max="2" width="12" customWidth="1"/>
    <col min="3" max="42" width="16" customWidth="1"/>
    <col min="43" max="49" width="12" customWidth="1"/>
    <col min="50" max="50" width="26" customWidth="1"/>
    <col min="51" max="51" width="24" customWidth="1"/>
  </cols>
  <sheetData>
    <row r="1" spans="1:51" ht="48" customHeight="1" x14ac:dyDescent="0.3">
      <c r="A1" s="21" t="s">
        <v>33</v>
      </c>
      <c r="B1" s="22" t="s">
        <v>34</v>
      </c>
      <c r="C1" s="22" t="s">
        <v>35</v>
      </c>
      <c r="D1" s="22" t="s">
        <v>36</v>
      </c>
      <c r="E1" s="22" t="s">
        <v>37</v>
      </c>
      <c r="F1" s="22" t="s">
        <v>38</v>
      </c>
      <c r="G1" s="22" t="s">
        <v>238</v>
      </c>
      <c r="H1" s="22" t="s">
        <v>239</v>
      </c>
      <c r="I1" s="22" t="s">
        <v>240</v>
      </c>
      <c r="J1" s="22" t="s">
        <v>241</v>
      </c>
      <c r="K1" s="22" t="s">
        <v>242</v>
      </c>
      <c r="L1" s="22" t="s">
        <v>243</v>
      </c>
      <c r="M1" s="22" t="s">
        <v>244</v>
      </c>
      <c r="N1" s="22" t="s">
        <v>245</v>
      </c>
      <c r="O1" s="22" t="s">
        <v>246</v>
      </c>
      <c r="P1" s="22" t="s">
        <v>247</v>
      </c>
      <c r="Q1" s="22" t="s">
        <v>248</v>
      </c>
      <c r="R1" s="22" t="s">
        <v>249</v>
      </c>
      <c r="S1" s="22" t="s">
        <v>250</v>
      </c>
      <c r="T1" s="22" t="s">
        <v>251</v>
      </c>
      <c r="U1" s="22" t="s">
        <v>252</v>
      </c>
      <c r="V1" s="22" t="s">
        <v>253</v>
      </c>
      <c r="W1" s="22" t="s">
        <v>254</v>
      </c>
      <c r="X1" s="22" t="s">
        <v>255</v>
      </c>
      <c r="Y1" s="22" t="s">
        <v>256</v>
      </c>
      <c r="Z1" s="22" t="s">
        <v>257</v>
      </c>
      <c r="AA1" s="22" t="s">
        <v>258</v>
      </c>
      <c r="AB1" s="22" t="s">
        <v>259</v>
      </c>
      <c r="AC1" s="22" t="s">
        <v>260</v>
      </c>
      <c r="AD1" s="22" t="s">
        <v>261</v>
      </c>
      <c r="AE1" s="22" t="s">
        <v>262</v>
      </c>
      <c r="AF1" s="22" t="s">
        <v>263</v>
      </c>
      <c r="AG1" s="22" t="s">
        <v>264</v>
      </c>
      <c r="AH1" s="22" t="s">
        <v>265</v>
      </c>
      <c r="AI1" s="22" t="s">
        <v>266</v>
      </c>
      <c r="AJ1" s="22" t="s">
        <v>267</v>
      </c>
      <c r="AK1" s="22" t="s">
        <v>268</v>
      </c>
      <c r="AL1" s="22" t="s">
        <v>269</v>
      </c>
      <c r="AM1" s="22" t="s">
        <v>270</v>
      </c>
      <c r="AN1" s="22" t="s">
        <v>271</v>
      </c>
      <c r="AO1" s="22" t="s">
        <v>272</v>
      </c>
      <c r="AP1" s="22" t="s">
        <v>273</v>
      </c>
      <c r="AQ1" s="22" t="s">
        <v>274</v>
      </c>
      <c r="AR1" s="22" t="s">
        <v>275</v>
      </c>
      <c r="AS1" s="22" t="s">
        <v>276</v>
      </c>
      <c r="AT1" s="22" t="s">
        <v>277</v>
      </c>
      <c r="AU1" s="22" t="s">
        <v>278</v>
      </c>
      <c r="AV1" s="22" t="s">
        <v>279</v>
      </c>
      <c r="AW1" s="22" t="s">
        <v>280</v>
      </c>
      <c r="AX1" s="22" t="s">
        <v>39</v>
      </c>
      <c r="AY1" s="23" t="s">
        <v>40</v>
      </c>
    </row>
    <row r="2" spans="1:51" ht="19.95" customHeight="1" x14ac:dyDescent="0.3">
      <c r="A2" s="3" t="s">
        <v>41</v>
      </c>
      <c r="B2" s="3" t="s">
        <v>42</v>
      </c>
      <c r="C2" s="3">
        <f>Deflators!C9</f>
        <v>727</v>
      </c>
      <c r="D2" s="3">
        <f>Deflators!D9</f>
        <v>1.8418156808803301</v>
      </c>
      <c r="E2" s="3">
        <f>Deflators!E9</f>
        <v>835</v>
      </c>
      <c r="F2" s="3">
        <f>Deflators!F9</f>
        <v>1.8694610778443115</v>
      </c>
      <c r="G2" s="16">
        <v>32976000000</v>
      </c>
      <c r="H2" s="16">
        <v>3935700</v>
      </c>
      <c r="I2" s="17">
        <f t="shared" ref="I2:I33" si="0">IFERROR(G2/H2,0)</f>
        <v>8378.687399954264</v>
      </c>
      <c r="J2" s="17">
        <f t="shared" ref="J2:J33" si="1">G2*F2</f>
        <v>61647348502.994019</v>
      </c>
      <c r="K2" s="17">
        <f t="shared" ref="K2:K33" si="2">IFERROR(J2/H2,0)</f>
        <v>15663.629977639052</v>
      </c>
      <c r="L2" s="18">
        <f t="shared" ref="L2:L33" si="3">IFERROR(LN(J2),0)</f>
        <v>24.844696056759091</v>
      </c>
      <c r="M2" s="18">
        <f>IFERROR(LN(K2),0)</f>
        <v>9.659096742021859</v>
      </c>
      <c r="N2" s="19">
        <v>97.000000004655959</v>
      </c>
      <c r="O2" s="19">
        <f>N2*D2</f>
        <v>178.65612105396744</v>
      </c>
      <c r="P2" s="19">
        <f t="shared" ref="P2:P33" si="4">IFERROR(LN(O2),0)</f>
        <v>5.1854628467090356</v>
      </c>
      <c r="Q2" s="19">
        <v>61.452198322581232</v>
      </c>
      <c r="R2" s="19">
        <f>Q2*D2</f>
        <v>113.18362249509804</v>
      </c>
      <c r="S2" s="19">
        <f t="shared" ref="S2:S33" si="5">IFERROR(LN(R2),0)</f>
        <v>4.729011477697127</v>
      </c>
      <c r="T2" s="17">
        <v>1864.0903271673669</v>
      </c>
      <c r="U2" s="17">
        <f t="shared" ref="U2:U33" si="6">T2*H2</f>
        <v>7336500300.6326056</v>
      </c>
      <c r="V2" s="18">
        <f>IFERROR(LN(T2),0)</f>
        <v>7.5305284528522236</v>
      </c>
      <c r="W2" s="18">
        <f t="shared" ref="W2:W33" si="7">IFERROR(LN(U2),0)</f>
        <v>22.716127767589455</v>
      </c>
      <c r="X2" s="12">
        <v>5.3</v>
      </c>
      <c r="Y2" s="12">
        <f t="shared" ref="Y2:Y33" si="8">X2/100</f>
        <v>5.2999999999999999E-2</v>
      </c>
      <c r="Z2" s="18">
        <f t="shared" ref="Z2:Z33" si="9">IFERROR(LN(Y2),0)</f>
        <v>-2.9374633654300153</v>
      </c>
      <c r="AA2" s="16">
        <v>0</v>
      </c>
      <c r="AB2" s="16">
        <v>0</v>
      </c>
      <c r="AC2" s="19">
        <f t="shared" ref="AC2:AC33" si="10">IFERROR(AA2/AB2*1000,0)</f>
        <v>0</v>
      </c>
      <c r="AD2" s="19">
        <f t="shared" ref="AD2:AD33" si="11">AC2*D2</f>
        <v>0</v>
      </c>
      <c r="AE2" s="19">
        <f t="shared" ref="AE2:AE33" si="12">IFERROR(LN(AD2),0)</f>
        <v>0</v>
      </c>
      <c r="AF2" s="19">
        <v>0</v>
      </c>
      <c r="AG2" s="18">
        <f>IFERROR(LN(AF2),0)</f>
        <v>0</v>
      </c>
      <c r="AH2" s="16">
        <v>0</v>
      </c>
      <c r="AI2" s="16">
        <v>0</v>
      </c>
      <c r="AJ2" s="19">
        <f t="shared" ref="AJ2:AJ33" si="13">IFERROR(AH2/AI2*1000,0)</f>
        <v>0</v>
      </c>
      <c r="AK2" s="19">
        <f t="shared" ref="AK2:AK33" si="14">AJ2*D2</f>
        <v>0</v>
      </c>
      <c r="AL2" s="19">
        <f t="shared" ref="AL2:AL33" si="15">IFERROR(LN(AK2),0)</f>
        <v>0</v>
      </c>
      <c r="AM2" s="19">
        <f t="shared" ref="AM2:AM33" si="16">IFERROR(AK3,0)</f>
        <v>0</v>
      </c>
      <c r="AN2" s="18">
        <f t="shared" ref="AN2:AN33" si="17">IFERROR(LN(AM2),0)</f>
        <v>0</v>
      </c>
      <c r="AO2" s="20">
        <v>1</v>
      </c>
      <c r="AP2" s="20">
        <f>LN(AO2)</f>
        <v>0</v>
      </c>
      <c r="AQ2" s="20">
        <v>0</v>
      </c>
      <c r="AR2" s="20">
        <v>0</v>
      </c>
      <c r="AS2" s="20">
        <v>0</v>
      </c>
      <c r="AT2" s="18">
        <v>0</v>
      </c>
      <c r="AU2" s="3">
        <v>0</v>
      </c>
      <c r="AV2" s="3">
        <v>0</v>
      </c>
      <c r="AW2" s="3">
        <f t="shared" ref="AW2:AW33" si="18">AQ2*AP2</f>
        <v>0</v>
      </c>
      <c r="AX2" s="3" t="s">
        <v>281</v>
      </c>
      <c r="AY2" s="3" t="s">
        <v>44</v>
      </c>
    </row>
    <row r="3" spans="1:51" ht="19.95" customHeight="1" x14ac:dyDescent="0.3">
      <c r="A3" s="3" t="s">
        <v>45</v>
      </c>
      <c r="B3" s="3" t="s">
        <v>46</v>
      </c>
      <c r="C3" s="3">
        <f>Deflators!C10</f>
        <v>734</v>
      </c>
      <c r="D3" s="3">
        <f>Deflators!D10</f>
        <v>1.8242506811989101</v>
      </c>
      <c r="E3" s="3">
        <f>Deflators!E10</f>
        <v>825</v>
      </c>
      <c r="F3" s="3">
        <f>Deflators!F10</f>
        <v>1.8921212121212121</v>
      </c>
      <c r="G3" s="16">
        <v>32897000000</v>
      </c>
      <c r="H3" s="16">
        <v>3948500</v>
      </c>
      <c r="I3" s="17">
        <f t="shared" si="0"/>
        <v>8331.5182980878817</v>
      </c>
      <c r="J3" s="17">
        <f t="shared" si="1"/>
        <v>62245111515.151512</v>
      </c>
      <c r="K3" s="17">
        <f t="shared" si="2"/>
        <v>15764.242500988099</v>
      </c>
      <c r="L3" s="18">
        <f t="shared" si="3"/>
        <v>24.854345839330513</v>
      </c>
      <c r="M3" s="18">
        <f t="shared" ref="M3:M33" si="19">IFERROR(LN(K3),0)</f>
        <v>9.6654995214107391</v>
      </c>
      <c r="N3" s="19">
        <v>106.80000001135113</v>
      </c>
      <c r="O3" s="19">
        <f t="shared" ref="O3:O33" si="20">N3*D3</f>
        <v>194.82997277275089</v>
      </c>
      <c r="P3" s="19">
        <f t="shared" si="4"/>
        <v>5.2721272437090354</v>
      </c>
      <c r="Q3" s="19">
        <v>65.599999978379984</v>
      </c>
      <c r="R3" s="19">
        <f t="shared" ref="R3:R33" si="21">Q3*D3</f>
        <v>119.67084464720817</v>
      </c>
      <c r="S3" s="19">
        <f t="shared" si="5"/>
        <v>4.7847450126971269</v>
      </c>
      <c r="T3" s="17">
        <v>1854.8369606135454</v>
      </c>
      <c r="U3" s="17">
        <f t="shared" si="6"/>
        <v>7323823738.982584</v>
      </c>
      <c r="V3" s="18">
        <f t="shared" ref="V3:V33" si="22">IFERROR(LN(T3),0)</f>
        <v>7.5255520793262844</v>
      </c>
      <c r="W3" s="18">
        <f t="shared" si="7"/>
        <v>22.714398397246057</v>
      </c>
      <c r="X3" s="12">
        <v>5.3</v>
      </c>
      <c r="Y3" s="12">
        <f t="shared" si="8"/>
        <v>5.2999999999999999E-2</v>
      </c>
      <c r="Z3" s="18">
        <f t="shared" si="9"/>
        <v>-2.9374633654300153</v>
      </c>
      <c r="AA3" s="16">
        <v>0</v>
      </c>
      <c r="AB3" s="16">
        <v>0</v>
      </c>
      <c r="AC3" s="19">
        <f t="shared" si="10"/>
        <v>0</v>
      </c>
      <c r="AD3" s="19">
        <f t="shared" si="11"/>
        <v>0</v>
      </c>
      <c r="AE3" s="19">
        <f t="shared" si="12"/>
        <v>0</v>
      </c>
      <c r="AF3" s="19">
        <f t="shared" ref="AF3:AF34" si="23">IFERROR(AD2,0)</f>
        <v>0</v>
      </c>
      <c r="AG3" s="18">
        <f t="shared" ref="AG3:AG33" si="24">IFERROR(LN(AF3),0)</f>
        <v>0</v>
      </c>
      <c r="AH3" s="16">
        <v>0</v>
      </c>
      <c r="AI3" s="16">
        <v>0</v>
      </c>
      <c r="AJ3" s="19">
        <f t="shared" si="13"/>
        <v>0</v>
      </c>
      <c r="AK3" s="19">
        <f t="shared" si="14"/>
        <v>0</v>
      </c>
      <c r="AL3" s="19">
        <f t="shared" si="15"/>
        <v>0</v>
      </c>
      <c r="AM3" s="19">
        <f t="shared" si="16"/>
        <v>0</v>
      </c>
      <c r="AN3" s="18">
        <f t="shared" si="17"/>
        <v>0</v>
      </c>
      <c r="AO3" s="20">
        <v>2</v>
      </c>
      <c r="AP3" s="20">
        <f t="shared" ref="AP3:AP33" si="25">LN(AO3)</f>
        <v>0.69314718055994529</v>
      </c>
      <c r="AQ3" s="20">
        <v>0</v>
      </c>
      <c r="AR3" s="20">
        <v>0</v>
      </c>
      <c r="AS3" s="20">
        <v>0</v>
      </c>
      <c r="AT3" s="18">
        <v>1</v>
      </c>
      <c r="AU3" s="3">
        <v>0</v>
      </c>
      <c r="AV3" s="3">
        <v>0</v>
      </c>
      <c r="AW3" s="3">
        <f t="shared" si="18"/>
        <v>0</v>
      </c>
      <c r="AX3" s="3" t="s">
        <v>281</v>
      </c>
      <c r="AY3" s="3" t="s">
        <v>44</v>
      </c>
    </row>
    <row r="4" spans="1:51" ht="19.95" customHeight="1" x14ac:dyDescent="0.3">
      <c r="A4" s="3" t="s">
        <v>47</v>
      </c>
      <c r="B4" s="3" t="s">
        <v>48</v>
      </c>
      <c r="C4" s="3">
        <f>Deflators!C11</f>
        <v>738</v>
      </c>
      <c r="D4" s="3">
        <f>Deflators!D11</f>
        <v>1.8143631436314362</v>
      </c>
      <c r="E4" s="3">
        <f>Deflators!E11</f>
        <v>832</v>
      </c>
      <c r="F4" s="3">
        <f>Deflators!F11</f>
        <v>1.8762019230769231</v>
      </c>
      <c r="G4" s="16">
        <v>33866000000</v>
      </c>
      <c r="H4" s="16">
        <v>3967600</v>
      </c>
      <c r="I4" s="17">
        <f t="shared" si="0"/>
        <v>8535.638673253352</v>
      </c>
      <c r="J4" s="17">
        <f t="shared" si="1"/>
        <v>63539454326.92308</v>
      </c>
      <c r="K4" s="17">
        <f t="shared" si="2"/>
        <v>16014.581693447697</v>
      </c>
      <c r="L4" s="18">
        <f t="shared" si="3"/>
        <v>24.874926877883784</v>
      </c>
      <c r="M4" s="18">
        <f t="shared" si="19"/>
        <v>9.681254942029808</v>
      </c>
      <c r="N4" s="19">
        <v>104.20000003116299</v>
      </c>
      <c r="O4" s="19">
        <f t="shared" si="20"/>
        <v>189.05663962293664</v>
      </c>
      <c r="P4" s="19">
        <f t="shared" si="4"/>
        <v>5.2420466507090353</v>
      </c>
      <c r="Q4" s="19">
        <v>64.499999987403186</v>
      </c>
      <c r="R4" s="19">
        <f t="shared" si="21"/>
        <v>117.02642274137244</v>
      </c>
      <c r="S4" s="19">
        <f t="shared" si="5"/>
        <v>4.7623997446971273</v>
      </c>
      <c r="T4" s="17">
        <v>1862.6786036124977</v>
      </c>
      <c r="U4" s="17">
        <f t="shared" si="6"/>
        <v>7390363627.6929455</v>
      </c>
      <c r="V4" s="18">
        <f t="shared" si="22"/>
        <v>7.5297708402131711</v>
      </c>
      <c r="W4" s="18">
        <f t="shared" si="7"/>
        <v>22.723442776067145</v>
      </c>
      <c r="X4" s="12">
        <v>5.5</v>
      </c>
      <c r="Y4" s="12">
        <f t="shared" si="8"/>
        <v>5.5E-2</v>
      </c>
      <c r="Z4" s="18">
        <f t="shared" si="9"/>
        <v>-2.9004220937496661</v>
      </c>
      <c r="AA4" s="16">
        <v>0</v>
      </c>
      <c r="AB4" s="16">
        <v>0</v>
      </c>
      <c r="AC4" s="19">
        <f t="shared" si="10"/>
        <v>0</v>
      </c>
      <c r="AD4" s="19">
        <f t="shared" si="11"/>
        <v>0</v>
      </c>
      <c r="AE4" s="19">
        <f t="shared" si="12"/>
        <v>0</v>
      </c>
      <c r="AF4" s="19">
        <f t="shared" si="23"/>
        <v>0</v>
      </c>
      <c r="AG4" s="18">
        <f t="shared" si="24"/>
        <v>0</v>
      </c>
      <c r="AH4" s="16">
        <v>0</v>
      </c>
      <c r="AI4" s="16">
        <v>0</v>
      </c>
      <c r="AJ4" s="19">
        <f t="shared" si="13"/>
        <v>0</v>
      </c>
      <c r="AK4" s="19">
        <f t="shared" si="14"/>
        <v>0</v>
      </c>
      <c r="AL4" s="19">
        <f t="shared" si="15"/>
        <v>0</v>
      </c>
      <c r="AM4" s="19">
        <f t="shared" si="16"/>
        <v>0</v>
      </c>
      <c r="AN4" s="18">
        <f t="shared" si="17"/>
        <v>0</v>
      </c>
      <c r="AO4" s="20">
        <v>3</v>
      </c>
      <c r="AP4" s="20">
        <f t="shared" si="25"/>
        <v>1.0986122886681098</v>
      </c>
      <c r="AQ4" s="20">
        <v>0</v>
      </c>
      <c r="AR4" s="20">
        <v>0</v>
      </c>
      <c r="AS4" s="20">
        <v>0</v>
      </c>
      <c r="AT4" s="18">
        <v>0</v>
      </c>
      <c r="AU4" s="3">
        <v>1</v>
      </c>
      <c r="AV4" s="3">
        <v>0</v>
      </c>
      <c r="AW4" s="3">
        <f t="shared" si="18"/>
        <v>0</v>
      </c>
      <c r="AX4" s="3" t="s">
        <v>281</v>
      </c>
      <c r="AY4" s="3" t="s">
        <v>44</v>
      </c>
    </row>
    <row r="5" spans="1:51" ht="19.95" customHeight="1" x14ac:dyDescent="0.3">
      <c r="A5" s="3" t="s">
        <v>49</v>
      </c>
      <c r="B5" s="3" t="s">
        <v>50</v>
      </c>
      <c r="C5" s="3">
        <f>Deflators!C12</f>
        <v>742</v>
      </c>
      <c r="D5" s="3">
        <f>Deflators!D12</f>
        <v>1.8045822102425877</v>
      </c>
      <c r="E5" s="3">
        <f>Deflators!E12</f>
        <v>820</v>
      </c>
      <c r="F5" s="3">
        <f>Deflators!F12</f>
        <v>1.9036585365853658</v>
      </c>
      <c r="G5" s="16">
        <v>33950000000</v>
      </c>
      <c r="H5" s="16">
        <v>3989500</v>
      </c>
      <c r="I5" s="17">
        <f t="shared" si="0"/>
        <v>8509.8383256047127</v>
      </c>
      <c r="J5" s="17">
        <f t="shared" si="1"/>
        <v>64629207317.073166</v>
      </c>
      <c r="K5" s="17">
        <f t="shared" si="2"/>
        <v>16199.826373498725</v>
      </c>
      <c r="L5" s="18">
        <f t="shared" si="3"/>
        <v>24.891932271208251</v>
      </c>
      <c r="M5" s="18">
        <f t="shared" si="19"/>
        <v>9.6927558034777768</v>
      </c>
      <c r="N5" s="19">
        <v>103.6000000372816</v>
      </c>
      <c r="O5" s="19">
        <f t="shared" si="20"/>
        <v>186.9547170484098</v>
      </c>
      <c r="P5" s="19">
        <f t="shared" si="4"/>
        <v>5.2308664327090355</v>
      </c>
      <c r="Q5" s="19">
        <v>65.399999981045895</v>
      </c>
      <c r="R5" s="19">
        <f t="shared" si="21"/>
        <v>118.01967651566099</v>
      </c>
      <c r="S5" s="19">
        <f t="shared" si="5"/>
        <v>4.7708513606971268</v>
      </c>
      <c r="T5" s="17">
        <v>1899.2888291481611</v>
      </c>
      <c r="U5" s="17">
        <f t="shared" si="6"/>
        <v>7577212783.8865891</v>
      </c>
      <c r="V5" s="18">
        <f t="shared" si="22"/>
        <v>7.5492347946382976</v>
      </c>
      <c r="W5" s="18">
        <f t="shared" si="7"/>
        <v>22.748411262368769</v>
      </c>
      <c r="X5" s="12">
        <v>5.0999999999999996</v>
      </c>
      <c r="Y5" s="12">
        <f t="shared" si="8"/>
        <v>5.0999999999999997E-2</v>
      </c>
      <c r="Z5" s="18">
        <f t="shared" si="9"/>
        <v>-2.9759296462578115</v>
      </c>
      <c r="AA5" s="16">
        <v>0</v>
      </c>
      <c r="AB5" s="16">
        <v>0</v>
      </c>
      <c r="AC5" s="19">
        <f t="shared" si="10"/>
        <v>0</v>
      </c>
      <c r="AD5" s="19">
        <f t="shared" si="11"/>
        <v>0</v>
      </c>
      <c r="AE5" s="19">
        <f t="shared" si="12"/>
        <v>0</v>
      </c>
      <c r="AF5" s="19">
        <f t="shared" si="23"/>
        <v>0</v>
      </c>
      <c r="AG5" s="18">
        <f t="shared" si="24"/>
        <v>0</v>
      </c>
      <c r="AH5" s="16">
        <v>0</v>
      </c>
      <c r="AI5" s="16">
        <v>0</v>
      </c>
      <c r="AJ5" s="19">
        <f t="shared" si="13"/>
        <v>0</v>
      </c>
      <c r="AK5" s="19">
        <f t="shared" si="14"/>
        <v>0</v>
      </c>
      <c r="AL5" s="19">
        <f t="shared" si="15"/>
        <v>0</v>
      </c>
      <c r="AM5" s="19">
        <f t="shared" si="16"/>
        <v>0</v>
      </c>
      <c r="AN5" s="18">
        <f t="shared" si="17"/>
        <v>0</v>
      </c>
      <c r="AO5" s="20">
        <v>4</v>
      </c>
      <c r="AP5" s="20">
        <f t="shared" si="25"/>
        <v>1.3862943611198906</v>
      </c>
      <c r="AQ5" s="20">
        <v>0</v>
      </c>
      <c r="AR5" s="20">
        <v>0</v>
      </c>
      <c r="AS5" s="20">
        <v>0</v>
      </c>
      <c r="AT5" s="18">
        <v>0</v>
      </c>
      <c r="AU5" s="3">
        <v>0</v>
      </c>
      <c r="AV5" s="3">
        <v>1</v>
      </c>
      <c r="AW5" s="3">
        <f t="shared" si="18"/>
        <v>0</v>
      </c>
      <c r="AX5" s="3" t="s">
        <v>281</v>
      </c>
      <c r="AY5" s="3" t="s">
        <v>44</v>
      </c>
    </row>
    <row r="6" spans="1:51" ht="19.95" customHeight="1" x14ac:dyDescent="0.3">
      <c r="A6" s="3" t="s">
        <v>51</v>
      </c>
      <c r="B6" s="3" t="s">
        <v>52</v>
      </c>
      <c r="C6" s="3">
        <f>Deflators!C13</f>
        <v>745</v>
      </c>
      <c r="D6" s="3">
        <f>Deflators!D13</f>
        <v>1.7973154362416108</v>
      </c>
      <c r="E6" s="3">
        <f>Deflators!E13</f>
        <v>828</v>
      </c>
      <c r="F6" s="3">
        <f>Deflators!F13</f>
        <v>1.8852657004830917</v>
      </c>
      <c r="G6" s="16">
        <v>34462000000</v>
      </c>
      <c r="H6" s="16">
        <v>4013300</v>
      </c>
      <c r="I6" s="17">
        <f t="shared" si="0"/>
        <v>8586.948396581367</v>
      </c>
      <c r="J6" s="17">
        <f t="shared" si="1"/>
        <v>64970026570.048309</v>
      </c>
      <c r="K6" s="17">
        <f t="shared" si="2"/>
        <v>16188.679283893132</v>
      </c>
      <c r="L6" s="18">
        <f t="shared" si="3"/>
        <v>24.897191870797492</v>
      </c>
      <c r="M6" s="18">
        <f t="shared" si="19"/>
        <v>9.6920674673029836</v>
      </c>
      <c r="N6" s="19">
        <v>110.19999996458262</v>
      </c>
      <c r="O6" s="19">
        <f t="shared" si="20"/>
        <v>198.0641610101693</v>
      </c>
      <c r="P6" s="19">
        <f t="shared" si="4"/>
        <v>5.288591023709035</v>
      </c>
      <c r="Q6" s="19">
        <v>70.799999977757452</v>
      </c>
      <c r="R6" s="19">
        <f t="shared" si="21"/>
        <v>127.24993284592917</v>
      </c>
      <c r="S6" s="19">
        <f t="shared" si="5"/>
        <v>4.8461531276971268</v>
      </c>
      <c r="T6" s="17">
        <v>1869.6778960790102</v>
      </c>
      <c r="U6" s="17">
        <f t="shared" si="6"/>
        <v>7503578300.3338919</v>
      </c>
      <c r="V6" s="18">
        <f t="shared" si="22"/>
        <v>7.5335214469261365</v>
      </c>
      <c r="W6" s="18">
        <f t="shared" si="7"/>
        <v>22.738645850420642</v>
      </c>
      <c r="X6" s="12">
        <v>5</v>
      </c>
      <c r="Y6" s="12">
        <f t="shared" si="8"/>
        <v>0.05</v>
      </c>
      <c r="Z6" s="18">
        <f t="shared" si="9"/>
        <v>-2.9957322735539909</v>
      </c>
      <c r="AA6" s="16">
        <v>0</v>
      </c>
      <c r="AB6" s="16">
        <v>0</v>
      </c>
      <c r="AC6" s="19">
        <f t="shared" si="10"/>
        <v>0</v>
      </c>
      <c r="AD6" s="19">
        <f t="shared" si="11"/>
        <v>0</v>
      </c>
      <c r="AE6" s="19">
        <f t="shared" si="12"/>
        <v>0</v>
      </c>
      <c r="AF6" s="19">
        <f t="shared" si="23"/>
        <v>0</v>
      </c>
      <c r="AG6" s="18">
        <f t="shared" si="24"/>
        <v>0</v>
      </c>
      <c r="AH6" s="16">
        <v>0</v>
      </c>
      <c r="AI6" s="16">
        <v>0</v>
      </c>
      <c r="AJ6" s="19">
        <f t="shared" si="13"/>
        <v>0</v>
      </c>
      <c r="AK6" s="19">
        <f t="shared" si="14"/>
        <v>0</v>
      </c>
      <c r="AL6" s="19">
        <f t="shared" si="15"/>
        <v>0</v>
      </c>
      <c r="AM6" s="19">
        <f t="shared" si="16"/>
        <v>0</v>
      </c>
      <c r="AN6" s="18">
        <f t="shared" si="17"/>
        <v>0</v>
      </c>
      <c r="AO6" s="20">
        <v>5</v>
      </c>
      <c r="AP6" s="20">
        <f t="shared" si="25"/>
        <v>1.6094379124341003</v>
      </c>
      <c r="AQ6" s="20">
        <v>0</v>
      </c>
      <c r="AR6" s="20">
        <v>0</v>
      </c>
      <c r="AS6" s="20">
        <v>0</v>
      </c>
      <c r="AT6" s="18">
        <v>0</v>
      </c>
      <c r="AU6" s="3">
        <v>0</v>
      </c>
      <c r="AV6" s="3">
        <v>0</v>
      </c>
      <c r="AW6" s="3">
        <f t="shared" si="18"/>
        <v>0</v>
      </c>
      <c r="AX6" s="3" t="s">
        <v>281</v>
      </c>
      <c r="AY6" s="3" t="s">
        <v>44</v>
      </c>
    </row>
    <row r="7" spans="1:51" ht="19.95" customHeight="1" x14ac:dyDescent="0.3">
      <c r="A7" s="3" t="s">
        <v>53</v>
      </c>
      <c r="B7" s="3" t="s">
        <v>54</v>
      </c>
      <c r="C7" s="3">
        <f>Deflators!C14</f>
        <v>745</v>
      </c>
      <c r="D7" s="3">
        <f>Deflators!D14</f>
        <v>1.7973154362416108</v>
      </c>
      <c r="E7" s="3">
        <f>Deflators!E14</f>
        <v>836</v>
      </c>
      <c r="F7" s="3">
        <f>Deflators!F14</f>
        <v>1.8672248803827751</v>
      </c>
      <c r="G7" s="16">
        <v>34938000000</v>
      </c>
      <c r="H7" s="16">
        <v>4027200</v>
      </c>
      <c r="I7" s="17">
        <f t="shared" si="0"/>
        <v>8675.5065554231223</v>
      </c>
      <c r="J7" s="17">
        <f t="shared" si="1"/>
        <v>65237102870.8134</v>
      </c>
      <c r="K7" s="17">
        <f t="shared" si="2"/>
        <v>16199.121690209922</v>
      </c>
      <c r="L7" s="18">
        <f t="shared" si="3"/>
        <v>24.901294206460179</v>
      </c>
      <c r="M7" s="18">
        <f t="shared" si="19"/>
        <v>9.6927123030969913</v>
      </c>
      <c r="N7" s="19">
        <v>99.300000034387196</v>
      </c>
      <c r="O7" s="19">
        <f t="shared" si="20"/>
        <v>178.47342288059659</v>
      </c>
      <c r="P7" s="19">
        <f t="shared" si="4"/>
        <v>5.1844396987090358</v>
      </c>
      <c r="Q7" s="19">
        <v>59.300000022642791</v>
      </c>
      <c r="R7" s="19">
        <f t="shared" si="21"/>
        <v>106.58080540982377</v>
      </c>
      <c r="S7" s="19">
        <f t="shared" si="5"/>
        <v>4.6689034336971273</v>
      </c>
      <c r="T7" s="17">
        <v>1857.8788758456431</v>
      </c>
      <c r="U7" s="17">
        <f t="shared" si="6"/>
        <v>7482049808.8055735</v>
      </c>
      <c r="V7" s="18">
        <f t="shared" si="22"/>
        <v>7.5271907266382581</v>
      </c>
      <c r="W7" s="18">
        <f t="shared" si="7"/>
        <v>22.735772630001446</v>
      </c>
      <c r="X7" s="12">
        <v>4.8</v>
      </c>
      <c r="Y7" s="12">
        <f t="shared" si="8"/>
        <v>4.8000000000000001E-2</v>
      </c>
      <c r="Z7" s="18">
        <f t="shared" si="9"/>
        <v>-3.0365542680742461</v>
      </c>
      <c r="AA7" s="16">
        <v>0</v>
      </c>
      <c r="AB7" s="16">
        <v>0</v>
      </c>
      <c r="AC7" s="19">
        <f t="shared" si="10"/>
        <v>0</v>
      </c>
      <c r="AD7" s="19">
        <f t="shared" si="11"/>
        <v>0</v>
      </c>
      <c r="AE7" s="19">
        <f t="shared" si="12"/>
        <v>0</v>
      </c>
      <c r="AF7" s="19">
        <f t="shared" si="23"/>
        <v>0</v>
      </c>
      <c r="AG7" s="18">
        <f t="shared" si="24"/>
        <v>0</v>
      </c>
      <c r="AH7" s="16">
        <v>0</v>
      </c>
      <c r="AI7" s="16">
        <v>0</v>
      </c>
      <c r="AJ7" s="19">
        <f t="shared" si="13"/>
        <v>0</v>
      </c>
      <c r="AK7" s="19">
        <f t="shared" si="14"/>
        <v>0</v>
      </c>
      <c r="AL7" s="19">
        <f t="shared" si="15"/>
        <v>0</v>
      </c>
      <c r="AM7" s="19">
        <f t="shared" si="16"/>
        <v>0</v>
      </c>
      <c r="AN7" s="18">
        <f t="shared" si="17"/>
        <v>0</v>
      </c>
      <c r="AO7" s="20">
        <v>6</v>
      </c>
      <c r="AP7" s="20">
        <f t="shared" si="25"/>
        <v>1.791759469228055</v>
      </c>
      <c r="AQ7" s="20">
        <v>0</v>
      </c>
      <c r="AR7" s="20">
        <v>0</v>
      </c>
      <c r="AS7" s="20">
        <v>0</v>
      </c>
      <c r="AT7" s="18">
        <v>1</v>
      </c>
      <c r="AU7" s="3">
        <v>0</v>
      </c>
      <c r="AV7" s="3">
        <v>0</v>
      </c>
      <c r="AW7" s="3">
        <f t="shared" si="18"/>
        <v>0</v>
      </c>
      <c r="AX7" s="3" t="s">
        <v>281</v>
      </c>
      <c r="AY7" s="3" t="s">
        <v>44</v>
      </c>
    </row>
    <row r="8" spans="1:51" ht="19.95" customHeight="1" x14ac:dyDescent="0.3">
      <c r="A8" s="3" t="s">
        <v>55</v>
      </c>
      <c r="B8" s="3" t="s">
        <v>56</v>
      </c>
      <c r="C8" s="3">
        <f>Deflators!C15</f>
        <v>748</v>
      </c>
      <c r="D8" s="3">
        <f>Deflators!D15</f>
        <v>1.7901069518716577</v>
      </c>
      <c r="E8" s="3">
        <f>Deflators!E15</f>
        <v>841</v>
      </c>
      <c r="F8" s="3">
        <f>Deflators!F15</f>
        <v>1.8561236623067776</v>
      </c>
      <c r="G8" s="16">
        <v>35703000000</v>
      </c>
      <c r="H8" s="16">
        <v>4044600</v>
      </c>
      <c r="I8" s="17">
        <f t="shared" si="0"/>
        <v>8827.3253226524248</v>
      </c>
      <c r="J8" s="17">
        <f t="shared" si="1"/>
        <v>66269183115.338882</v>
      </c>
      <c r="K8" s="17">
        <f t="shared" si="2"/>
        <v>16384.607406254978</v>
      </c>
      <c r="L8" s="18">
        <f t="shared" si="3"/>
        <v>24.916990816357309</v>
      </c>
      <c r="M8" s="18">
        <f t="shared" si="19"/>
        <v>9.7040976002877226</v>
      </c>
      <c r="N8" s="19">
        <v>106.40000000902234</v>
      </c>
      <c r="O8" s="19">
        <f t="shared" si="20"/>
        <v>190.46737969529534</v>
      </c>
      <c r="P8" s="19">
        <f t="shared" si="4"/>
        <v>5.2494809447090356</v>
      </c>
      <c r="Q8" s="19">
        <v>60.199999979872523</v>
      </c>
      <c r="R8" s="19">
        <f t="shared" si="21"/>
        <v>107.76443846664345</v>
      </c>
      <c r="S8" s="19">
        <f t="shared" si="5"/>
        <v>4.6799477196971271</v>
      </c>
      <c r="T8" s="17">
        <v>1866.367749332602</v>
      </c>
      <c r="U8" s="17">
        <f t="shared" si="6"/>
        <v>7548710998.9506416</v>
      </c>
      <c r="V8" s="18">
        <f t="shared" si="22"/>
        <v>7.5317494409461609</v>
      </c>
      <c r="W8" s="18">
        <f t="shared" si="7"/>
        <v>22.744642657015746</v>
      </c>
      <c r="X8" s="12">
        <v>4.5</v>
      </c>
      <c r="Y8" s="12">
        <f t="shared" si="8"/>
        <v>4.4999999999999998E-2</v>
      </c>
      <c r="Z8" s="18">
        <f t="shared" si="9"/>
        <v>-3.1010927892118172</v>
      </c>
      <c r="AA8" s="16">
        <v>0</v>
      </c>
      <c r="AB8" s="16">
        <v>0</v>
      </c>
      <c r="AC8" s="19">
        <f t="shared" si="10"/>
        <v>0</v>
      </c>
      <c r="AD8" s="19">
        <f t="shared" si="11"/>
        <v>0</v>
      </c>
      <c r="AE8" s="19">
        <f t="shared" si="12"/>
        <v>0</v>
      </c>
      <c r="AF8" s="19">
        <f t="shared" si="23"/>
        <v>0</v>
      </c>
      <c r="AG8" s="18">
        <f t="shared" si="24"/>
        <v>0</v>
      </c>
      <c r="AH8" s="16">
        <v>0</v>
      </c>
      <c r="AI8" s="16">
        <v>0</v>
      </c>
      <c r="AJ8" s="19">
        <f t="shared" si="13"/>
        <v>0</v>
      </c>
      <c r="AK8" s="19">
        <f t="shared" si="14"/>
        <v>0</v>
      </c>
      <c r="AL8" s="19">
        <f t="shared" si="15"/>
        <v>0</v>
      </c>
      <c r="AM8" s="19">
        <f t="shared" si="16"/>
        <v>0</v>
      </c>
      <c r="AN8" s="18">
        <f t="shared" si="17"/>
        <v>0</v>
      </c>
      <c r="AO8" s="20">
        <v>7</v>
      </c>
      <c r="AP8" s="20">
        <f t="shared" si="25"/>
        <v>1.9459101490553132</v>
      </c>
      <c r="AQ8" s="20">
        <v>0</v>
      </c>
      <c r="AR8" s="20">
        <v>0</v>
      </c>
      <c r="AS8" s="20">
        <v>0</v>
      </c>
      <c r="AT8" s="18">
        <v>0</v>
      </c>
      <c r="AU8" s="3">
        <v>1</v>
      </c>
      <c r="AV8" s="3">
        <v>0</v>
      </c>
      <c r="AW8" s="3">
        <f t="shared" si="18"/>
        <v>0</v>
      </c>
      <c r="AX8" s="3" t="s">
        <v>281</v>
      </c>
      <c r="AY8" s="3" t="s">
        <v>44</v>
      </c>
    </row>
    <row r="9" spans="1:51" ht="19.95" customHeight="1" x14ac:dyDescent="0.3">
      <c r="A9" s="3" t="s">
        <v>57</v>
      </c>
      <c r="B9" s="3" t="s">
        <v>58</v>
      </c>
      <c r="C9" s="3">
        <f>Deflators!C16</f>
        <v>754</v>
      </c>
      <c r="D9" s="3">
        <f>Deflators!D16</f>
        <v>1.7758620689655173</v>
      </c>
      <c r="E9" s="3">
        <f>Deflators!E16</f>
        <v>847</v>
      </c>
      <c r="F9" s="3">
        <f>Deflators!F16</f>
        <v>1.8429752066115703</v>
      </c>
      <c r="G9" s="16">
        <v>36381000000</v>
      </c>
      <c r="H9" s="16">
        <v>4061600</v>
      </c>
      <c r="I9" s="17">
        <f t="shared" si="0"/>
        <v>8957.3074650384078</v>
      </c>
      <c r="J9" s="17">
        <f t="shared" si="1"/>
        <v>67049280991.735542</v>
      </c>
      <c r="K9" s="17">
        <f t="shared" si="2"/>
        <v>16508.095576062522</v>
      </c>
      <c r="L9" s="18">
        <f t="shared" si="3"/>
        <v>24.928693723152552</v>
      </c>
      <c r="M9" s="18">
        <f t="shared" si="19"/>
        <v>9.7116061805372311</v>
      </c>
      <c r="N9" s="19">
        <v>104.19999996942275</v>
      </c>
      <c r="O9" s="19">
        <f t="shared" si="20"/>
        <v>185.04482753190592</v>
      </c>
      <c r="P9" s="19">
        <f t="shared" si="4"/>
        <v>5.2205981067090352</v>
      </c>
      <c r="Q9" s="19">
        <v>58.200000016093398</v>
      </c>
      <c r="R9" s="19">
        <f t="shared" si="21"/>
        <v>103.35517244237276</v>
      </c>
      <c r="S9" s="19">
        <f t="shared" si="5"/>
        <v>4.6381713326971274</v>
      </c>
      <c r="T9" s="17">
        <v>1902.6144744832498</v>
      </c>
      <c r="U9" s="17">
        <f t="shared" si="6"/>
        <v>7727658949.5611668</v>
      </c>
      <c r="V9" s="18">
        <f t="shared" si="22"/>
        <v>7.5509842584819076</v>
      </c>
      <c r="W9" s="18">
        <f t="shared" si="7"/>
        <v>22.768071801097229</v>
      </c>
      <c r="X9" s="12">
        <v>4.7</v>
      </c>
      <c r="Y9" s="12">
        <f t="shared" si="8"/>
        <v>4.7E-2</v>
      </c>
      <c r="Z9" s="18">
        <f t="shared" si="9"/>
        <v>-3.0576076772720784</v>
      </c>
      <c r="AA9" s="16">
        <v>0</v>
      </c>
      <c r="AB9" s="16">
        <v>0</v>
      </c>
      <c r="AC9" s="19">
        <f t="shared" si="10"/>
        <v>0</v>
      </c>
      <c r="AD9" s="19">
        <f t="shared" si="11"/>
        <v>0</v>
      </c>
      <c r="AE9" s="19">
        <f t="shared" si="12"/>
        <v>0</v>
      </c>
      <c r="AF9" s="19">
        <f t="shared" si="23"/>
        <v>0</v>
      </c>
      <c r="AG9" s="18">
        <f t="shared" si="24"/>
        <v>0</v>
      </c>
      <c r="AH9" s="16">
        <v>0</v>
      </c>
      <c r="AI9" s="16">
        <v>0</v>
      </c>
      <c r="AJ9" s="19">
        <f t="shared" si="13"/>
        <v>0</v>
      </c>
      <c r="AK9" s="19">
        <f t="shared" si="14"/>
        <v>0</v>
      </c>
      <c r="AL9" s="19">
        <f t="shared" si="15"/>
        <v>0</v>
      </c>
      <c r="AM9" s="19">
        <f t="shared" si="16"/>
        <v>0</v>
      </c>
      <c r="AN9" s="18">
        <f t="shared" si="17"/>
        <v>0</v>
      </c>
      <c r="AO9" s="20">
        <v>8</v>
      </c>
      <c r="AP9" s="20">
        <f t="shared" si="25"/>
        <v>2.0794415416798357</v>
      </c>
      <c r="AQ9" s="20">
        <v>0</v>
      </c>
      <c r="AR9" s="20">
        <v>0</v>
      </c>
      <c r="AS9" s="20">
        <v>0</v>
      </c>
      <c r="AT9" s="18">
        <v>0</v>
      </c>
      <c r="AU9" s="3">
        <v>0</v>
      </c>
      <c r="AV9" s="3">
        <v>1</v>
      </c>
      <c r="AW9" s="3">
        <f t="shared" si="18"/>
        <v>0</v>
      </c>
      <c r="AX9" s="3" t="s">
        <v>281</v>
      </c>
      <c r="AY9" s="3" t="s">
        <v>44</v>
      </c>
    </row>
    <row r="10" spans="1:51" ht="19.95" customHeight="1" x14ac:dyDescent="0.3">
      <c r="A10" s="3" t="s">
        <v>59</v>
      </c>
      <c r="B10" s="3" t="s">
        <v>60</v>
      </c>
      <c r="C10" s="3">
        <f>Deflators!C17</f>
        <v>757</v>
      </c>
      <c r="D10" s="3">
        <f>Deflators!D17</f>
        <v>1.7688243064729194</v>
      </c>
      <c r="E10" s="3">
        <f>Deflators!E17</f>
        <v>850</v>
      </c>
      <c r="F10" s="3">
        <f>Deflators!F17</f>
        <v>1.8364705882352941</v>
      </c>
      <c r="G10" s="16">
        <v>37466000000</v>
      </c>
      <c r="H10" s="16">
        <v>4078700</v>
      </c>
      <c r="I10" s="17">
        <f t="shared" si="0"/>
        <v>9185.7699757275604</v>
      </c>
      <c r="J10" s="17">
        <f t="shared" si="1"/>
        <v>68805207058.823532</v>
      </c>
      <c r="K10" s="17">
        <f t="shared" si="2"/>
        <v>16869.396390718495</v>
      </c>
      <c r="L10" s="18">
        <f t="shared" si="3"/>
        <v>24.95454526301635</v>
      </c>
      <c r="M10" s="18">
        <f t="shared" si="19"/>
        <v>9.7332563948594952</v>
      </c>
      <c r="N10" s="19">
        <v>109.800000041711</v>
      </c>
      <c r="O10" s="19">
        <f t="shared" si="20"/>
        <v>194.21690892450599</v>
      </c>
      <c r="P10" s="19">
        <f t="shared" si="4"/>
        <v>5.2689756217090356</v>
      </c>
      <c r="Q10" s="19">
        <v>63.699999991418728</v>
      </c>
      <c r="R10" s="19">
        <f t="shared" si="21"/>
        <v>112.67410830714621</v>
      </c>
      <c r="S10" s="19">
        <f t="shared" si="5"/>
        <v>4.7244996546971274</v>
      </c>
      <c r="T10" s="17">
        <v>1893.0121822433898</v>
      </c>
      <c r="U10" s="17">
        <f t="shared" si="6"/>
        <v>7721028787.716114</v>
      </c>
      <c r="V10" s="18">
        <f t="shared" si="22"/>
        <v>7.5459245866050919</v>
      </c>
      <c r="W10" s="18">
        <f t="shared" si="7"/>
        <v>22.767213454761944</v>
      </c>
      <c r="X10" s="12">
        <v>4.3</v>
      </c>
      <c r="Y10" s="12">
        <f t="shared" si="8"/>
        <v>4.2999999999999997E-2</v>
      </c>
      <c r="Z10" s="18">
        <f t="shared" si="9"/>
        <v>-3.1465551632885749</v>
      </c>
      <c r="AA10" s="16">
        <v>0</v>
      </c>
      <c r="AB10" s="16">
        <v>0</v>
      </c>
      <c r="AC10" s="19">
        <f t="shared" si="10"/>
        <v>0</v>
      </c>
      <c r="AD10" s="19">
        <f t="shared" si="11"/>
        <v>0</v>
      </c>
      <c r="AE10" s="19">
        <f t="shared" si="12"/>
        <v>0</v>
      </c>
      <c r="AF10" s="19">
        <f t="shared" si="23"/>
        <v>0</v>
      </c>
      <c r="AG10" s="18">
        <f t="shared" si="24"/>
        <v>0</v>
      </c>
      <c r="AH10" s="16">
        <v>0</v>
      </c>
      <c r="AI10" s="16">
        <v>0</v>
      </c>
      <c r="AJ10" s="19">
        <f t="shared" si="13"/>
        <v>0</v>
      </c>
      <c r="AK10" s="19">
        <f t="shared" si="14"/>
        <v>0</v>
      </c>
      <c r="AL10" s="19">
        <f t="shared" si="15"/>
        <v>0</v>
      </c>
      <c r="AM10" s="19">
        <f t="shared" si="16"/>
        <v>0</v>
      </c>
      <c r="AN10" s="18">
        <f t="shared" si="17"/>
        <v>0</v>
      </c>
      <c r="AO10" s="20">
        <v>9</v>
      </c>
      <c r="AP10" s="20">
        <f t="shared" si="25"/>
        <v>2.1972245773362196</v>
      </c>
      <c r="AQ10" s="20">
        <v>0</v>
      </c>
      <c r="AR10" s="20">
        <v>0</v>
      </c>
      <c r="AS10" s="20">
        <v>0</v>
      </c>
      <c r="AT10" s="18">
        <v>0</v>
      </c>
      <c r="AU10" s="3">
        <v>0</v>
      </c>
      <c r="AV10" s="3">
        <v>0</v>
      </c>
      <c r="AW10" s="3">
        <f t="shared" si="18"/>
        <v>0</v>
      </c>
      <c r="AX10" s="3" t="s">
        <v>281</v>
      </c>
      <c r="AY10" s="3" t="s">
        <v>44</v>
      </c>
    </row>
    <row r="11" spans="1:51" ht="19.95" customHeight="1" x14ac:dyDescent="0.3">
      <c r="A11" s="3" t="s">
        <v>61</v>
      </c>
      <c r="B11" s="3" t="s">
        <v>62</v>
      </c>
      <c r="C11" s="3">
        <f>Deflators!C18</f>
        <v>763</v>
      </c>
      <c r="D11" s="3">
        <f>Deflators!D18</f>
        <v>1.7549148099606815</v>
      </c>
      <c r="E11" s="3">
        <f>Deflators!E18</f>
        <v>862</v>
      </c>
      <c r="F11" s="3">
        <f>Deflators!F18</f>
        <v>1.8109048723897911</v>
      </c>
      <c r="G11" s="16">
        <v>38019000000</v>
      </c>
      <c r="H11" s="16">
        <v>4087500</v>
      </c>
      <c r="I11" s="17">
        <f t="shared" si="0"/>
        <v>9301.2844036697243</v>
      </c>
      <c r="J11" s="17">
        <f t="shared" si="1"/>
        <v>68848792343.387466</v>
      </c>
      <c r="K11" s="17">
        <f t="shared" si="2"/>
        <v>16843.741246088677</v>
      </c>
      <c r="L11" s="18">
        <f t="shared" si="3"/>
        <v>24.955178521566186</v>
      </c>
      <c r="M11" s="18">
        <f t="shared" si="19"/>
        <v>9.7317344273785409</v>
      </c>
      <c r="N11" s="19">
        <v>118.39999998252588</v>
      </c>
      <c r="O11" s="19">
        <f t="shared" si="20"/>
        <v>207.78191346867911</v>
      </c>
      <c r="P11" s="19">
        <f t="shared" si="4"/>
        <v>5.3364890367090352</v>
      </c>
      <c r="Q11" s="19">
        <v>71.600000023184933</v>
      </c>
      <c r="R11" s="19">
        <f t="shared" si="21"/>
        <v>125.65190043387237</v>
      </c>
      <c r="S11" s="19">
        <f t="shared" si="5"/>
        <v>4.8335153886971272</v>
      </c>
      <c r="T11" s="17">
        <v>1857.5757538064283</v>
      </c>
      <c r="U11" s="17">
        <f t="shared" si="6"/>
        <v>7592840893.6837759</v>
      </c>
      <c r="V11" s="18">
        <f t="shared" si="22"/>
        <v>7.5270275584286566</v>
      </c>
      <c r="W11" s="18">
        <f t="shared" si="7"/>
        <v>22.750471652616302</v>
      </c>
      <c r="X11" s="12">
        <v>4.2</v>
      </c>
      <c r="Y11" s="12">
        <f t="shared" si="8"/>
        <v>4.2000000000000003E-2</v>
      </c>
      <c r="Z11" s="18">
        <f t="shared" si="9"/>
        <v>-3.1700856606987688</v>
      </c>
      <c r="AA11" s="16">
        <v>0</v>
      </c>
      <c r="AB11" s="16">
        <v>0</v>
      </c>
      <c r="AC11" s="19">
        <f t="shared" si="10"/>
        <v>0</v>
      </c>
      <c r="AD11" s="19">
        <f t="shared" si="11"/>
        <v>0</v>
      </c>
      <c r="AE11" s="19">
        <f t="shared" si="12"/>
        <v>0</v>
      </c>
      <c r="AF11" s="19">
        <f t="shared" si="23"/>
        <v>0</v>
      </c>
      <c r="AG11" s="18">
        <f t="shared" si="24"/>
        <v>0</v>
      </c>
      <c r="AH11" s="16">
        <v>0</v>
      </c>
      <c r="AI11" s="16">
        <v>0</v>
      </c>
      <c r="AJ11" s="19">
        <f t="shared" si="13"/>
        <v>0</v>
      </c>
      <c r="AK11" s="19">
        <f t="shared" si="14"/>
        <v>0</v>
      </c>
      <c r="AL11" s="19">
        <f t="shared" si="15"/>
        <v>0</v>
      </c>
      <c r="AM11" s="19">
        <f t="shared" si="16"/>
        <v>0</v>
      </c>
      <c r="AN11" s="18">
        <f t="shared" si="17"/>
        <v>0</v>
      </c>
      <c r="AO11" s="20">
        <v>10</v>
      </c>
      <c r="AP11" s="20">
        <f t="shared" si="25"/>
        <v>2.3025850929940459</v>
      </c>
      <c r="AQ11" s="20">
        <v>0</v>
      </c>
      <c r="AR11" s="20">
        <v>0</v>
      </c>
      <c r="AS11" s="20">
        <v>0</v>
      </c>
      <c r="AT11" s="18">
        <v>1</v>
      </c>
      <c r="AU11" s="3">
        <v>0</v>
      </c>
      <c r="AV11" s="3">
        <v>0</v>
      </c>
      <c r="AW11" s="3">
        <f t="shared" si="18"/>
        <v>0</v>
      </c>
      <c r="AX11" s="3" t="s">
        <v>281</v>
      </c>
      <c r="AY11" s="3" t="s">
        <v>44</v>
      </c>
    </row>
    <row r="12" spans="1:51" ht="19.95" customHeight="1" x14ac:dyDescent="0.3">
      <c r="A12" s="3" t="s">
        <v>63</v>
      </c>
      <c r="B12" s="3" t="s">
        <v>64</v>
      </c>
      <c r="C12" s="3">
        <f>Deflators!C19</f>
        <v>767</v>
      </c>
      <c r="D12" s="3">
        <f>Deflators!D19</f>
        <v>1.7457627118644068</v>
      </c>
      <c r="E12" s="3">
        <f>Deflators!E19</f>
        <v>875</v>
      </c>
      <c r="F12" s="3">
        <f>Deflators!F19</f>
        <v>1.784</v>
      </c>
      <c r="G12" s="16">
        <v>38645000000</v>
      </c>
      <c r="H12" s="16">
        <v>4100600</v>
      </c>
      <c r="I12" s="17">
        <f t="shared" si="0"/>
        <v>9424.230600399942</v>
      </c>
      <c r="J12" s="17">
        <f t="shared" si="1"/>
        <v>68942680000</v>
      </c>
      <c r="K12" s="17">
        <f t="shared" si="2"/>
        <v>16812.827391113497</v>
      </c>
      <c r="L12" s="18">
        <f t="shared" si="3"/>
        <v>24.956541271663063</v>
      </c>
      <c r="M12" s="18">
        <f t="shared" si="19"/>
        <v>9.7298974092319792</v>
      </c>
      <c r="N12" s="19">
        <v>119.19999997066128</v>
      </c>
      <c r="O12" s="19">
        <f t="shared" si="20"/>
        <v>208.09491520301884</v>
      </c>
      <c r="P12" s="19">
        <f t="shared" si="4"/>
        <v>5.3379942987090354</v>
      </c>
      <c r="Q12" s="19">
        <v>76.400000015336246</v>
      </c>
      <c r="R12" s="19">
        <f t="shared" si="21"/>
        <v>133.37627121321412</v>
      </c>
      <c r="S12" s="19">
        <f t="shared" si="5"/>
        <v>4.8931742406971273</v>
      </c>
      <c r="T12" s="17">
        <v>1860.3516663535784</v>
      </c>
      <c r="U12" s="17">
        <f t="shared" si="6"/>
        <v>7628558043.0494833</v>
      </c>
      <c r="V12" s="18">
        <f t="shared" si="22"/>
        <v>7.5285208167681894</v>
      </c>
      <c r="W12" s="18">
        <f t="shared" si="7"/>
        <v>22.755164679199272</v>
      </c>
      <c r="X12" s="12">
        <v>3.9</v>
      </c>
      <c r="Y12" s="12">
        <f t="shared" si="8"/>
        <v>3.9E-2</v>
      </c>
      <c r="Z12" s="18">
        <f t="shared" si="9"/>
        <v>-3.2441936328524905</v>
      </c>
      <c r="AA12" s="16">
        <v>0</v>
      </c>
      <c r="AB12" s="16">
        <v>0</v>
      </c>
      <c r="AC12" s="19">
        <f t="shared" si="10"/>
        <v>0</v>
      </c>
      <c r="AD12" s="19">
        <f t="shared" si="11"/>
        <v>0</v>
      </c>
      <c r="AE12" s="19">
        <f t="shared" si="12"/>
        <v>0</v>
      </c>
      <c r="AF12" s="19">
        <f t="shared" si="23"/>
        <v>0</v>
      </c>
      <c r="AG12" s="18">
        <f t="shared" si="24"/>
        <v>0</v>
      </c>
      <c r="AH12" s="16">
        <v>0</v>
      </c>
      <c r="AI12" s="16">
        <v>0</v>
      </c>
      <c r="AJ12" s="19">
        <f t="shared" si="13"/>
        <v>0</v>
      </c>
      <c r="AK12" s="19">
        <f t="shared" si="14"/>
        <v>0</v>
      </c>
      <c r="AL12" s="19">
        <f t="shared" si="15"/>
        <v>0</v>
      </c>
      <c r="AM12" s="19">
        <f t="shared" si="16"/>
        <v>0</v>
      </c>
      <c r="AN12" s="18">
        <f t="shared" si="17"/>
        <v>0</v>
      </c>
      <c r="AO12" s="20">
        <v>11</v>
      </c>
      <c r="AP12" s="20">
        <f t="shared" si="25"/>
        <v>2.3978952727983707</v>
      </c>
      <c r="AQ12" s="20">
        <v>0</v>
      </c>
      <c r="AR12" s="20">
        <v>0</v>
      </c>
      <c r="AS12" s="20">
        <v>0</v>
      </c>
      <c r="AT12" s="18">
        <v>0</v>
      </c>
      <c r="AU12" s="3">
        <v>1</v>
      </c>
      <c r="AV12" s="3">
        <v>0</v>
      </c>
      <c r="AW12" s="3">
        <f t="shared" si="18"/>
        <v>0</v>
      </c>
      <c r="AX12" s="3" t="s">
        <v>281</v>
      </c>
      <c r="AY12" s="3" t="s">
        <v>44</v>
      </c>
    </row>
    <row r="13" spans="1:51" ht="19.95" customHeight="1" x14ac:dyDescent="0.3">
      <c r="A13" s="3" t="s">
        <v>65</v>
      </c>
      <c r="B13" s="3" t="s">
        <v>66</v>
      </c>
      <c r="C13" s="3">
        <f>Deflators!C20</f>
        <v>774</v>
      </c>
      <c r="D13" s="3">
        <f>Deflators!D20</f>
        <v>1.7299741602067182</v>
      </c>
      <c r="E13" s="3">
        <f>Deflators!E20</f>
        <v>879</v>
      </c>
      <c r="F13" s="3">
        <f>Deflators!F20</f>
        <v>1.775881683731513</v>
      </c>
      <c r="G13" s="16">
        <v>38871000000</v>
      </c>
      <c r="H13" s="16">
        <v>4114300</v>
      </c>
      <c r="I13" s="17">
        <f t="shared" si="0"/>
        <v>9447.7796952093922</v>
      </c>
      <c r="J13" s="17">
        <f t="shared" si="1"/>
        <v>69030296928.327637</v>
      </c>
      <c r="K13" s="17">
        <f t="shared" si="2"/>
        <v>16778.138912652856</v>
      </c>
      <c r="L13" s="18">
        <f t="shared" si="3"/>
        <v>24.957811331091449</v>
      </c>
      <c r="M13" s="18">
        <f t="shared" si="19"/>
        <v>9.7278320628243939</v>
      </c>
      <c r="N13" s="19">
        <v>118.40000001866984</v>
      </c>
      <c r="O13" s="19">
        <f t="shared" si="20"/>
        <v>204.82894060077379</v>
      </c>
      <c r="P13" s="19">
        <f t="shared" si="4"/>
        <v>5.3221751947090352</v>
      </c>
      <c r="Q13" s="19">
        <v>80.199999977801681</v>
      </c>
      <c r="R13" s="19">
        <f t="shared" si="21"/>
        <v>138.74392761017629</v>
      </c>
      <c r="S13" s="19">
        <f t="shared" si="5"/>
        <v>4.932629986697127</v>
      </c>
      <c r="T13" s="17">
        <v>1897.6678537709261</v>
      </c>
      <c r="U13" s="17">
        <f t="shared" si="6"/>
        <v>7807574850.769721</v>
      </c>
      <c r="V13" s="18">
        <f t="shared" si="22"/>
        <v>7.5483809658427239</v>
      </c>
      <c r="W13" s="18">
        <f t="shared" si="7"/>
        <v>22.77836023410978</v>
      </c>
      <c r="X13" s="12">
        <v>3.7</v>
      </c>
      <c r="Y13" s="12">
        <f t="shared" si="8"/>
        <v>3.7000000000000005E-2</v>
      </c>
      <c r="Z13" s="18">
        <f t="shared" si="9"/>
        <v>-3.2968373663379125</v>
      </c>
      <c r="AA13" s="16">
        <v>0</v>
      </c>
      <c r="AB13" s="16">
        <v>0</v>
      </c>
      <c r="AC13" s="19">
        <f t="shared" si="10"/>
        <v>0</v>
      </c>
      <c r="AD13" s="19">
        <f t="shared" si="11"/>
        <v>0</v>
      </c>
      <c r="AE13" s="19">
        <f t="shared" si="12"/>
        <v>0</v>
      </c>
      <c r="AF13" s="19">
        <f t="shared" si="23"/>
        <v>0</v>
      </c>
      <c r="AG13" s="18">
        <f t="shared" si="24"/>
        <v>0</v>
      </c>
      <c r="AH13" s="16">
        <v>0</v>
      </c>
      <c r="AI13" s="16">
        <v>0</v>
      </c>
      <c r="AJ13" s="19">
        <f t="shared" si="13"/>
        <v>0</v>
      </c>
      <c r="AK13" s="19">
        <f t="shared" si="14"/>
        <v>0</v>
      </c>
      <c r="AL13" s="19">
        <f t="shared" si="15"/>
        <v>0</v>
      </c>
      <c r="AM13" s="19">
        <f t="shared" si="16"/>
        <v>0</v>
      </c>
      <c r="AN13" s="18">
        <f t="shared" si="17"/>
        <v>0</v>
      </c>
      <c r="AO13" s="20">
        <v>12</v>
      </c>
      <c r="AP13" s="20">
        <f t="shared" si="25"/>
        <v>2.4849066497880004</v>
      </c>
      <c r="AQ13" s="20">
        <v>0</v>
      </c>
      <c r="AR13" s="20">
        <v>0</v>
      </c>
      <c r="AS13" s="20">
        <v>0</v>
      </c>
      <c r="AT13" s="18">
        <v>0</v>
      </c>
      <c r="AU13" s="3">
        <v>0</v>
      </c>
      <c r="AV13" s="3">
        <v>1</v>
      </c>
      <c r="AW13" s="3">
        <f t="shared" si="18"/>
        <v>0</v>
      </c>
      <c r="AX13" s="3" t="s">
        <v>281</v>
      </c>
      <c r="AY13" s="3" t="s">
        <v>44</v>
      </c>
    </row>
    <row r="14" spans="1:51" ht="19.95" customHeight="1" x14ac:dyDescent="0.3">
      <c r="A14" s="3" t="s">
        <v>67</v>
      </c>
      <c r="B14" s="3" t="s">
        <v>68</v>
      </c>
      <c r="C14" s="3">
        <f>Deflators!C21</f>
        <v>778</v>
      </c>
      <c r="D14" s="3">
        <f>Deflators!D21</f>
        <v>1.7210796915167095</v>
      </c>
      <c r="E14" s="3">
        <f>Deflators!E21</f>
        <v>880</v>
      </c>
      <c r="F14" s="3">
        <f>Deflators!F21</f>
        <v>1.7738636363636364</v>
      </c>
      <c r="G14" s="16">
        <v>39022000000</v>
      </c>
      <c r="H14" s="16">
        <v>4126600</v>
      </c>
      <c r="I14" s="17">
        <f t="shared" si="0"/>
        <v>9456.2109242475653</v>
      </c>
      <c r="J14" s="17">
        <f t="shared" si="1"/>
        <v>69219706818.181824</v>
      </c>
      <c r="K14" s="17">
        <f t="shared" si="2"/>
        <v>16774.02869630733</v>
      </c>
      <c r="L14" s="18">
        <f t="shared" si="3"/>
        <v>24.9605514396373</v>
      </c>
      <c r="M14" s="18">
        <f t="shared" si="19"/>
        <v>9.7275870583040316</v>
      </c>
      <c r="N14" s="19">
        <v>118.30000002506931</v>
      </c>
      <c r="O14" s="19">
        <f t="shared" si="20"/>
        <v>203.60372754957302</v>
      </c>
      <c r="P14" s="19">
        <f t="shared" si="4"/>
        <v>5.3161755927090351</v>
      </c>
      <c r="Q14" s="19">
        <v>78.999999977668665</v>
      </c>
      <c r="R14" s="19">
        <f t="shared" si="21"/>
        <v>135.96529559138605</v>
      </c>
      <c r="S14" s="19">
        <f t="shared" si="5"/>
        <v>4.9123996736971272</v>
      </c>
      <c r="T14" s="17">
        <v>1872.5973390249451</v>
      </c>
      <c r="U14" s="17">
        <f t="shared" si="6"/>
        <v>7727460179.2203388</v>
      </c>
      <c r="V14" s="18">
        <f t="shared" si="22"/>
        <v>7.535081697498196</v>
      </c>
      <c r="W14" s="18">
        <f t="shared" si="7"/>
        <v>22.768046078831464</v>
      </c>
      <c r="X14" s="12">
        <v>3.9</v>
      </c>
      <c r="Y14" s="12">
        <f t="shared" si="8"/>
        <v>3.9E-2</v>
      </c>
      <c r="Z14" s="18">
        <f t="shared" si="9"/>
        <v>-3.2441936328524905</v>
      </c>
      <c r="AA14" s="16">
        <v>0</v>
      </c>
      <c r="AB14" s="16">
        <v>0</v>
      </c>
      <c r="AC14" s="19">
        <f t="shared" si="10"/>
        <v>0</v>
      </c>
      <c r="AD14" s="19">
        <f t="shared" si="11"/>
        <v>0</v>
      </c>
      <c r="AE14" s="19">
        <f t="shared" si="12"/>
        <v>0</v>
      </c>
      <c r="AF14" s="19">
        <f t="shared" si="23"/>
        <v>0</v>
      </c>
      <c r="AG14" s="18">
        <f t="shared" si="24"/>
        <v>0</v>
      </c>
      <c r="AH14" s="16">
        <v>0</v>
      </c>
      <c r="AI14" s="16">
        <v>0</v>
      </c>
      <c r="AJ14" s="19">
        <f t="shared" si="13"/>
        <v>0</v>
      </c>
      <c r="AK14" s="19">
        <f t="shared" si="14"/>
        <v>0</v>
      </c>
      <c r="AL14" s="19">
        <f t="shared" si="15"/>
        <v>0</v>
      </c>
      <c r="AM14" s="19">
        <f t="shared" si="16"/>
        <v>0</v>
      </c>
      <c r="AN14" s="18">
        <f t="shared" si="17"/>
        <v>0</v>
      </c>
      <c r="AO14" s="20">
        <v>13</v>
      </c>
      <c r="AP14" s="20">
        <f t="shared" si="25"/>
        <v>2.5649493574615367</v>
      </c>
      <c r="AQ14" s="20">
        <v>0</v>
      </c>
      <c r="AR14" s="20">
        <v>0</v>
      </c>
      <c r="AS14" s="20">
        <v>0</v>
      </c>
      <c r="AT14" s="18">
        <v>0</v>
      </c>
      <c r="AU14" s="3">
        <v>0</v>
      </c>
      <c r="AV14" s="3">
        <v>0</v>
      </c>
      <c r="AW14" s="3">
        <f t="shared" si="18"/>
        <v>0</v>
      </c>
      <c r="AX14" s="3" t="s">
        <v>281</v>
      </c>
      <c r="AY14" s="3" t="s">
        <v>44</v>
      </c>
    </row>
    <row r="15" spans="1:51" ht="19.95" customHeight="1" x14ac:dyDescent="0.3">
      <c r="A15" s="3" t="s">
        <v>69</v>
      </c>
      <c r="B15" s="3" t="s">
        <v>70</v>
      </c>
      <c r="C15" s="3">
        <f>Deflators!C22</f>
        <v>784</v>
      </c>
      <c r="D15" s="3">
        <f>Deflators!D22</f>
        <v>1.7079081632653061</v>
      </c>
      <c r="E15" s="3">
        <f>Deflators!E22</f>
        <v>886</v>
      </c>
      <c r="F15" s="3">
        <f>Deflators!F22</f>
        <v>1.7618510158013545</v>
      </c>
      <c r="G15" s="16">
        <v>40272000000</v>
      </c>
      <c r="H15" s="16">
        <v>4133900</v>
      </c>
      <c r="I15" s="17">
        <f t="shared" si="0"/>
        <v>9741.8902247272545</v>
      </c>
      <c r="J15" s="17">
        <f t="shared" si="1"/>
        <v>70953264108.352142</v>
      </c>
      <c r="K15" s="17">
        <f t="shared" si="2"/>
        <v>17163.759188261</v>
      </c>
      <c r="L15" s="18">
        <f t="shared" si="3"/>
        <v>24.985287245249722</v>
      </c>
      <c r="M15" s="18">
        <f t="shared" si="19"/>
        <v>9.7505554159652768</v>
      </c>
      <c r="N15" s="19">
        <v>126.80000004630037</v>
      </c>
      <c r="O15" s="19">
        <f t="shared" si="20"/>
        <v>216.56275518111761</v>
      </c>
      <c r="P15" s="19">
        <f t="shared" si="4"/>
        <v>5.377880367709035</v>
      </c>
      <c r="Q15" s="19">
        <v>86.199999972994831</v>
      </c>
      <c r="R15" s="19">
        <f t="shared" si="21"/>
        <v>147.22168362734703</v>
      </c>
      <c r="S15" s="19">
        <f t="shared" si="5"/>
        <v>4.9919395026971269</v>
      </c>
      <c r="T15" s="17">
        <v>1850.1305563359681</v>
      </c>
      <c r="U15" s="17">
        <f t="shared" si="6"/>
        <v>7648254706.8372583</v>
      </c>
      <c r="V15" s="18">
        <f t="shared" si="22"/>
        <v>7.5230114865747701</v>
      </c>
      <c r="W15" s="18">
        <f t="shared" si="7"/>
        <v>22.757743315859216</v>
      </c>
      <c r="X15" s="12">
        <v>3.8</v>
      </c>
      <c r="Y15" s="12">
        <f t="shared" si="8"/>
        <v>3.7999999999999999E-2</v>
      </c>
      <c r="Z15" s="18">
        <f t="shared" si="9"/>
        <v>-3.2701691192557512</v>
      </c>
      <c r="AA15" s="16">
        <v>0</v>
      </c>
      <c r="AB15" s="16">
        <v>0</v>
      </c>
      <c r="AC15" s="19">
        <f t="shared" si="10"/>
        <v>0</v>
      </c>
      <c r="AD15" s="19">
        <f t="shared" si="11"/>
        <v>0</v>
      </c>
      <c r="AE15" s="19">
        <f t="shared" si="12"/>
        <v>0</v>
      </c>
      <c r="AF15" s="19">
        <f t="shared" si="23"/>
        <v>0</v>
      </c>
      <c r="AG15" s="18">
        <f t="shared" si="24"/>
        <v>0</v>
      </c>
      <c r="AH15" s="16">
        <v>0</v>
      </c>
      <c r="AI15" s="16">
        <v>0</v>
      </c>
      <c r="AJ15" s="19">
        <f t="shared" si="13"/>
        <v>0</v>
      </c>
      <c r="AK15" s="19">
        <f t="shared" si="14"/>
        <v>0</v>
      </c>
      <c r="AL15" s="19">
        <f t="shared" si="15"/>
        <v>0</v>
      </c>
      <c r="AM15" s="19">
        <f t="shared" si="16"/>
        <v>0</v>
      </c>
      <c r="AN15" s="18">
        <f t="shared" si="17"/>
        <v>0</v>
      </c>
      <c r="AO15" s="20">
        <v>14</v>
      </c>
      <c r="AP15" s="20">
        <f t="shared" si="25"/>
        <v>2.6390573296152584</v>
      </c>
      <c r="AQ15" s="20">
        <v>0</v>
      </c>
      <c r="AR15" s="20">
        <v>0</v>
      </c>
      <c r="AS15" s="20">
        <v>0</v>
      </c>
      <c r="AT15" s="18">
        <v>1</v>
      </c>
      <c r="AU15" s="3">
        <v>0</v>
      </c>
      <c r="AV15" s="3">
        <v>0</v>
      </c>
      <c r="AW15" s="3">
        <f t="shared" si="18"/>
        <v>0</v>
      </c>
      <c r="AX15" s="3" t="s">
        <v>281</v>
      </c>
      <c r="AY15" s="3" t="s">
        <v>44</v>
      </c>
    </row>
    <row r="16" spans="1:51" ht="19.95" customHeight="1" x14ac:dyDescent="0.3">
      <c r="A16" s="3" t="s">
        <v>71</v>
      </c>
      <c r="B16" s="3" t="s">
        <v>72</v>
      </c>
      <c r="C16" s="3">
        <f>Deflators!C23</f>
        <v>793</v>
      </c>
      <c r="D16" s="3">
        <f>Deflators!D23</f>
        <v>1.6885245901639345</v>
      </c>
      <c r="E16" s="3">
        <f>Deflators!E23</f>
        <v>896</v>
      </c>
      <c r="F16" s="3">
        <f>Deflators!F23</f>
        <v>1.7421875</v>
      </c>
      <c r="G16" s="16">
        <v>40823000000</v>
      </c>
      <c r="H16" s="16">
        <v>4145900</v>
      </c>
      <c r="I16" s="17">
        <f t="shared" si="0"/>
        <v>9846.5954316312509</v>
      </c>
      <c r="J16" s="17">
        <f t="shared" si="1"/>
        <v>71121320312.5</v>
      </c>
      <c r="K16" s="17">
        <f t="shared" si="2"/>
        <v>17154.615478545067</v>
      </c>
      <c r="L16" s="18">
        <f t="shared" si="3"/>
        <v>24.987652992553699</v>
      </c>
      <c r="M16" s="18">
        <f t="shared" si="19"/>
        <v>9.7500225405001029</v>
      </c>
      <c r="N16" s="19">
        <v>143.60000000554106</v>
      </c>
      <c r="O16" s="19">
        <f t="shared" si="20"/>
        <v>242.47213115689721</v>
      </c>
      <c r="P16" s="19">
        <f t="shared" si="4"/>
        <v>5.4908867807090349</v>
      </c>
      <c r="Q16" s="19">
        <v>97.499999964607653</v>
      </c>
      <c r="R16" s="19">
        <f t="shared" si="21"/>
        <v>164.63114748122277</v>
      </c>
      <c r="S16" s="19">
        <f t="shared" si="5"/>
        <v>5.1037075016971274</v>
      </c>
      <c r="T16" s="17">
        <v>1842.5792416165427</v>
      </c>
      <c r="U16" s="17">
        <f t="shared" si="6"/>
        <v>7639149277.8180246</v>
      </c>
      <c r="V16" s="18">
        <f t="shared" si="22"/>
        <v>7.5189216308003131</v>
      </c>
      <c r="W16" s="18">
        <f t="shared" si="7"/>
        <v>22.756552082853911</v>
      </c>
      <c r="X16" s="12">
        <v>3.8</v>
      </c>
      <c r="Y16" s="12">
        <f t="shared" si="8"/>
        <v>3.7999999999999999E-2</v>
      </c>
      <c r="Z16" s="18">
        <f t="shared" si="9"/>
        <v>-3.2701691192557512</v>
      </c>
      <c r="AA16" s="16">
        <v>0</v>
      </c>
      <c r="AB16" s="16">
        <v>0</v>
      </c>
      <c r="AC16" s="19">
        <f t="shared" si="10"/>
        <v>0</v>
      </c>
      <c r="AD16" s="19">
        <f t="shared" si="11"/>
        <v>0</v>
      </c>
      <c r="AE16" s="19">
        <f t="shared" si="12"/>
        <v>0</v>
      </c>
      <c r="AF16" s="19">
        <f t="shared" si="23"/>
        <v>0</v>
      </c>
      <c r="AG16" s="18">
        <f t="shared" si="24"/>
        <v>0</v>
      </c>
      <c r="AH16" s="16">
        <v>0</v>
      </c>
      <c r="AI16" s="16">
        <v>0</v>
      </c>
      <c r="AJ16" s="19">
        <f t="shared" si="13"/>
        <v>0</v>
      </c>
      <c r="AK16" s="19">
        <f t="shared" si="14"/>
        <v>0</v>
      </c>
      <c r="AL16" s="19">
        <f t="shared" si="15"/>
        <v>0</v>
      </c>
      <c r="AM16" s="19">
        <f t="shared" si="16"/>
        <v>0</v>
      </c>
      <c r="AN16" s="18">
        <f t="shared" si="17"/>
        <v>0</v>
      </c>
      <c r="AO16" s="20">
        <v>15</v>
      </c>
      <c r="AP16" s="20">
        <f t="shared" si="25"/>
        <v>2.7080502011022101</v>
      </c>
      <c r="AQ16" s="20">
        <v>0</v>
      </c>
      <c r="AR16" s="20">
        <v>0</v>
      </c>
      <c r="AS16" s="20">
        <v>0</v>
      </c>
      <c r="AT16" s="18">
        <v>0</v>
      </c>
      <c r="AU16" s="3">
        <v>1</v>
      </c>
      <c r="AV16" s="3">
        <v>0</v>
      </c>
      <c r="AW16" s="3">
        <f t="shared" si="18"/>
        <v>0</v>
      </c>
      <c r="AX16" s="3" t="s">
        <v>281</v>
      </c>
      <c r="AY16" s="3" t="s">
        <v>44</v>
      </c>
    </row>
    <row r="17" spans="1:51" ht="19.95" customHeight="1" x14ac:dyDescent="0.3">
      <c r="A17" s="3" t="s">
        <v>73</v>
      </c>
      <c r="B17" s="3" t="s">
        <v>74</v>
      </c>
      <c r="C17" s="3">
        <f>Deflators!C24</f>
        <v>799</v>
      </c>
      <c r="D17" s="3">
        <f>Deflators!D24</f>
        <v>1.6758448060075093</v>
      </c>
      <c r="E17" s="3">
        <f>Deflators!E24</f>
        <v>893</v>
      </c>
      <c r="F17" s="3">
        <f>Deflators!F24</f>
        <v>1.7480403135498321</v>
      </c>
      <c r="G17" s="16">
        <v>40680000000</v>
      </c>
      <c r="H17" s="16">
        <v>4161000</v>
      </c>
      <c r="I17" s="17">
        <f t="shared" si="0"/>
        <v>9776.4960346070657</v>
      </c>
      <c r="J17" s="17">
        <f t="shared" si="1"/>
        <v>71110279955.207169</v>
      </c>
      <c r="K17" s="17">
        <f t="shared" si="2"/>
        <v>17089.709193753224</v>
      </c>
      <c r="L17" s="18">
        <f t="shared" si="3"/>
        <v>24.987497747765705</v>
      </c>
      <c r="M17" s="18">
        <f t="shared" si="19"/>
        <v>9.7462317598006258</v>
      </c>
      <c r="N17" s="19">
        <v>139.29999999977403</v>
      </c>
      <c r="O17" s="19">
        <f t="shared" si="20"/>
        <v>233.44518147646735</v>
      </c>
      <c r="P17" s="19">
        <f t="shared" si="4"/>
        <v>5.4529472807090356</v>
      </c>
      <c r="Q17" s="19">
        <v>98.000000009962449</v>
      </c>
      <c r="R17" s="19">
        <f t="shared" si="21"/>
        <v>164.23279100543144</v>
      </c>
      <c r="S17" s="19">
        <f t="shared" si="5"/>
        <v>5.1012848786971272</v>
      </c>
      <c r="T17" s="17">
        <v>1864.7622115858157</v>
      </c>
      <c r="U17" s="17">
        <f t="shared" si="6"/>
        <v>7759275562.4085789</v>
      </c>
      <c r="V17" s="18">
        <f t="shared" si="22"/>
        <v>7.5308888234588585</v>
      </c>
      <c r="W17" s="18">
        <f t="shared" si="7"/>
        <v>22.772154811423938</v>
      </c>
      <c r="X17" s="12">
        <v>3.7</v>
      </c>
      <c r="Y17" s="12">
        <f t="shared" si="8"/>
        <v>3.7000000000000005E-2</v>
      </c>
      <c r="Z17" s="18">
        <f t="shared" si="9"/>
        <v>-3.2968373663379125</v>
      </c>
      <c r="AA17" s="16">
        <v>0</v>
      </c>
      <c r="AB17" s="16">
        <v>0</v>
      </c>
      <c r="AC17" s="19">
        <f t="shared" si="10"/>
        <v>0</v>
      </c>
      <c r="AD17" s="19">
        <f t="shared" si="11"/>
        <v>0</v>
      </c>
      <c r="AE17" s="19">
        <f t="shared" si="12"/>
        <v>0</v>
      </c>
      <c r="AF17" s="19">
        <f t="shared" si="23"/>
        <v>0</v>
      </c>
      <c r="AG17" s="18">
        <f t="shared" si="24"/>
        <v>0</v>
      </c>
      <c r="AH17" s="16">
        <v>0</v>
      </c>
      <c r="AI17" s="16">
        <v>0</v>
      </c>
      <c r="AJ17" s="19">
        <f t="shared" si="13"/>
        <v>0</v>
      </c>
      <c r="AK17" s="19">
        <f t="shared" si="14"/>
        <v>0</v>
      </c>
      <c r="AL17" s="19">
        <f t="shared" si="15"/>
        <v>0</v>
      </c>
      <c r="AM17" s="19">
        <f t="shared" si="16"/>
        <v>0</v>
      </c>
      <c r="AN17" s="18">
        <f t="shared" si="17"/>
        <v>0</v>
      </c>
      <c r="AO17" s="20">
        <v>16</v>
      </c>
      <c r="AP17" s="20">
        <f t="shared" si="25"/>
        <v>2.7725887222397811</v>
      </c>
      <c r="AQ17" s="20">
        <v>0</v>
      </c>
      <c r="AR17" s="20">
        <v>0</v>
      </c>
      <c r="AS17" s="20">
        <v>0</v>
      </c>
      <c r="AT17" s="18">
        <v>0</v>
      </c>
      <c r="AU17" s="3">
        <v>0</v>
      </c>
      <c r="AV17" s="3">
        <v>1</v>
      </c>
      <c r="AW17" s="3">
        <f t="shared" si="18"/>
        <v>0</v>
      </c>
      <c r="AX17" s="3" t="s">
        <v>281</v>
      </c>
      <c r="AY17" s="3" t="s">
        <v>44</v>
      </c>
    </row>
    <row r="18" spans="1:51" ht="19.95" customHeight="1" x14ac:dyDescent="0.3">
      <c r="A18" s="3" t="s">
        <v>75</v>
      </c>
      <c r="B18" s="3" t="s">
        <v>76</v>
      </c>
      <c r="C18" s="3">
        <f>Deflators!C25</f>
        <v>803</v>
      </c>
      <c r="D18" s="3">
        <f>Deflators!D25</f>
        <v>1.6674968866749689</v>
      </c>
      <c r="E18" s="3">
        <f>Deflators!E25</f>
        <v>896</v>
      </c>
      <c r="F18" s="3">
        <f>Deflators!F25</f>
        <v>1.7421875</v>
      </c>
      <c r="G18" s="16">
        <v>41175000000</v>
      </c>
      <c r="H18" s="16">
        <v>4176100</v>
      </c>
      <c r="I18" s="17">
        <f t="shared" si="0"/>
        <v>9859.6776897104955</v>
      </c>
      <c r="J18" s="17">
        <f t="shared" si="1"/>
        <v>71734570312.5</v>
      </c>
      <c r="K18" s="17">
        <f t="shared" si="2"/>
        <v>17177.407225042505</v>
      </c>
      <c r="L18" s="18">
        <f t="shared" si="3"/>
        <v>24.996238620550617</v>
      </c>
      <c r="M18" s="18">
        <f t="shared" si="19"/>
        <v>9.7513502659325617</v>
      </c>
      <c r="N18" s="19">
        <v>146.10000003038459</v>
      </c>
      <c r="O18" s="19">
        <f t="shared" si="20"/>
        <v>243.62129519387918</v>
      </c>
      <c r="P18" s="19">
        <f t="shared" si="4"/>
        <v>5.4956149507090357</v>
      </c>
      <c r="Q18" s="19">
        <v>105.99999998310878</v>
      </c>
      <c r="R18" s="19">
        <f t="shared" si="21"/>
        <v>176.75466995938064</v>
      </c>
      <c r="S18" s="19">
        <f t="shared" si="5"/>
        <v>5.1747627256971267</v>
      </c>
      <c r="T18" s="17">
        <v>1827.8271073959868</v>
      </c>
      <c r="U18" s="17">
        <f t="shared" si="6"/>
        <v>7633188783.1963806</v>
      </c>
      <c r="V18" s="18">
        <f t="shared" si="22"/>
        <v>7.5108831673419747</v>
      </c>
      <c r="W18" s="18">
        <f t="shared" si="7"/>
        <v>22.755771521960028</v>
      </c>
      <c r="X18" s="12">
        <v>4.0999999999999996</v>
      </c>
      <c r="Y18" s="12">
        <f t="shared" si="8"/>
        <v>4.0999999999999995E-2</v>
      </c>
      <c r="Z18" s="18">
        <f t="shared" si="9"/>
        <v>-3.1941832122778293</v>
      </c>
      <c r="AA18" s="16">
        <v>0</v>
      </c>
      <c r="AB18" s="16">
        <v>0</v>
      </c>
      <c r="AC18" s="19">
        <f t="shared" si="10"/>
        <v>0</v>
      </c>
      <c r="AD18" s="19">
        <f t="shared" si="11"/>
        <v>0</v>
      </c>
      <c r="AE18" s="19">
        <f t="shared" si="12"/>
        <v>0</v>
      </c>
      <c r="AF18" s="19">
        <f t="shared" si="23"/>
        <v>0</v>
      </c>
      <c r="AG18" s="18">
        <f t="shared" si="24"/>
        <v>0</v>
      </c>
      <c r="AH18" s="16">
        <v>0</v>
      </c>
      <c r="AI18" s="16">
        <v>0</v>
      </c>
      <c r="AJ18" s="19">
        <f t="shared" si="13"/>
        <v>0</v>
      </c>
      <c r="AK18" s="19">
        <f t="shared" si="14"/>
        <v>0</v>
      </c>
      <c r="AL18" s="19">
        <f t="shared" si="15"/>
        <v>0</v>
      </c>
      <c r="AM18" s="19">
        <f t="shared" si="16"/>
        <v>0</v>
      </c>
      <c r="AN18" s="18">
        <f t="shared" si="17"/>
        <v>0</v>
      </c>
      <c r="AO18" s="20">
        <v>17</v>
      </c>
      <c r="AP18" s="20">
        <f t="shared" si="25"/>
        <v>2.8332133440562162</v>
      </c>
      <c r="AQ18" s="20">
        <v>0</v>
      </c>
      <c r="AR18" s="20">
        <v>0</v>
      </c>
      <c r="AS18" s="20">
        <v>0</v>
      </c>
      <c r="AT18" s="18">
        <v>0</v>
      </c>
      <c r="AU18" s="3">
        <v>0</v>
      </c>
      <c r="AV18" s="3">
        <v>0</v>
      </c>
      <c r="AW18" s="3">
        <f t="shared" si="18"/>
        <v>0</v>
      </c>
      <c r="AX18" s="3" t="s">
        <v>281</v>
      </c>
      <c r="AY18" s="3" t="s">
        <v>44</v>
      </c>
    </row>
    <row r="19" spans="1:51" ht="19.95" customHeight="1" x14ac:dyDescent="0.3">
      <c r="A19" s="3" t="s">
        <v>77</v>
      </c>
      <c r="B19" s="3" t="s">
        <v>78</v>
      </c>
      <c r="C19" s="3">
        <f>Deflators!C26</f>
        <v>816</v>
      </c>
      <c r="D19" s="3">
        <f>Deflators!D26</f>
        <v>1.6409313725490196</v>
      </c>
      <c r="E19" s="3">
        <f>Deflators!E26</f>
        <v>913</v>
      </c>
      <c r="F19" s="3">
        <f>Deflators!F26</f>
        <v>1.7097480832420591</v>
      </c>
      <c r="G19" s="16">
        <v>41785000000</v>
      </c>
      <c r="H19" s="16">
        <v>4184600</v>
      </c>
      <c r="I19" s="17">
        <f t="shared" si="0"/>
        <v>9985.4227405247821</v>
      </c>
      <c r="J19" s="17">
        <f t="shared" si="1"/>
        <v>71441823658.26944</v>
      </c>
      <c r="K19" s="17">
        <f t="shared" si="2"/>
        <v>17072.557390973914</v>
      </c>
      <c r="L19" s="18">
        <f t="shared" si="3"/>
        <v>24.992149300320275</v>
      </c>
      <c r="M19" s="18">
        <f t="shared" si="19"/>
        <v>9.7452276224329868</v>
      </c>
      <c r="N19" s="19">
        <v>167.89999998295386</v>
      </c>
      <c r="O19" s="19">
        <f t="shared" si="20"/>
        <v>275.51237742300884</v>
      </c>
      <c r="P19" s="19">
        <f t="shared" si="4"/>
        <v>5.618632554709035</v>
      </c>
      <c r="Q19" s="19">
        <v>125.50000004997699</v>
      </c>
      <c r="R19" s="19">
        <f t="shared" si="21"/>
        <v>205.93688733691076</v>
      </c>
      <c r="S19" s="19">
        <f t="shared" si="5"/>
        <v>5.327569749697127</v>
      </c>
      <c r="T19" s="17">
        <v>1802.7810427911897</v>
      </c>
      <c r="U19" s="17">
        <f t="shared" si="6"/>
        <v>7543917551.6640129</v>
      </c>
      <c r="V19" s="18">
        <f t="shared" si="22"/>
        <v>7.4970857753358615</v>
      </c>
      <c r="W19" s="18">
        <f t="shared" si="7"/>
        <v>22.744007453223151</v>
      </c>
      <c r="X19" s="12">
        <v>3.7</v>
      </c>
      <c r="Y19" s="12">
        <f t="shared" si="8"/>
        <v>3.7000000000000005E-2</v>
      </c>
      <c r="Z19" s="18">
        <f t="shared" si="9"/>
        <v>-3.2968373663379125</v>
      </c>
      <c r="AA19" s="16">
        <v>0</v>
      </c>
      <c r="AB19" s="16">
        <v>0</v>
      </c>
      <c r="AC19" s="19">
        <f t="shared" si="10"/>
        <v>0</v>
      </c>
      <c r="AD19" s="19">
        <f t="shared" si="11"/>
        <v>0</v>
      </c>
      <c r="AE19" s="19">
        <f t="shared" si="12"/>
        <v>0</v>
      </c>
      <c r="AF19" s="19">
        <f t="shared" si="23"/>
        <v>0</v>
      </c>
      <c r="AG19" s="18">
        <f t="shared" si="24"/>
        <v>0</v>
      </c>
      <c r="AH19" s="16">
        <v>0</v>
      </c>
      <c r="AI19" s="16">
        <v>0</v>
      </c>
      <c r="AJ19" s="19">
        <f t="shared" si="13"/>
        <v>0</v>
      </c>
      <c r="AK19" s="19">
        <f t="shared" si="14"/>
        <v>0</v>
      </c>
      <c r="AL19" s="19">
        <f t="shared" si="15"/>
        <v>0</v>
      </c>
      <c r="AM19" s="19">
        <f t="shared" si="16"/>
        <v>0</v>
      </c>
      <c r="AN19" s="18">
        <f t="shared" si="17"/>
        <v>0</v>
      </c>
      <c r="AO19" s="20">
        <v>18</v>
      </c>
      <c r="AP19" s="20">
        <f t="shared" si="25"/>
        <v>2.8903717578961645</v>
      </c>
      <c r="AQ19" s="20">
        <v>0</v>
      </c>
      <c r="AR19" s="20">
        <v>0</v>
      </c>
      <c r="AS19" s="20">
        <v>0</v>
      </c>
      <c r="AT19" s="18">
        <v>1</v>
      </c>
      <c r="AU19" s="3">
        <v>0</v>
      </c>
      <c r="AV19" s="3">
        <v>0</v>
      </c>
      <c r="AW19" s="3">
        <f t="shared" si="18"/>
        <v>0</v>
      </c>
      <c r="AX19" s="3" t="s">
        <v>281</v>
      </c>
      <c r="AY19" s="3" t="s">
        <v>44</v>
      </c>
    </row>
    <row r="20" spans="1:51" ht="19.95" customHeight="1" x14ac:dyDescent="0.3">
      <c r="A20" s="3" t="s">
        <v>79</v>
      </c>
      <c r="B20" s="3" t="s">
        <v>80</v>
      </c>
      <c r="C20" s="3">
        <f>Deflators!C27</f>
        <v>821</v>
      </c>
      <c r="D20" s="3">
        <f>Deflators!D27</f>
        <v>1.6309378806333739</v>
      </c>
      <c r="E20" s="3">
        <f>Deflators!E27</f>
        <v>908</v>
      </c>
      <c r="F20" s="3">
        <f>Deflators!F27</f>
        <v>1.7191629955947136</v>
      </c>
      <c r="G20" s="16">
        <v>42293000000</v>
      </c>
      <c r="H20" s="16">
        <v>4195500</v>
      </c>
      <c r="I20" s="17">
        <f t="shared" si="0"/>
        <v>10080.562507448456</v>
      </c>
      <c r="J20" s="17">
        <f t="shared" si="1"/>
        <v>72708560572.687225</v>
      </c>
      <c r="K20" s="17">
        <f t="shared" si="2"/>
        <v>17330.130037584848</v>
      </c>
      <c r="L20" s="18">
        <f t="shared" si="3"/>
        <v>25.009724966585118</v>
      </c>
      <c r="M20" s="18">
        <f t="shared" si="19"/>
        <v>9.7602018862928581</v>
      </c>
      <c r="N20" s="19">
        <v>166.59999995627567</v>
      </c>
      <c r="O20" s="19">
        <f t="shared" si="20"/>
        <v>271.7142508422084</v>
      </c>
      <c r="P20" s="19">
        <f t="shared" si="4"/>
        <v>5.6047509657090355</v>
      </c>
      <c r="Q20" s="19">
        <v>121.89999999648404</v>
      </c>
      <c r="R20" s="19">
        <f t="shared" si="21"/>
        <v>198.81132764347396</v>
      </c>
      <c r="S20" s="19">
        <f t="shared" si="5"/>
        <v>5.2923562726971269</v>
      </c>
      <c r="T20" s="17">
        <v>1804.1733997462184</v>
      </c>
      <c r="U20" s="17">
        <f t="shared" si="6"/>
        <v>7569409498.6352587</v>
      </c>
      <c r="V20" s="18">
        <f t="shared" si="22"/>
        <v>7.4978578155966247</v>
      </c>
      <c r="W20" s="18">
        <f t="shared" si="7"/>
        <v>22.747380895888885</v>
      </c>
      <c r="X20" s="12">
        <v>3.9</v>
      </c>
      <c r="Y20" s="12">
        <f t="shared" si="8"/>
        <v>3.9E-2</v>
      </c>
      <c r="Z20" s="18">
        <f t="shared" si="9"/>
        <v>-3.2441936328524905</v>
      </c>
      <c r="AA20" s="16">
        <v>0</v>
      </c>
      <c r="AB20" s="16">
        <v>0</v>
      </c>
      <c r="AC20" s="19">
        <f t="shared" si="10"/>
        <v>0</v>
      </c>
      <c r="AD20" s="19">
        <f t="shared" si="11"/>
        <v>0</v>
      </c>
      <c r="AE20" s="19">
        <f t="shared" si="12"/>
        <v>0</v>
      </c>
      <c r="AF20" s="19">
        <f t="shared" si="23"/>
        <v>0</v>
      </c>
      <c r="AG20" s="18">
        <f t="shared" si="24"/>
        <v>0</v>
      </c>
      <c r="AH20" s="16">
        <v>0</v>
      </c>
      <c r="AI20" s="16">
        <v>0</v>
      </c>
      <c r="AJ20" s="19">
        <f t="shared" si="13"/>
        <v>0</v>
      </c>
      <c r="AK20" s="19">
        <f t="shared" si="14"/>
        <v>0</v>
      </c>
      <c r="AL20" s="19">
        <f t="shared" si="15"/>
        <v>0</v>
      </c>
      <c r="AM20" s="19">
        <f t="shared" si="16"/>
        <v>0</v>
      </c>
      <c r="AN20" s="18">
        <f t="shared" si="17"/>
        <v>0</v>
      </c>
      <c r="AO20" s="20">
        <v>19</v>
      </c>
      <c r="AP20" s="20">
        <f t="shared" si="25"/>
        <v>2.9444389791664403</v>
      </c>
      <c r="AQ20" s="20">
        <v>0</v>
      </c>
      <c r="AR20" s="20">
        <v>0</v>
      </c>
      <c r="AS20" s="20">
        <v>0</v>
      </c>
      <c r="AT20" s="18">
        <v>0</v>
      </c>
      <c r="AU20" s="3">
        <v>1</v>
      </c>
      <c r="AV20" s="3">
        <v>0</v>
      </c>
      <c r="AW20" s="3">
        <f t="shared" si="18"/>
        <v>0</v>
      </c>
      <c r="AX20" s="3" t="s">
        <v>281</v>
      </c>
      <c r="AY20" s="3" t="s">
        <v>44</v>
      </c>
    </row>
    <row r="21" spans="1:51" ht="19.95" customHeight="1" x14ac:dyDescent="0.3">
      <c r="A21" s="3" t="s">
        <v>81</v>
      </c>
      <c r="B21" s="3" t="s">
        <v>82</v>
      </c>
      <c r="C21" s="3">
        <f>Deflators!C28</f>
        <v>820</v>
      </c>
      <c r="D21" s="3">
        <f>Deflators!D28</f>
        <v>1.6329268292682926</v>
      </c>
      <c r="E21" s="3">
        <f>Deflators!E28</f>
        <v>930</v>
      </c>
      <c r="F21" s="3">
        <f>Deflators!F28</f>
        <v>1.678494623655914</v>
      </c>
      <c r="G21" s="16">
        <v>43649000000</v>
      </c>
      <c r="H21" s="16">
        <v>4209100</v>
      </c>
      <c r="I21" s="17">
        <f t="shared" si="0"/>
        <v>10370.150388444086</v>
      </c>
      <c r="J21" s="17">
        <f t="shared" si="1"/>
        <v>73264611827.956985</v>
      </c>
      <c r="K21" s="17">
        <f t="shared" si="2"/>
        <v>17406.241673506684</v>
      </c>
      <c r="L21" s="18">
        <f t="shared" si="3"/>
        <v>25.017343543830279</v>
      </c>
      <c r="M21" s="18">
        <f t="shared" si="19"/>
        <v>9.7645841377473062</v>
      </c>
      <c r="N21" s="19">
        <v>140.90000005234819</v>
      </c>
      <c r="O21" s="19">
        <f t="shared" si="20"/>
        <v>230.07939032938319</v>
      </c>
      <c r="P21" s="19">
        <f t="shared" si="4"/>
        <v>5.4384244247090354</v>
      </c>
      <c r="Q21" s="19">
        <v>99.799999994694204</v>
      </c>
      <c r="R21" s="19">
        <f t="shared" si="21"/>
        <v>162.96609755231162</v>
      </c>
      <c r="S21" s="19">
        <f t="shared" si="5"/>
        <v>5.0935421886971275</v>
      </c>
      <c r="T21" s="17">
        <v>1847.0202552922724</v>
      </c>
      <c r="U21" s="17">
        <f t="shared" si="6"/>
        <v>7774292956.550704</v>
      </c>
      <c r="V21" s="18">
        <f t="shared" si="22"/>
        <v>7.5213289467294011</v>
      </c>
      <c r="W21" s="18">
        <f t="shared" si="7"/>
        <v>22.774088352812374</v>
      </c>
      <c r="X21" s="12">
        <v>3.8</v>
      </c>
      <c r="Y21" s="12">
        <f t="shared" si="8"/>
        <v>3.7999999999999999E-2</v>
      </c>
      <c r="Z21" s="18">
        <f t="shared" si="9"/>
        <v>-3.2701691192557512</v>
      </c>
      <c r="AA21" s="16">
        <v>0</v>
      </c>
      <c r="AB21" s="16">
        <v>0</v>
      </c>
      <c r="AC21" s="19">
        <f t="shared" si="10"/>
        <v>0</v>
      </c>
      <c r="AD21" s="19">
        <f t="shared" si="11"/>
        <v>0</v>
      </c>
      <c r="AE21" s="19">
        <f t="shared" si="12"/>
        <v>0</v>
      </c>
      <c r="AF21" s="19">
        <f t="shared" si="23"/>
        <v>0</v>
      </c>
      <c r="AG21" s="18">
        <f t="shared" si="24"/>
        <v>0</v>
      </c>
      <c r="AH21" s="16">
        <v>0</v>
      </c>
      <c r="AI21" s="16">
        <v>0</v>
      </c>
      <c r="AJ21" s="19">
        <f t="shared" si="13"/>
        <v>0</v>
      </c>
      <c r="AK21" s="19">
        <f t="shared" si="14"/>
        <v>0</v>
      </c>
      <c r="AL21" s="19">
        <f t="shared" si="15"/>
        <v>0</v>
      </c>
      <c r="AM21" s="19">
        <f t="shared" si="16"/>
        <v>0</v>
      </c>
      <c r="AN21" s="18">
        <f t="shared" si="17"/>
        <v>0</v>
      </c>
      <c r="AO21" s="20">
        <v>20</v>
      </c>
      <c r="AP21" s="20">
        <f t="shared" si="25"/>
        <v>2.9957322735539909</v>
      </c>
      <c r="AQ21" s="20">
        <v>0</v>
      </c>
      <c r="AR21" s="20">
        <v>0</v>
      </c>
      <c r="AS21" s="20">
        <v>0</v>
      </c>
      <c r="AT21" s="18">
        <v>0</v>
      </c>
      <c r="AU21" s="3">
        <v>0</v>
      </c>
      <c r="AV21" s="3">
        <v>1</v>
      </c>
      <c r="AW21" s="3">
        <f t="shared" si="18"/>
        <v>0</v>
      </c>
      <c r="AX21" s="3" t="s">
        <v>281</v>
      </c>
      <c r="AY21" s="3" t="s">
        <v>44</v>
      </c>
    </row>
    <row r="22" spans="1:51" ht="19.95" customHeight="1" x14ac:dyDescent="0.3">
      <c r="A22" s="3" t="s">
        <v>83</v>
      </c>
      <c r="B22" s="3" t="s">
        <v>84</v>
      </c>
      <c r="C22" s="3">
        <f>Deflators!C29</f>
        <v>824</v>
      </c>
      <c r="D22" s="3">
        <f>Deflators!D29</f>
        <v>1.625</v>
      </c>
      <c r="E22" s="3">
        <f>Deflators!E29</f>
        <v>934</v>
      </c>
      <c r="F22" s="3">
        <f>Deflators!F29</f>
        <v>1.671306209850107</v>
      </c>
      <c r="G22" s="16">
        <v>44172000000</v>
      </c>
      <c r="H22" s="16">
        <v>4219400</v>
      </c>
      <c r="I22" s="17">
        <f t="shared" si="0"/>
        <v>10468.787031331469</v>
      </c>
      <c r="J22" s="17">
        <f t="shared" si="1"/>
        <v>73824937901.498932</v>
      </c>
      <c r="K22" s="17">
        <f t="shared" si="2"/>
        <v>17496.548775062551</v>
      </c>
      <c r="L22" s="18">
        <f t="shared" si="3"/>
        <v>25.024962423417886</v>
      </c>
      <c r="M22" s="18">
        <f t="shared" si="19"/>
        <v>9.7697589276090255</v>
      </c>
      <c r="N22" s="19">
        <v>142.29999997602638</v>
      </c>
      <c r="O22" s="19">
        <f t="shared" si="20"/>
        <v>231.23749996104289</v>
      </c>
      <c r="P22" s="19">
        <f t="shared" si="4"/>
        <v>5.443445320709035</v>
      </c>
      <c r="Q22" s="19">
        <v>94.799999967241888</v>
      </c>
      <c r="R22" s="19">
        <f t="shared" si="21"/>
        <v>154.04999994676808</v>
      </c>
      <c r="S22" s="19">
        <f t="shared" si="5"/>
        <v>5.0372772246971271</v>
      </c>
      <c r="T22" s="17">
        <v>1828.4375772849908</v>
      </c>
      <c r="U22" s="17">
        <f t="shared" si="6"/>
        <v>7714909513.5962896</v>
      </c>
      <c r="V22" s="18">
        <f t="shared" si="22"/>
        <v>7.5112170982508797</v>
      </c>
      <c r="W22" s="18">
        <f t="shared" si="7"/>
        <v>22.766420594059738</v>
      </c>
      <c r="X22" s="12">
        <v>3.9</v>
      </c>
      <c r="Y22" s="12">
        <f t="shared" si="8"/>
        <v>3.9E-2</v>
      </c>
      <c r="Z22" s="18">
        <f t="shared" si="9"/>
        <v>-3.2441936328524905</v>
      </c>
      <c r="AA22" s="16">
        <v>0</v>
      </c>
      <c r="AB22" s="16">
        <v>0</v>
      </c>
      <c r="AC22" s="19">
        <f t="shared" si="10"/>
        <v>0</v>
      </c>
      <c r="AD22" s="19">
        <f t="shared" si="11"/>
        <v>0</v>
      </c>
      <c r="AE22" s="19">
        <f t="shared" si="12"/>
        <v>0</v>
      </c>
      <c r="AF22" s="19">
        <f t="shared" si="23"/>
        <v>0</v>
      </c>
      <c r="AG22" s="18">
        <f t="shared" si="24"/>
        <v>0</v>
      </c>
      <c r="AH22" s="16">
        <v>0</v>
      </c>
      <c r="AI22" s="16">
        <v>0</v>
      </c>
      <c r="AJ22" s="19">
        <f t="shared" si="13"/>
        <v>0</v>
      </c>
      <c r="AK22" s="19">
        <f t="shared" si="14"/>
        <v>0</v>
      </c>
      <c r="AL22" s="19">
        <f t="shared" si="15"/>
        <v>0</v>
      </c>
      <c r="AM22" s="19">
        <f t="shared" si="16"/>
        <v>0</v>
      </c>
      <c r="AN22" s="18">
        <f t="shared" si="17"/>
        <v>0</v>
      </c>
      <c r="AO22" s="20">
        <v>21</v>
      </c>
      <c r="AP22" s="20">
        <f t="shared" si="25"/>
        <v>3.044522437723423</v>
      </c>
      <c r="AQ22" s="20">
        <v>0</v>
      </c>
      <c r="AR22" s="20">
        <v>0</v>
      </c>
      <c r="AS22" s="20">
        <v>0</v>
      </c>
      <c r="AT22" s="18">
        <v>0</v>
      </c>
      <c r="AU22" s="3">
        <v>0</v>
      </c>
      <c r="AV22" s="3">
        <v>0</v>
      </c>
      <c r="AW22" s="3">
        <f t="shared" si="18"/>
        <v>0</v>
      </c>
      <c r="AX22" s="3" t="s">
        <v>281</v>
      </c>
      <c r="AY22" s="3" t="s">
        <v>44</v>
      </c>
    </row>
    <row r="23" spans="1:51" ht="19.95" customHeight="1" x14ac:dyDescent="0.3">
      <c r="A23" s="3" t="s">
        <v>85</v>
      </c>
      <c r="B23" s="3" t="s">
        <v>86</v>
      </c>
      <c r="C23" s="3">
        <f>Deflators!C30</f>
        <v>832</v>
      </c>
      <c r="D23" s="3">
        <f>Deflators!D30</f>
        <v>1.609375</v>
      </c>
      <c r="E23" s="3">
        <f>Deflators!E30</f>
        <v>944</v>
      </c>
      <c r="F23" s="3">
        <f>Deflators!F30</f>
        <v>1.6536016949152543</v>
      </c>
      <c r="G23" s="16">
        <v>45244000000</v>
      </c>
      <c r="H23" s="16">
        <v>4223800</v>
      </c>
      <c r="I23" s="17">
        <f t="shared" si="0"/>
        <v>10711.681424309863</v>
      </c>
      <c r="J23" s="17">
        <f t="shared" si="1"/>
        <v>74815555084.745773</v>
      </c>
      <c r="K23" s="17">
        <f t="shared" si="2"/>
        <v>17712.854558631036</v>
      </c>
      <c r="L23" s="18">
        <f t="shared" si="3"/>
        <v>25.038291655985478</v>
      </c>
      <c r="M23" s="18">
        <f t="shared" si="19"/>
        <v>9.7820459012230661</v>
      </c>
      <c r="N23" s="19">
        <v>153.79999996424584</v>
      </c>
      <c r="O23" s="19">
        <f t="shared" si="20"/>
        <v>247.52187494245814</v>
      </c>
      <c r="P23" s="19">
        <f t="shared" si="4"/>
        <v>5.5114989617090355</v>
      </c>
      <c r="Q23" s="19">
        <v>99.299999977760436</v>
      </c>
      <c r="R23" s="19">
        <f t="shared" si="21"/>
        <v>159.81093746420819</v>
      </c>
      <c r="S23" s="19">
        <f t="shared" si="5"/>
        <v>5.0739914756971274</v>
      </c>
      <c r="T23" s="17">
        <v>1813.7587397846364</v>
      </c>
      <c r="U23" s="17">
        <f t="shared" si="6"/>
        <v>7660954165.1023474</v>
      </c>
      <c r="V23" s="18">
        <f t="shared" si="22"/>
        <v>7.5031566228137416</v>
      </c>
      <c r="W23" s="18">
        <f t="shared" si="7"/>
        <v>22.759402377576151</v>
      </c>
      <c r="X23" s="12">
        <v>3.6</v>
      </c>
      <c r="Y23" s="12">
        <f t="shared" si="8"/>
        <v>3.6000000000000004E-2</v>
      </c>
      <c r="Z23" s="18">
        <f t="shared" si="9"/>
        <v>-3.3242363405260269</v>
      </c>
      <c r="AA23" s="16">
        <v>0</v>
      </c>
      <c r="AB23" s="16">
        <v>0</v>
      </c>
      <c r="AC23" s="19">
        <f t="shared" si="10"/>
        <v>0</v>
      </c>
      <c r="AD23" s="19">
        <f t="shared" si="11"/>
        <v>0</v>
      </c>
      <c r="AE23" s="19">
        <f t="shared" si="12"/>
        <v>0</v>
      </c>
      <c r="AF23" s="19">
        <f t="shared" si="23"/>
        <v>0</v>
      </c>
      <c r="AG23" s="18">
        <f t="shared" si="24"/>
        <v>0</v>
      </c>
      <c r="AH23" s="16">
        <v>0</v>
      </c>
      <c r="AI23" s="16">
        <v>0</v>
      </c>
      <c r="AJ23" s="19">
        <f t="shared" si="13"/>
        <v>0</v>
      </c>
      <c r="AK23" s="19">
        <f t="shared" si="14"/>
        <v>0</v>
      </c>
      <c r="AL23" s="19">
        <f t="shared" si="15"/>
        <v>0</v>
      </c>
      <c r="AM23" s="19">
        <f t="shared" si="16"/>
        <v>0</v>
      </c>
      <c r="AN23" s="18">
        <f t="shared" si="17"/>
        <v>0</v>
      </c>
      <c r="AO23" s="20">
        <v>22</v>
      </c>
      <c r="AP23" s="20">
        <f t="shared" si="25"/>
        <v>3.0910424533583161</v>
      </c>
      <c r="AQ23" s="20">
        <v>0</v>
      </c>
      <c r="AR23" s="20">
        <v>0</v>
      </c>
      <c r="AS23" s="20">
        <v>0</v>
      </c>
      <c r="AT23" s="18">
        <v>1</v>
      </c>
      <c r="AU23" s="3">
        <v>0</v>
      </c>
      <c r="AV23" s="3">
        <v>0</v>
      </c>
      <c r="AW23" s="3">
        <f t="shared" si="18"/>
        <v>0</v>
      </c>
      <c r="AX23" s="3" t="s">
        <v>281</v>
      </c>
      <c r="AY23" s="3" t="s">
        <v>44</v>
      </c>
    </row>
    <row r="24" spans="1:51" ht="19.95" customHeight="1" x14ac:dyDescent="0.3">
      <c r="A24" s="3" t="s">
        <v>87</v>
      </c>
      <c r="B24" s="3" t="s">
        <v>88</v>
      </c>
      <c r="C24" s="3">
        <f>Deflators!C31</f>
        <v>836</v>
      </c>
      <c r="D24" s="3">
        <f>Deflators!D31</f>
        <v>1.6016746411483254</v>
      </c>
      <c r="E24" s="3">
        <f>Deflators!E31</f>
        <v>962</v>
      </c>
      <c r="F24" s="3">
        <f>Deflators!F31</f>
        <v>1.6226611226611227</v>
      </c>
      <c r="G24" s="16">
        <v>46562000000</v>
      </c>
      <c r="H24" s="16">
        <v>4234300</v>
      </c>
      <c r="I24" s="17">
        <f t="shared" si="0"/>
        <v>10996.386651866896</v>
      </c>
      <c r="J24" s="17">
        <f t="shared" si="1"/>
        <v>75554347193.347198</v>
      </c>
      <c r="K24" s="17">
        <f t="shared" si="2"/>
        <v>17843.409109734122</v>
      </c>
      <c r="L24" s="18">
        <f t="shared" si="3"/>
        <v>25.048118064623225</v>
      </c>
      <c r="M24" s="18">
        <f t="shared" si="19"/>
        <v>9.7893894814729077</v>
      </c>
      <c r="N24" s="19">
        <v>156.599999928882</v>
      </c>
      <c r="O24" s="19">
        <f t="shared" si="20"/>
        <v>250.82224868991986</v>
      </c>
      <c r="P24" s="19">
        <f t="shared" si="4"/>
        <v>5.5247445157090356</v>
      </c>
      <c r="Q24" s="19">
        <v>105.79999996471119</v>
      </c>
      <c r="R24" s="19">
        <f t="shared" si="21"/>
        <v>169.45717697697162</v>
      </c>
      <c r="S24" s="19">
        <f t="shared" si="5"/>
        <v>5.1326002516971272</v>
      </c>
      <c r="T24" s="17">
        <v>1811.3667922646005</v>
      </c>
      <c r="U24" s="17">
        <f t="shared" si="6"/>
        <v>7669870408.4859982</v>
      </c>
      <c r="V24" s="18">
        <f t="shared" si="22"/>
        <v>7.5018369731376042</v>
      </c>
      <c r="W24" s="18">
        <f t="shared" si="7"/>
        <v>22.760565556287922</v>
      </c>
      <c r="X24" s="12">
        <v>3.6</v>
      </c>
      <c r="Y24" s="12">
        <f t="shared" si="8"/>
        <v>3.6000000000000004E-2</v>
      </c>
      <c r="Z24" s="18">
        <f t="shared" si="9"/>
        <v>-3.3242363405260269</v>
      </c>
      <c r="AA24" s="16">
        <v>0</v>
      </c>
      <c r="AB24" s="16">
        <v>0</v>
      </c>
      <c r="AC24" s="19">
        <f t="shared" si="10"/>
        <v>0</v>
      </c>
      <c r="AD24" s="19">
        <f t="shared" si="11"/>
        <v>0</v>
      </c>
      <c r="AE24" s="19">
        <f t="shared" si="12"/>
        <v>0</v>
      </c>
      <c r="AF24" s="19">
        <f t="shared" si="23"/>
        <v>0</v>
      </c>
      <c r="AG24" s="18">
        <f t="shared" si="24"/>
        <v>0</v>
      </c>
      <c r="AH24" s="16">
        <v>0</v>
      </c>
      <c r="AI24" s="16">
        <v>0</v>
      </c>
      <c r="AJ24" s="19">
        <f t="shared" si="13"/>
        <v>0</v>
      </c>
      <c r="AK24" s="19">
        <f t="shared" si="14"/>
        <v>0</v>
      </c>
      <c r="AL24" s="19">
        <f t="shared" si="15"/>
        <v>0</v>
      </c>
      <c r="AM24" s="19">
        <f t="shared" si="16"/>
        <v>0</v>
      </c>
      <c r="AN24" s="18">
        <f t="shared" si="17"/>
        <v>0</v>
      </c>
      <c r="AO24" s="20">
        <v>23</v>
      </c>
      <c r="AP24" s="20">
        <f t="shared" si="25"/>
        <v>3.1354942159291497</v>
      </c>
      <c r="AQ24" s="20">
        <v>0</v>
      </c>
      <c r="AR24" s="20">
        <v>0</v>
      </c>
      <c r="AS24" s="20">
        <v>0</v>
      </c>
      <c r="AT24" s="18">
        <v>0</v>
      </c>
      <c r="AU24" s="3">
        <v>1</v>
      </c>
      <c r="AV24" s="3">
        <v>0</v>
      </c>
      <c r="AW24" s="3">
        <f t="shared" si="18"/>
        <v>0</v>
      </c>
      <c r="AX24" s="3" t="s">
        <v>281</v>
      </c>
      <c r="AY24" s="3" t="s">
        <v>44</v>
      </c>
    </row>
    <row r="25" spans="1:51" ht="19.95" customHeight="1" x14ac:dyDescent="0.3">
      <c r="A25" s="3" t="s">
        <v>89</v>
      </c>
      <c r="B25" s="3" t="s">
        <v>90</v>
      </c>
      <c r="C25" s="3">
        <f>Deflators!C32</f>
        <v>846</v>
      </c>
      <c r="D25" s="3">
        <f>Deflators!D32</f>
        <v>1.58274231678487</v>
      </c>
      <c r="E25" s="3">
        <f>Deflators!E32</f>
        <v>970</v>
      </c>
      <c r="F25" s="3">
        <f>Deflators!F32</f>
        <v>1.609278350515464</v>
      </c>
      <c r="G25" s="16">
        <v>47184000000</v>
      </c>
      <c r="H25" s="16">
        <v>4245700</v>
      </c>
      <c r="I25" s="17">
        <f t="shared" si="0"/>
        <v>11113.361754245472</v>
      </c>
      <c r="J25" s="17">
        <f t="shared" si="1"/>
        <v>75932189690.721649</v>
      </c>
      <c r="K25" s="17">
        <f t="shared" si="2"/>
        <v>17884.492472553797</v>
      </c>
      <c r="L25" s="18">
        <f t="shared" si="3"/>
        <v>25.053106538037333</v>
      </c>
      <c r="M25" s="18">
        <f t="shared" si="19"/>
        <v>9.791689274022028</v>
      </c>
      <c r="N25" s="19">
        <v>164.99999995437838</v>
      </c>
      <c r="O25" s="19">
        <f t="shared" si="20"/>
        <v>261.15248219729631</v>
      </c>
      <c r="P25" s="19">
        <f t="shared" si="4"/>
        <v>5.5651044597090351</v>
      </c>
      <c r="Q25" s="19">
        <v>118.50000000438355</v>
      </c>
      <c r="R25" s="19">
        <f t="shared" si="21"/>
        <v>187.55496454594513</v>
      </c>
      <c r="S25" s="19">
        <f t="shared" si="5"/>
        <v>5.2340719466971271</v>
      </c>
      <c r="T25" s="17">
        <v>1831.7925575307254</v>
      </c>
      <c r="U25" s="17">
        <f t="shared" si="6"/>
        <v>7777241661.5082006</v>
      </c>
      <c r="V25" s="18">
        <f t="shared" si="22"/>
        <v>7.513050306033854</v>
      </c>
      <c r="W25" s="18">
        <f t="shared" si="7"/>
        <v>22.774467570049161</v>
      </c>
      <c r="X25" s="12">
        <v>3.4</v>
      </c>
      <c r="Y25" s="12">
        <f t="shared" si="8"/>
        <v>3.4000000000000002E-2</v>
      </c>
      <c r="Z25" s="18">
        <f t="shared" si="9"/>
        <v>-3.3813947543659757</v>
      </c>
      <c r="AA25" s="16">
        <v>0</v>
      </c>
      <c r="AB25" s="16">
        <v>0</v>
      </c>
      <c r="AC25" s="19">
        <f t="shared" si="10"/>
        <v>0</v>
      </c>
      <c r="AD25" s="19">
        <f t="shared" si="11"/>
        <v>0</v>
      </c>
      <c r="AE25" s="19">
        <f t="shared" si="12"/>
        <v>0</v>
      </c>
      <c r="AF25" s="19">
        <f t="shared" si="23"/>
        <v>0</v>
      </c>
      <c r="AG25" s="18">
        <f t="shared" si="24"/>
        <v>0</v>
      </c>
      <c r="AH25" s="16">
        <v>0</v>
      </c>
      <c r="AI25" s="16">
        <v>0</v>
      </c>
      <c r="AJ25" s="19">
        <f t="shared" si="13"/>
        <v>0</v>
      </c>
      <c r="AK25" s="19">
        <f t="shared" si="14"/>
        <v>0</v>
      </c>
      <c r="AL25" s="19">
        <f t="shared" si="15"/>
        <v>0</v>
      </c>
      <c r="AM25" s="19">
        <f t="shared" si="16"/>
        <v>0</v>
      </c>
      <c r="AN25" s="18">
        <f t="shared" si="17"/>
        <v>0</v>
      </c>
      <c r="AO25" s="20">
        <v>24</v>
      </c>
      <c r="AP25" s="20">
        <f t="shared" si="25"/>
        <v>3.1780538303479458</v>
      </c>
      <c r="AQ25" s="20">
        <v>0</v>
      </c>
      <c r="AR25" s="20">
        <v>0</v>
      </c>
      <c r="AS25" s="20">
        <v>0</v>
      </c>
      <c r="AT25" s="18">
        <v>0</v>
      </c>
      <c r="AU25" s="3">
        <v>0</v>
      </c>
      <c r="AV25" s="3">
        <v>1</v>
      </c>
      <c r="AW25" s="3">
        <f t="shared" si="18"/>
        <v>0</v>
      </c>
      <c r="AX25" s="3" t="s">
        <v>281</v>
      </c>
      <c r="AY25" s="3" t="s">
        <v>44</v>
      </c>
    </row>
    <row r="26" spans="1:51" ht="19.95" customHeight="1" x14ac:dyDescent="0.3">
      <c r="A26" s="3" t="s">
        <v>91</v>
      </c>
      <c r="B26" s="3" t="s">
        <v>92</v>
      </c>
      <c r="C26" s="3">
        <f>Deflators!C33</f>
        <v>852</v>
      </c>
      <c r="D26" s="3">
        <f>Deflators!D33</f>
        <v>1.5715962441314555</v>
      </c>
      <c r="E26" s="3">
        <f>Deflators!E33</f>
        <v>983</v>
      </c>
      <c r="F26" s="3">
        <f>Deflators!F33</f>
        <v>1.5879959308240081</v>
      </c>
      <c r="G26" s="16">
        <v>47595000000</v>
      </c>
      <c r="H26" s="16">
        <v>4255600</v>
      </c>
      <c r="I26" s="17">
        <f t="shared" si="0"/>
        <v>11184.086850267882</v>
      </c>
      <c r="J26" s="17">
        <f t="shared" si="1"/>
        <v>75580666327.568665</v>
      </c>
      <c r="K26" s="17">
        <f t="shared" si="2"/>
        <v>17760.284408207695</v>
      </c>
      <c r="L26" s="18">
        <f t="shared" si="3"/>
        <v>25.048466351017947</v>
      </c>
      <c r="M26" s="18">
        <f t="shared" si="19"/>
        <v>9.7847200303935971</v>
      </c>
      <c r="N26" s="19">
        <v>171.59999996453311</v>
      </c>
      <c r="O26" s="19">
        <f t="shared" si="20"/>
        <v>269.68591543721811</v>
      </c>
      <c r="P26" s="19">
        <f t="shared" si="4"/>
        <v>5.5972580057090351</v>
      </c>
      <c r="Q26" s="19">
        <v>125.50000003306066</v>
      </c>
      <c r="R26" s="19">
        <f t="shared" si="21"/>
        <v>197.23532869045567</v>
      </c>
      <c r="S26" s="19">
        <f t="shared" si="5"/>
        <v>5.2843975776971268</v>
      </c>
      <c r="T26" s="17">
        <v>1807.4568482166319</v>
      </c>
      <c r="U26" s="17">
        <f t="shared" si="6"/>
        <v>7691813363.2706985</v>
      </c>
      <c r="V26" s="18">
        <f t="shared" si="22"/>
        <v>7.499676080008868</v>
      </c>
      <c r="W26" s="18">
        <f t="shared" si="7"/>
        <v>22.763422400633218</v>
      </c>
      <c r="X26" s="12">
        <v>3.8</v>
      </c>
      <c r="Y26" s="12">
        <f t="shared" si="8"/>
        <v>3.7999999999999999E-2</v>
      </c>
      <c r="Z26" s="18">
        <f t="shared" si="9"/>
        <v>-3.2701691192557512</v>
      </c>
      <c r="AA26" s="16">
        <v>0</v>
      </c>
      <c r="AB26" s="16">
        <v>0</v>
      </c>
      <c r="AC26" s="19">
        <f t="shared" si="10"/>
        <v>0</v>
      </c>
      <c r="AD26" s="19">
        <f t="shared" si="11"/>
        <v>0</v>
      </c>
      <c r="AE26" s="19">
        <f t="shared" si="12"/>
        <v>0</v>
      </c>
      <c r="AF26" s="19">
        <f>IFERROR(AD25,0)</f>
        <v>0</v>
      </c>
      <c r="AG26" s="18">
        <f t="shared" si="24"/>
        <v>0</v>
      </c>
      <c r="AH26" s="16">
        <v>0</v>
      </c>
      <c r="AI26" s="16">
        <v>0</v>
      </c>
      <c r="AJ26" s="19">
        <f t="shared" si="13"/>
        <v>0</v>
      </c>
      <c r="AK26" s="19">
        <f t="shared" si="14"/>
        <v>0</v>
      </c>
      <c r="AL26" s="19">
        <f t="shared" si="15"/>
        <v>0</v>
      </c>
      <c r="AM26" s="19">
        <f t="shared" si="16"/>
        <v>0</v>
      </c>
      <c r="AN26" s="18">
        <f t="shared" si="17"/>
        <v>0</v>
      </c>
      <c r="AO26" s="20">
        <v>25</v>
      </c>
      <c r="AP26" s="20">
        <f t="shared" si="25"/>
        <v>3.2188758248682006</v>
      </c>
      <c r="AQ26" s="20">
        <v>0</v>
      </c>
      <c r="AR26" s="20">
        <v>0</v>
      </c>
      <c r="AS26" s="20">
        <v>0</v>
      </c>
      <c r="AT26" s="18">
        <v>0</v>
      </c>
      <c r="AU26" s="3">
        <v>0</v>
      </c>
      <c r="AV26" s="3">
        <v>0</v>
      </c>
      <c r="AW26" s="3">
        <f t="shared" si="18"/>
        <v>0</v>
      </c>
      <c r="AX26" s="3" t="s">
        <v>281</v>
      </c>
      <c r="AY26" s="3" t="s">
        <v>44</v>
      </c>
    </row>
    <row r="27" spans="1:51" ht="19.95" customHeight="1" x14ac:dyDescent="0.3">
      <c r="A27" s="3" t="s">
        <v>93</v>
      </c>
      <c r="B27" s="3" t="s">
        <v>94</v>
      </c>
      <c r="C27" s="3">
        <f>Deflators!C34</f>
        <v>865</v>
      </c>
      <c r="D27" s="3">
        <f>Deflators!D34</f>
        <v>1.5479768786127168</v>
      </c>
      <c r="E27" s="3">
        <f>Deflators!E34</f>
        <v>996</v>
      </c>
      <c r="F27" s="3">
        <f>Deflators!F34</f>
        <v>1.5672690763052208</v>
      </c>
      <c r="G27" s="16">
        <v>47561000000</v>
      </c>
      <c r="H27" s="16">
        <v>4259800</v>
      </c>
      <c r="I27" s="17">
        <f t="shared" si="0"/>
        <v>11165.078172684163</v>
      </c>
      <c r="J27" s="17">
        <f t="shared" si="1"/>
        <v>74540884538.152603</v>
      </c>
      <c r="K27" s="17">
        <f t="shared" si="2"/>
        <v>17498.681754578291</v>
      </c>
      <c r="L27" s="18">
        <f t="shared" si="3"/>
        <v>25.034613597551111</v>
      </c>
      <c r="M27" s="18">
        <f t="shared" si="19"/>
        <v>9.7698808287644745</v>
      </c>
      <c r="N27" s="19">
        <v>193.69999991027669</v>
      </c>
      <c r="O27" s="19">
        <f t="shared" si="20"/>
        <v>299.84312124839363</v>
      </c>
      <c r="P27" s="19">
        <f t="shared" si="4"/>
        <v>5.7032594087090356</v>
      </c>
      <c r="Q27" s="19">
        <v>161.80000005071508</v>
      </c>
      <c r="R27" s="19">
        <f t="shared" si="21"/>
        <v>250.46265903804337</v>
      </c>
      <c r="S27" s="19">
        <f t="shared" si="5"/>
        <v>5.5233098436971275</v>
      </c>
      <c r="T27" s="17">
        <v>1750.0072254172978</v>
      </c>
      <c r="U27" s="17">
        <f t="shared" si="6"/>
        <v>7454680778.8326054</v>
      </c>
      <c r="V27" s="18">
        <f t="shared" si="22"/>
        <v>7.4673751957189207</v>
      </c>
      <c r="W27" s="18">
        <f t="shared" si="7"/>
        <v>22.732107964505559</v>
      </c>
      <c r="X27" s="12">
        <v>3.8</v>
      </c>
      <c r="Y27" s="12">
        <f t="shared" si="8"/>
        <v>3.7999999999999999E-2</v>
      </c>
      <c r="Z27" s="18">
        <f t="shared" si="9"/>
        <v>-3.2701691192557512</v>
      </c>
      <c r="AA27" s="16">
        <v>0</v>
      </c>
      <c r="AB27" s="16">
        <v>0</v>
      </c>
      <c r="AC27" s="19">
        <f t="shared" si="10"/>
        <v>0</v>
      </c>
      <c r="AD27" s="19">
        <f t="shared" si="11"/>
        <v>0</v>
      </c>
      <c r="AE27" s="19">
        <f t="shared" si="12"/>
        <v>0</v>
      </c>
      <c r="AF27" s="19">
        <f t="shared" si="23"/>
        <v>0</v>
      </c>
      <c r="AG27" s="18">
        <f t="shared" si="24"/>
        <v>0</v>
      </c>
      <c r="AH27" s="16">
        <v>0</v>
      </c>
      <c r="AI27" s="16">
        <v>0</v>
      </c>
      <c r="AJ27" s="19">
        <f t="shared" si="13"/>
        <v>0</v>
      </c>
      <c r="AK27" s="19">
        <f t="shared" si="14"/>
        <v>0</v>
      </c>
      <c r="AL27" s="19">
        <f t="shared" si="15"/>
        <v>0</v>
      </c>
      <c r="AM27" s="19">
        <f t="shared" si="16"/>
        <v>0</v>
      </c>
      <c r="AN27" s="18">
        <f t="shared" si="17"/>
        <v>0</v>
      </c>
      <c r="AO27" s="20">
        <v>26</v>
      </c>
      <c r="AP27" s="20">
        <f t="shared" si="25"/>
        <v>3.2580965380214821</v>
      </c>
      <c r="AQ27" s="20">
        <v>0</v>
      </c>
      <c r="AR27" s="20">
        <v>0</v>
      </c>
      <c r="AS27" s="20">
        <v>0</v>
      </c>
      <c r="AT27" s="18">
        <v>1</v>
      </c>
      <c r="AU27" s="3">
        <v>0</v>
      </c>
      <c r="AV27" s="3">
        <v>0</v>
      </c>
      <c r="AW27" s="3">
        <f t="shared" si="18"/>
        <v>0</v>
      </c>
      <c r="AX27" s="3" t="s">
        <v>281</v>
      </c>
      <c r="AY27" s="3" t="s">
        <v>44</v>
      </c>
    </row>
    <row r="28" spans="1:51" ht="19.95" customHeight="1" x14ac:dyDescent="0.3">
      <c r="A28" s="3" t="s">
        <v>95</v>
      </c>
      <c r="B28" s="3" t="s">
        <v>96</v>
      </c>
      <c r="C28" s="3">
        <f>Deflators!C35</f>
        <v>878</v>
      </c>
      <c r="D28" s="3">
        <f>Deflators!D35</f>
        <v>1.5250569476082005</v>
      </c>
      <c r="E28" s="3">
        <f>Deflators!E35</f>
        <v>983</v>
      </c>
      <c r="F28" s="3">
        <f>Deflators!F35</f>
        <v>1.5879959308240081</v>
      </c>
      <c r="G28" s="16">
        <v>47007000000</v>
      </c>
      <c r="H28" s="16">
        <v>4269600</v>
      </c>
      <c r="I28" s="17">
        <f t="shared" si="0"/>
        <v>11009.696458684653</v>
      </c>
      <c r="J28" s="17">
        <f t="shared" si="1"/>
        <v>74646924720.244156</v>
      </c>
      <c r="K28" s="17">
        <f t="shared" si="2"/>
        <v>17483.353175998724</v>
      </c>
      <c r="L28" s="18">
        <f t="shared" si="3"/>
        <v>25.036035164105058</v>
      </c>
      <c r="M28" s="18">
        <f t="shared" si="19"/>
        <v>9.7690044601031865</v>
      </c>
      <c r="N28" s="19">
        <v>202.50000002154314</v>
      </c>
      <c r="O28" s="19">
        <f t="shared" si="20"/>
        <v>308.82403192351512</v>
      </c>
      <c r="P28" s="19">
        <f t="shared" si="4"/>
        <v>5.7327716387090355</v>
      </c>
      <c r="Q28" s="19">
        <v>170.19999991520589</v>
      </c>
      <c r="R28" s="19">
        <f t="shared" si="21"/>
        <v>259.56469235359987</v>
      </c>
      <c r="S28" s="19">
        <f t="shared" si="5"/>
        <v>5.5590059676971268</v>
      </c>
      <c r="T28" s="17">
        <v>1738.6275561152736</v>
      </c>
      <c r="U28" s="17">
        <f t="shared" si="6"/>
        <v>7423244213.5897722</v>
      </c>
      <c r="V28" s="18">
        <f t="shared" si="22"/>
        <v>7.4608513201197706</v>
      </c>
      <c r="W28" s="18">
        <f t="shared" si="7"/>
        <v>22.727882024121644</v>
      </c>
      <c r="X28" s="12">
        <v>4.0999999999999996</v>
      </c>
      <c r="Y28" s="12">
        <f t="shared" si="8"/>
        <v>4.0999999999999995E-2</v>
      </c>
      <c r="Z28" s="18">
        <f t="shared" si="9"/>
        <v>-3.1941832122778293</v>
      </c>
      <c r="AA28" s="16">
        <v>0</v>
      </c>
      <c r="AB28" s="16">
        <v>0</v>
      </c>
      <c r="AC28" s="19">
        <f t="shared" si="10"/>
        <v>0</v>
      </c>
      <c r="AD28" s="19">
        <f t="shared" si="11"/>
        <v>0</v>
      </c>
      <c r="AE28" s="19">
        <f t="shared" si="12"/>
        <v>0</v>
      </c>
      <c r="AF28" s="19">
        <f t="shared" si="23"/>
        <v>0</v>
      </c>
      <c r="AG28" s="18">
        <f t="shared" si="24"/>
        <v>0</v>
      </c>
      <c r="AH28" s="16">
        <v>0</v>
      </c>
      <c r="AI28" s="16">
        <v>0</v>
      </c>
      <c r="AJ28" s="19">
        <f t="shared" si="13"/>
        <v>0</v>
      </c>
      <c r="AK28" s="19">
        <f t="shared" si="14"/>
        <v>0</v>
      </c>
      <c r="AL28" s="19">
        <f t="shared" si="15"/>
        <v>0</v>
      </c>
      <c r="AM28" s="19">
        <f t="shared" si="16"/>
        <v>0</v>
      </c>
      <c r="AN28" s="18">
        <f t="shared" si="17"/>
        <v>0</v>
      </c>
      <c r="AO28" s="20">
        <v>27</v>
      </c>
      <c r="AP28" s="20">
        <f t="shared" si="25"/>
        <v>3.2958368660043291</v>
      </c>
      <c r="AQ28" s="20">
        <v>0</v>
      </c>
      <c r="AR28" s="20">
        <v>0</v>
      </c>
      <c r="AS28" s="20">
        <v>0</v>
      </c>
      <c r="AT28" s="18">
        <v>0</v>
      </c>
      <c r="AU28" s="3">
        <v>1</v>
      </c>
      <c r="AV28" s="3">
        <v>0</v>
      </c>
      <c r="AW28" s="3">
        <f t="shared" si="18"/>
        <v>0</v>
      </c>
      <c r="AX28" s="3" t="s">
        <v>281</v>
      </c>
      <c r="AY28" s="3" t="s">
        <v>44</v>
      </c>
    </row>
    <row r="29" spans="1:51" ht="19.95" customHeight="1" x14ac:dyDescent="0.3">
      <c r="A29" s="3" t="s">
        <v>97</v>
      </c>
      <c r="B29" s="3" t="s">
        <v>98</v>
      </c>
      <c r="C29" s="3">
        <f>Deflators!C36</f>
        <v>874</v>
      </c>
      <c r="D29" s="3">
        <f>Deflators!D36</f>
        <v>1.5320366132723111</v>
      </c>
      <c r="E29" s="3">
        <f>Deflators!E36</f>
        <v>996</v>
      </c>
      <c r="F29" s="3">
        <f>Deflators!F36</f>
        <v>1.5672690763052208</v>
      </c>
      <c r="G29" s="16">
        <v>47621000000</v>
      </c>
      <c r="H29" s="16">
        <v>4280300</v>
      </c>
      <c r="I29" s="17">
        <f t="shared" si="0"/>
        <v>11125.622035838609</v>
      </c>
      <c r="J29" s="17">
        <f t="shared" si="1"/>
        <v>74634920682.730927</v>
      </c>
      <c r="K29" s="17">
        <f t="shared" si="2"/>
        <v>17436.84337142979</v>
      </c>
      <c r="L29" s="18">
        <f t="shared" si="3"/>
        <v>25.035874340295482</v>
      </c>
      <c r="M29" s="18">
        <f t="shared" si="19"/>
        <v>9.7663406817359899</v>
      </c>
      <c r="N29" s="19">
        <v>156.89999998970924</v>
      </c>
      <c r="O29" s="19">
        <f t="shared" si="20"/>
        <v>240.37654460665979</v>
      </c>
      <c r="P29" s="19">
        <f t="shared" si="4"/>
        <v>5.4822066297090357</v>
      </c>
      <c r="Q29" s="19">
        <v>124.40000004433757</v>
      </c>
      <c r="R29" s="19">
        <f t="shared" si="21"/>
        <v>190.58535475900229</v>
      </c>
      <c r="S29" s="19">
        <f t="shared" si="5"/>
        <v>5.2501001506971274</v>
      </c>
      <c r="T29" s="17">
        <v>1778.5416150158414</v>
      </c>
      <c r="U29" s="17">
        <f t="shared" si="6"/>
        <v>7612691674.752306</v>
      </c>
      <c r="V29" s="18">
        <f t="shared" si="22"/>
        <v>7.4835489900553505</v>
      </c>
      <c r="W29" s="18">
        <f t="shared" si="7"/>
        <v>22.753082648614843</v>
      </c>
      <c r="X29" s="12">
        <v>4.4000000000000004</v>
      </c>
      <c r="Y29" s="12">
        <f t="shared" si="8"/>
        <v>4.4000000000000004E-2</v>
      </c>
      <c r="Z29" s="18">
        <f t="shared" si="9"/>
        <v>-3.1235656450638758</v>
      </c>
      <c r="AA29" s="16">
        <v>0</v>
      </c>
      <c r="AB29" s="16">
        <v>0</v>
      </c>
      <c r="AC29" s="19">
        <f t="shared" si="10"/>
        <v>0</v>
      </c>
      <c r="AD29" s="19">
        <f t="shared" si="11"/>
        <v>0</v>
      </c>
      <c r="AE29" s="19">
        <f t="shared" si="12"/>
        <v>0</v>
      </c>
      <c r="AF29" s="19">
        <f t="shared" si="23"/>
        <v>0</v>
      </c>
      <c r="AG29" s="18">
        <f t="shared" si="24"/>
        <v>0</v>
      </c>
      <c r="AH29" s="16">
        <v>0</v>
      </c>
      <c r="AI29" s="16">
        <v>0</v>
      </c>
      <c r="AJ29" s="19">
        <f t="shared" si="13"/>
        <v>0</v>
      </c>
      <c r="AK29" s="19">
        <f t="shared" si="14"/>
        <v>0</v>
      </c>
      <c r="AL29" s="19">
        <f t="shared" si="15"/>
        <v>0</v>
      </c>
      <c r="AM29" s="19">
        <f t="shared" si="16"/>
        <v>0</v>
      </c>
      <c r="AN29" s="18">
        <f t="shared" si="17"/>
        <v>0</v>
      </c>
      <c r="AO29" s="20">
        <v>28</v>
      </c>
      <c r="AP29" s="20">
        <f t="shared" si="25"/>
        <v>3.3322045101752038</v>
      </c>
      <c r="AQ29" s="20">
        <v>0</v>
      </c>
      <c r="AR29" s="20">
        <v>0</v>
      </c>
      <c r="AS29" s="20">
        <v>0</v>
      </c>
      <c r="AT29" s="18">
        <v>0</v>
      </c>
      <c r="AU29" s="3">
        <v>0</v>
      </c>
      <c r="AV29" s="3">
        <v>1</v>
      </c>
      <c r="AW29" s="3">
        <f t="shared" si="18"/>
        <v>0</v>
      </c>
      <c r="AX29" s="3" t="s">
        <v>281</v>
      </c>
      <c r="AY29" s="3" t="s">
        <v>44</v>
      </c>
    </row>
    <row r="30" spans="1:51" ht="19.95" customHeight="1" x14ac:dyDescent="0.3">
      <c r="A30" s="3" t="s">
        <v>99</v>
      </c>
      <c r="B30" s="3" t="s">
        <v>100</v>
      </c>
      <c r="C30" s="3">
        <f>Deflators!C37</f>
        <v>877</v>
      </c>
      <c r="D30" s="3">
        <f>Deflators!D37</f>
        <v>1.5267958950969214</v>
      </c>
      <c r="E30" s="3">
        <f>Deflators!E37</f>
        <v>1003</v>
      </c>
      <c r="F30" s="3">
        <f>Deflators!F37</f>
        <v>1.5563310069790628</v>
      </c>
      <c r="G30" s="16">
        <v>47589000000</v>
      </c>
      <c r="H30" s="16">
        <v>4293500</v>
      </c>
      <c r="I30" s="17">
        <f t="shared" si="0"/>
        <v>11083.964131827181</v>
      </c>
      <c r="J30" s="17">
        <f t="shared" si="1"/>
        <v>74064236291.126617</v>
      </c>
      <c r="K30" s="17">
        <f t="shared" si="2"/>
        <v>17250.317058606408</v>
      </c>
      <c r="L30" s="18">
        <f t="shared" si="3"/>
        <v>25.028198611594334</v>
      </c>
      <c r="M30" s="18">
        <f t="shared" si="19"/>
        <v>9.7555858024996596</v>
      </c>
      <c r="N30" s="19">
        <v>155.49999996435272</v>
      </c>
      <c r="O30" s="19">
        <f t="shared" si="20"/>
        <v>237.41676163314517</v>
      </c>
      <c r="P30" s="19">
        <f t="shared" si="4"/>
        <v>5.4698170847090353</v>
      </c>
      <c r="Q30" s="19">
        <v>100.49999998784025</v>
      </c>
      <c r="R30" s="19">
        <f t="shared" si="21"/>
        <v>153.44298743867515</v>
      </c>
      <c r="S30" s="19">
        <f t="shared" si="5"/>
        <v>5.0333290806971274</v>
      </c>
      <c r="T30" s="17">
        <v>1757.8497870661986</v>
      </c>
      <c r="U30" s="17">
        <f t="shared" si="6"/>
        <v>7547328060.7687235</v>
      </c>
      <c r="V30" s="18">
        <f t="shared" si="22"/>
        <v>7.4718466292396242</v>
      </c>
      <c r="W30" s="18">
        <f t="shared" si="7"/>
        <v>22.7444594383343</v>
      </c>
      <c r="X30" s="12">
        <v>5</v>
      </c>
      <c r="Y30" s="12">
        <f t="shared" si="8"/>
        <v>0.05</v>
      </c>
      <c r="Z30" s="18">
        <f t="shared" si="9"/>
        <v>-2.9957322735539909</v>
      </c>
      <c r="AA30" s="16">
        <v>0</v>
      </c>
      <c r="AB30" s="16">
        <v>0</v>
      </c>
      <c r="AC30" s="19">
        <f t="shared" si="10"/>
        <v>0</v>
      </c>
      <c r="AD30" s="19">
        <f t="shared" si="11"/>
        <v>0</v>
      </c>
      <c r="AE30" s="19">
        <f t="shared" si="12"/>
        <v>0</v>
      </c>
      <c r="AF30" s="19">
        <f t="shared" si="23"/>
        <v>0</v>
      </c>
      <c r="AG30" s="18">
        <f t="shared" si="24"/>
        <v>0</v>
      </c>
      <c r="AH30" s="16">
        <v>0</v>
      </c>
      <c r="AI30" s="16">
        <v>0</v>
      </c>
      <c r="AJ30" s="19">
        <f t="shared" si="13"/>
        <v>0</v>
      </c>
      <c r="AK30" s="19">
        <f t="shared" si="14"/>
        <v>0</v>
      </c>
      <c r="AL30" s="19">
        <f t="shared" si="15"/>
        <v>0</v>
      </c>
      <c r="AM30" s="19">
        <f t="shared" si="16"/>
        <v>0</v>
      </c>
      <c r="AN30" s="18">
        <f t="shared" si="17"/>
        <v>0</v>
      </c>
      <c r="AO30" s="20">
        <v>29</v>
      </c>
      <c r="AP30" s="20">
        <f t="shared" si="25"/>
        <v>3.3672958299864741</v>
      </c>
      <c r="AQ30" s="20">
        <v>0</v>
      </c>
      <c r="AR30" s="20">
        <v>0</v>
      </c>
      <c r="AS30" s="20">
        <v>0</v>
      </c>
      <c r="AT30" s="18">
        <v>0</v>
      </c>
      <c r="AU30" s="3">
        <v>0</v>
      </c>
      <c r="AV30" s="3">
        <v>0</v>
      </c>
      <c r="AW30" s="3">
        <f t="shared" si="18"/>
        <v>0</v>
      </c>
      <c r="AX30" s="3" t="s">
        <v>281</v>
      </c>
      <c r="AY30" s="3" t="s">
        <v>44</v>
      </c>
    </row>
    <row r="31" spans="1:51" ht="19.95" customHeight="1" x14ac:dyDescent="0.3">
      <c r="A31" s="3" t="s">
        <v>101</v>
      </c>
      <c r="B31" s="3" t="s">
        <v>102</v>
      </c>
      <c r="C31" s="3">
        <f>Deflators!C38</f>
        <v>882</v>
      </c>
      <c r="D31" s="3">
        <f>Deflators!D38</f>
        <v>1.5181405895691611</v>
      </c>
      <c r="E31" s="3">
        <f>Deflators!E38</f>
        <v>991</v>
      </c>
      <c r="F31" s="3">
        <f>Deflators!F38</f>
        <v>1.5751765893037335</v>
      </c>
      <c r="G31" s="16">
        <v>47604000000</v>
      </c>
      <c r="H31" s="16">
        <v>4302600</v>
      </c>
      <c r="I31" s="17">
        <f t="shared" si="0"/>
        <v>11064.007809231627</v>
      </c>
      <c r="J31" s="17">
        <f t="shared" si="1"/>
        <v>74984706357.214935</v>
      </c>
      <c r="K31" s="17">
        <f t="shared" si="2"/>
        <v>17427.766084975348</v>
      </c>
      <c r="L31" s="18">
        <f t="shared" si="3"/>
        <v>25.040550014452048</v>
      </c>
      <c r="M31" s="18">
        <f t="shared" si="19"/>
        <v>9.7658199653533266</v>
      </c>
      <c r="N31" s="19">
        <v>160.39999993459526</v>
      </c>
      <c r="O31" s="19">
        <f t="shared" si="20"/>
        <v>243.50975046759984</v>
      </c>
      <c r="P31" s="19">
        <f t="shared" si="4"/>
        <v>5.4951569847090349</v>
      </c>
      <c r="Q31" s="19">
        <v>99.799999969593713</v>
      </c>
      <c r="R31" s="19">
        <f t="shared" si="21"/>
        <v>151.51043079284125</v>
      </c>
      <c r="S31" s="19">
        <f t="shared" si="5"/>
        <v>5.0206544726971272</v>
      </c>
      <c r="T31" s="17">
        <v>1739.7078964024774</v>
      </c>
      <c r="U31" s="17">
        <f t="shared" si="6"/>
        <v>7485267195.0612993</v>
      </c>
      <c r="V31" s="18">
        <f t="shared" si="22"/>
        <v>7.4614725024851234</v>
      </c>
      <c r="W31" s="18">
        <f t="shared" si="7"/>
        <v>22.736202551583844</v>
      </c>
      <c r="X31" s="12">
        <v>5.8</v>
      </c>
      <c r="Y31" s="12">
        <f t="shared" si="8"/>
        <v>5.7999999999999996E-2</v>
      </c>
      <c r="Z31" s="18">
        <f t="shared" si="9"/>
        <v>-2.8473122684357177</v>
      </c>
      <c r="AA31" s="16">
        <v>0</v>
      </c>
      <c r="AB31" s="16">
        <v>0</v>
      </c>
      <c r="AC31" s="19">
        <f t="shared" si="10"/>
        <v>0</v>
      </c>
      <c r="AD31" s="19">
        <f t="shared" si="11"/>
        <v>0</v>
      </c>
      <c r="AE31" s="19">
        <f t="shared" si="12"/>
        <v>0</v>
      </c>
      <c r="AF31" s="19">
        <f t="shared" si="23"/>
        <v>0</v>
      </c>
      <c r="AG31" s="18">
        <f t="shared" si="24"/>
        <v>0</v>
      </c>
      <c r="AH31" s="16">
        <v>0</v>
      </c>
      <c r="AI31" s="16">
        <v>0</v>
      </c>
      <c r="AJ31" s="19">
        <f t="shared" si="13"/>
        <v>0</v>
      </c>
      <c r="AK31" s="19">
        <f t="shared" si="14"/>
        <v>0</v>
      </c>
      <c r="AL31" s="19">
        <f t="shared" si="15"/>
        <v>0</v>
      </c>
      <c r="AM31" s="19">
        <f t="shared" si="16"/>
        <v>316.45730769677192</v>
      </c>
      <c r="AN31" s="18">
        <f t="shared" si="17"/>
        <v>5.7571883436921496</v>
      </c>
      <c r="AO31" s="20">
        <v>30</v>
      </c>
      <c r="AP31" s="20">
        <f t="shared" si="25"/>
        <v>3.4011973816621555</v>
      </c>
      <c r="AQ31" s="20">
        <v>0</v>
      </c>
      <c r="AR31" s="20">
        <v>0</v>
      </c>
      <c r="AS31" s="20">
        <v>0</v>
      </c>
      <c r="AT31" s="18">
        <v>1</v>
      </c>
      <c r="AU31" s="3">
        <v>0</v>
      </c>
      <c r="AV31" s="3">
        <v>0</v>
      </c>
      <c r="AW31" s="3">
        <f t="shared" si="18"/>
        <v>0</v>
      </c>
      <c r="AX31" s="3" t="s">
        <v>281</v>
      </c>
      <c r="AY31" s="3" t="s">
        <v>44</v>
      </c>
    </row>
    <row r="32" spans="1:51" ht="19.95" customHeight="1" x14ac:dyDescent="0.3">
      <c r="A32" s="3" t="s">
        <v>103</v>
      </c>
      <c r="B32" s="3" t="s">
        <v>104</v>
      </c>
      <c r="C32" s="3">
        <f>Deflators!C39</f>
        <v>893</v>
      </c>
      <c r="D32" s="3">
        <f>Deflators!D39</f>
        <v>1.4994400895856663</v>
      </c>
      <c r="E32" s="3">
        <f>Deflators!E39</f>
        <v>1001</v>
      </c>
      <c r="F32" s="3">
        <f>Deflators!F39</f>
        <v>1.5594405594405594</v>
      </c>
      <c r="G32" s="16">
        <v>48369000000</v>
      </c>
      <c r="H32" s="16">
        <v>4317300</v>
      </c>
      <c r="I32" s="17">
        <f t="shared" si="0"/>
        <v>11203.529984017789</v>
      </c>
      <c r="J32" s="17">
        <f t="shared" si="1"/>
        <v>75428580419.580414</v>
      </c>
      <c r="K32" s="17">
        <f t="shared" si="2"/>
        <v>17471.239065985781</v>
      </c>
      <c r="L32" s="18">
        <f t="shared" si="3"/>
        <v>25.046452090796336</v>
      </c>
      <c r="M32" s="18">
        <f t="shared" si="19"/>
        <v>9.768311325969961</v>
      </c>
      <c r="N32" s="19">
        <v>163.49999992757833</v>
      </c>
      <c r="O32" s="19">
        <f t="shared" si="20"/>
        <v>245.1584545386645</v>
      </c>
      <c r="P32" s="19">
        <f t="shared" si="4"/>
        <v>5.5019047547090354</v>
      </c>
      <c r="Q32" s="19">
        <v>104.10000002722535</v>
      </c>
      <c r="R32" s="19">
        <f t="shared" si="21"/>
        <v>156.09171336669064</v>
      </c>
      <c r="S32" s="19">
        <f t="shared" si="5"/>
        <v>5.0504437406971272</v>
      </c>
      <c r="T32" s="17">
        <v>1742.919011669165</v>
      </c>
      <c r="U32" s="17">
        <f t="shared" si="6"/>
        <v>7524704249.0792856</v>
      </c>
      <c r="V32" s="18">
        <f t="shared" si="22"/>
        <v>7.4633165795346788</v>
      </c>
      <c r="W32" s="18">
        <f t="shared" si="7"/>
        <v>22.741457344361052</v>
      </c>
      <c r="X32" s="12">
        <v>6.2</v>
      </c>
      <c r="Y32" s="12">
        <f t="shared" si="8"/>
        <v>6.2E-2</v>
      </c>
      <c r="Z32" s="18">
        <f t="shared" si="9"/>
        <v>-2.7806208939370456</v>
      </c>
      <c r="AA32" s="16">
        <v>79968183.290000007</v>
      </c>
      <c r="AB32" s="16">
        <v>2072307936</v>
      </c>
      <c r="AC32" s="19">
        <f t="shared" si="10"/>
        <v>38.58894805197523</v>
      </c>
      <c r="AD32" s="19">
        <f t="shared" si="11"/>
        <v>57.861815724070361</v>
      </c>
      <c r="AE32" s="19">
        <f t="shared" si="12"/>
        <v>4.0580576803910766</v>
      </c>
      <c r="AF32" s="19">
        <f t="shared" si="23"/>
        <v>0</v>
      </c>
      <c r="AG32" s="18">
        <f t="shared" si="24"/>
        <v>0</v>
      </c>
      <c r="AH32" s="16">
        <v>164451071.09999999</v>
      </c>
      <c r="AI32" s="16">
        <v>779203143</v>
      </c>
      <c r="AJ32" s="19">
        <f t="shared" si="13"/>
        <v>211.05031797850435</v>
      </c>
      <c r="AK32" s="19">
        <f t="shared" si="14"/>
        <v>316.45730769677192</v>
      </c>
      <c r="AL32" s="19">
        <f t="shared" si="15"/>
        <v>5.7571883436921496</v>
      </c>
      <c r="AM32" s="19">
        <f t="shared" si="16"/>
        <v>324.42653603820798</v>
      </c>
      <c r="AN32" s="18">
        <f t="shared" si="17"/>
        <v>5.7820591192601798</v>
      </c>
      <c r="AO32" s="20">
        <v>31</v>
      </c>
      <c r="AP32" s="20">
        <f t="shared" si="25"/>
        <v>3.4339872044851463</v>
      </c>
      <c r="AQ32" s="20">
        <v>0</v>
      </c>
      <c r="AR32" s="20">
        <v>0</v>
      </c>
      <c r="AS32" s="20">
        <v>0</v>
      </c>
      <c r="AT32" s="18">
        <v>0</v>
      </c>
      <c r="AU32" s="3">
        <v>1</v>
      </c>
      <c r="AV32" s="3">
        <v>0</v>
      </c>
      <c r="AW32" s="3">
        <f t="shared" si="18"/>
        <v>0</v>
      </c>
      <c r="AX32" s="3" t="s">
        <v>281</v>
      </c>
      <c r="AY32" s="3" t="s">
        <v>44</v>
      </c>
    </row>
    <row r="33" spans="1:51" ht="19.95" customHeight="1" x14ac:dyDescent="0.3">
      <c r="A33" s="3" t="s">
        <v>105</v>
      </c>
      <c r="B33" s="3" t="s">
        <v>106</v>
      </c>
      <c r="C33" s="3">
        <f>Deflators!C40</f>
        <v>892</v>
      </c>
      <c r="D33" s="3">
        <f>Deflators!D40</f>
        <v>1.5011210762331839</v>
      </c>
      <c r="E33" s="3">
        <f>Deflators!E40</f>
        <v>998</v>
      </c>
      <c r="F33" s="3">
        <f>Deflators!F40</f>
        <v>1.5641282565130261</v>
      </c>
      <c r="G33" s="16">
        <v>48783000000</v>
      </c>
      <c r="H33" s="16">
        <v>4332100</v>
      </c>
      <c r="I33" s="17">
        <f t="shared" si="0"/>
        <v>11260.820387341013</v>
      </c>
      <c r="J33" s="17">
        <f t="shared" si="1"/>
        <v>76302868737.47496</v>
      </c>
      <c r="K33" s="17">
        <f t="shared" si="2"/>
        <v>17613.367359358039</v>
      </c>
      <c r="L33" s="18">
        <f t="shared" si="3"/>
        <v>25.057976372662075</v>
      </c>
      <c r="M33" s="18">
        <f t="shared" si="19"/>
        <v>9.7764134017996334</v>
      </c>
      <c r="N33" s="19">
        <v>161.89999998612245</v>
      </c>
      <c r="O33" s="19">
        <f t="shared" si="20"/>
        <v>243.03150222132061</v>
      </c>
      <c r="P33" s="19">
        <f t="shared" si="4"/>
        <v>5.4931910737090357</v>
      </c>
      <c r="Q33" s="19">
        <v>103.49999998763589</v>
      </c>
      <c r="R33" s="19">
        <f t="shared" si="21"/>
        <v>155.36603137157451</v>
      </c>
      <c r="S33" s="19">
        <f t="shared" si="5"/>
        <v>5.0457838256971268</v>
      </c>
      <c r="T33" s="17">
        <v>1775.345550564874</v>
      </c>
      <c r="U33" s="17">
        <f t="shared" si="6"/>
        <v>7690974459.6020908</v>
      </c>
      <c r="V33" s="18">
        <f t="shared" si="22"/>
        <v>7.4817503593371066</v>
      </c>
      <c r="W33" s="18">
        <f t="shared" si="7"/>
        <v>22.763313330199548</v>
      </c>
      <c r="X33" s="12">
        <v>6.6</v>
      </c>
      <c r="Y33" s="12">
        <f t="shared" si="8"/>
        <v>6.6000000000000003E-2</v>
      </c>
      <c r="Z33" s="18">
        <f t="shared" si="9"/>
        <v>-2.7181005369557116</v>
      </c>
      <c r="AA33" s="16">
        <v>83019179.579999998</v>
      </c>
      <c r="AB33" s="16">
        <v>1969025812</v>
      </c>
      <c r="AC33" s="19">
        <f t="shared" si="10"/>
        <v>42.162565403688063</v>
      </c>
      <c r="AD33" s="19">
        <f t="shared" si="11"/>
        <v>63.29111555553623</v>
      </c>
      <c r="AE33" s="19">
        <f t="shared" si="12"/>
        <v>4.147744964726618</v>
      </c>
      <c r="AF33" s="19">
        <f>IFERROR(AD32,0)</f>
        <v>57.861815724070361</v>
      </c>
      <c r="AG33" s="18">
        <f t="shared" si="24"/>
        <v>4.0580576803910766</v>
      </c>
      <c r="AH33" s="16">
        <v>178911613.80000001</v>
      </c>
      <c r="AI33" s="16">
        <v>827823758</v>
      </c>
      <c r="AJ33" s="19">
        <f t="shared" si="13"/>
        <v>216.12283057959786</v>
      </c>
      <c r="AK33" s="19">
        <f t="shared" si="14"/>
        <v>324.42653603820798</v>
      </c>
      <c r="AL33" s="19">
        <f t="shared" si="15"/>
        <v>5.7820591192601798</v>
      </c>
      <c r="AM33" s="19">
        <f t="shared" si="16"/>
        <v>339.53712163743586</v>
      </c>
      <c r="AN33" s="18">
        <f t="shared" si="17"/>
        <v>5.8275832831050991</v>
      </c>
      <c r="AO33" s="20">
        <v>32</v>
      </c>
      <c r="AP33" s="20">
        <f t="shared" si="25"/>
        <v>3.4657359027997265</v>
      </c>
      <c r="AQ33" s="20">
        <v>0</v>
      </c>
      <c r="AR33" s="20">
        <v>0</v>
      </c>
      <c r="AS33" s="20">
        <v>0</v>
      </c>
      <c r="AT33" s="18">
        <v>0</v>
      </c>
      <c r="AU33" s="3">
        <v>0</v>
      </c>
      <c r="AV33" s="3">
        <v>1</v>
      </c>
      <c r="AW33" s="3">
        <f t="shared" si="18"/>
        <v>0</v>
      </c>
      <c r="AX33" s="3" t="s">
        <v>281</v>
      </c>
      <c r="AY33" s="3" t="s">
        <v>44</v>
      </c>
    </row>
    <row r="34" spans="1:51" ht="19.95" customHeight="1" x14ac:dyDescent="0.3">
      <c r="A34" s="3" t="s">
        <v>107</v>
      </c>
      <c r="B34" s="3" t="s">
        <v>108</v>
      </c>
      <c r="C34" s="3">
        <f>Deflators!C41</f>
        <v>895</v>
      </c>
      <c r="D34" s="3">
        <f>Deflators!D41</f>
        <v>1.4960893854748603</v>
      </c>
      <c r="E34" s="3">
        <f>Deflators!E41</f>
        <v>1010</v>
      </c>
      <c r="F34" s="3">
        <f>Deflators!F41</f>
        <v>1.5455445544554456</v>
      </c>
      <c r="G34" s="16">
        <v>49947000000</v>
      </c>
      <c r="H34" s="16">
        <v>4345700</v>
      </c>
      <c r="I34" s="17">
        <f t="shared" ref="I34:I65" si="26">IFERROR(G34/H34,0)</f>
        <v>11493.430287410543</v>
      </c>
      <c r="J34" s="17">
        <f t="shared" ref="J34:J65" si="27">G34*F34</f>
        <v>77195313861.386139</v>
      </c>
      <c r="K34" s="17">
        <f t="shared" ref="K34:K65" si="28">IFERROR(J34/H34,0)</f>
        <v>17763.608592720651</v>
      </c>
      <c r="L34" s="18">
        <f t="shared" ref="L34:L65" si="29">IFERROR(LN(J34),0)</f>
        <v>25.069604590857363</v>
      </c>
      <c r="M34" s="18">
        <f t="shared" ref="M34:M65" si="30">IFERROR(LN(K34),0)</f>
        <v>9.7849071824336384</v>
      </c>
      <c r="N34" s="19">
        <v>173.20000002847124</v>
      </c>
      <c r="O34" s="19">
        <f t="shared" ref="O34:O65" si="31">N34*D34</f>
        <v>259.1226816068413</v>
      </c>
      <c r="P34" s="19">
        <f t="shared" ref="P34:P65" si="32">IFERROR(LN(O34),0)</f>
        <v>5.5573016237090354</v>
      </c>
      <c r="Q34" s="19">
        <v>110.60000002129885</v>
      </c>
      <c r="R34" s="19">
        <f t="shared" ref="R34:R65" si="33">Q34*D34</f>
        <v>165.46748606538452</v>
      </c>
      <c r="S34" s="19">
        <f t="shared" ref="S34:S65" si="34">IFERROR(LN(R34),0)</f>
        <v>5.1087747166971269</v>
      </c>
      <c r="T34" s="17">
        <v>1743.7407699169066</v>
      </c>
      <c r="U34" s="17">
        <f t="shared" ref="U34:U65" si="35">T34*H34</f>
        <v>7577774263.8279009</v>
      </c>
      <c r="V34" s="18">
        <f t="shared" ref="V34:V65" si="36">IFERROR(LN(T34),0)</f>
        <v>7.4637879523180501</v>
      </c>
      <c r="W34" s="18">
        <f t="shared" ref="W34:W65" si="37">IFERROR(LN(U34),0)</f>
        <v>22.748485360741775</v>
      </c>
      <c r="X34" s="12">
        <v>5.9</v>
      </c>
      <c r="Y34" s="12">
        <f t="shared" ref="Y34:Y65" si="38">X34/100</f>
        <v>5.9000000000000004E-2</v>
      </c>
      <c r="Z34" s="18">
        <f t="shared" ref="Z34:Z65" si="39">IFERROR(LN(Y34),0)</f>
        <v>-2.8302178350764176</v>
      </c>
      <c r="AA34" s="16">
        <v>80685639.340000004</v>
      </c>
      <c r="AB34" s="16">
        <v>1901190626</v>
      </c>
      <c r="AC34" s="19">
        <f t="shared" ref="AC34:AC65" si="40">IFERROR(AA34/AB34*1000,0)</f>
        <v>42.439531437075374</v>
      </c>
      <c r="AD34" s="19">
        <f t="shared" ref="AD34:AD65" si="41">AC34*D34</f>
        <v>63.493332507535108</v>
      </c>
      <c r="AE34" s="19">
        <f t="shared" ref="AE34:AE65" si="42">IFERROR(LN(AD34),0)</f>
        <v>4.1509349005044358</v>
      </c>
      <c r="AF34" s="19">
        <f t="shared" si="23"/>
        <v>63.29111555553623</v>
      </c>
      <c r="AG34" s="18">
        <f t="shared" ref="AG34:AG65" si="43">IFERROR(LN(AF34),0)</f>
        <v>4.147744964726618</v>
      </c>
      <c r="AH34" s="16">
        <v>187389933.09999999</v>
      </c>
      <c r="AI34" s="16">
        <v>825689069</v>
      </c>
      <c r="AJ34" s="19">
        <f t="shared" ref="AJ34:AJ65" si="44">IFERROR(AH34/AI34*1000,0)</f>
        <v>226.94975643428313</v>
      </c>
      <c r="AK34" s="19">
        <f t="shared" ref="AK34:AK65" si="45">AJ34*D34</f>
        <v>339.53712163743586</v>
      </c>
      <c r="AL34" s="19">
        <f t="shared" ref="AL34:AL65" si="46">IFERROR(LN(AK34),0)</f>
        <v>5.8275832831050991</v>
      </c>
      <c r="AM34" s="19">
        <f t="shared" ref="AM34:AM65" si="47">IFERROR(AK35,0)</f>
        <v>336.92746803128222</v>
      </c>
      <c r="AN34" s="18">
        <f t="shared" ref="AN34:AN65" si="48">IFERROR(LN(AM34),0)</f>
        <v>5.8198676787935861</v>
      </c>
      <c r="AO34" s="20">
        <v>33</v>
      </c>
      <c r="AP34" s="20">
        <f t="shared" ref="AP34:AP65" si="49">LN(AO34)</f>
        <v>3.4965075614664802</v>
      </c>
      <c r="AQ34" s="20">
        <v>0</v>
      </c>
      <c r="AR34" s="20">
        <v>0</v>
      </c>
      <c r="AS34" s="20">
        <v>0</v>
      </c>
      <c r="AT34" s="18">
        <v>0</v>
      </c>
      <c r="AU34" s="3">
        <v>0</v>
      </c>
      <c r="AV34" s="3">
        <v>0</v>
      </c>
      <c r="AW34" s="3">
        <f t="shared" ref="AW34:AW65" si="50">AQ34*AP34</f>
        <v>0</v>
      </c>
      <c r="AX34" s="3" t="s">
        <v>281</v>
      </c>
      <c r="AY34" s="3" t="s">
        <v>44</v>
      </c>
    </row>
    <row r="35" spans="1:51" ht="19.95" customHeight="1" x14ac:dyDescent="0.3">
      <c r="A35" s="3" t="s">
        <v>109</v>
      </c>
      <c r="B35" s="3" t="s">
        <v>110</v>
      </c>
      <c r="C35" s="3">
        <f>Deflators!C42</f>
        <v>896</v>
      </c>
      <c r="D35" s="3">
        <f>Deflators!D42</f>
        <v>1.4944196428571428</v>
      </c>
      <c r="E35" s="3">
        <f>Deflators!E42</f>
        <v>1010</v>
      </c>
      <c r="F35" s="3">
        <f>Deflators!F42</f>
        <v>1.5455445544554456</v>
      </c>
      <c r="G35" s="16">
        <v>50254000000</v>
      </c>
      <c r="H35" s="16">
        <v>4350700</v>
      </c>
      <c r="I35" s="17">
        <f t="shared" si="26"/>
        <v>11550.784931160502</v>
      </c>
      <c r="J35" s="17">
        <f t="shared" si="27"/>
        <v>77669796039.603958</v>
      </c>
      <c r="K35" s="17">
        <f t="shared" si="28"/>
        <v>17852.252750041134</v>
      </c>
      <c r="L35" s="18">
        <f t="shared" si="29"/>
        <v>25.075732293387702</v>
      </c>
      <c r="M35" s="18">
        <f t="shared" si="30"/>
        <v>9.7898849837287667</v>
      </c>
      <c r="N35" s="19">
        <v>175.50000001524623</v>
      </c>
      <c r="O35" s="19">
        <f t="shared" si="31"/>
        <v>262.27064734421282</v>
      </c>
      <c r="P35" s="19">
        <f t="shared" si="32"/>
        <v>5.5693769757090354</v>
      </c>
      <c r="Q35" s="19">
        <v>116.69999996363336</v>
      </c>
      <c r="R35" s="19">
        <f t="shared" si="33"/>
        <v>174.39877226708154</v>
      </c>
      <c r="S35" s="19">
        <f t="shared" si="34"/>
        <v>5.1613444716971273</v>
      </c>
      <c r="T35" s="17">
        <v>1718.8769669709982</v>
      </c>
      <c r="U35" s="17">
        <f t="shared" si="35"/>
        <v>7478318020.2007217</v>
      </c>
      <c r="V35" s="18">
        <f t="shared" si="36"/>
        <v>7.4494264303787192</v>
      </c>
      <c r="W35" s="18">
        <f t="shared" si="37"/>
        <v>22.735273740037655</v>
      </c>
      <c r="X35" s="12">
        <v>6.6</v>
      </c>
      <c r="Y35" s="12">
        <f t="shared" si="38"/>
        <v>6.6000000000000003E-2</v>
      </c>
      <c r="Z35" s="18">
        <f t="shared" si="39"/>
        <v>-2.7181005369557116</v>
      </c>
      <c r="AA35" s="16">
        <v>80044373.709999993</v>
      </c>
      <c r="AB35" s="16">
        <v>1886730506</v>
      </c>
      <c r="AC35" s="19">
        <f t="shared" si="40"/>
        <v>42.424910953339932</v>
      </c>
      <c r="AD35" s="19">
        <f t="shared" si="41"/>
        <v>63.400620275136347</v>
      </c>
      <c r="AE35" s="19">
        <f t="shared" si="42"/>
        <v>4.1494736449148224</v>
      </c>
      <c r="AF35" s="19">
        <f t="shared" ref="AF35:AF66" si="51">IFERROR(AD34,0)</f>
        <v>63.493332507535108</v>
      </c>
      <c r="AG35" s="18">
        <f t="shared" si="43"/>
        <v>4.1509349005044358</v>
      </c>
      <c r="AH35" s="16">
        <v>177717807.90000001</v>
      </c>
      <c r="AI35" s="16">
        <v>788255658</v>
      </c>
      <c r="AJ35" s="19">
        <f t="shared" si="44"/>
        <v>225.4570659865787</v>
      </c>
      <c r="AK35" s="19">
        <f t="shared" si="45"/>
        <v>336.92746803128222</v>
      </c>
      <c r="AL35" s="19">
        <f t="shared" si="46"/>
        <v>5.8198676787935861</v>
      </c>
      <c r="AM35" s="19">
        <f t="shared" si="47"/>
        <v>329.03856796630532</v>
      </c>
      <c r="AN35" s="18">
        <f t="shared" si="48"/>
        <v>5.7961749717558337</v>
      </c>
      <c r="AO35" s="20">
        <v>34</v>
      </c>
      <c r="AP35" s="20">
        <f t="shared" si="49"/>
        <v>3.5263605246161616</v>
      </c>
      <c r="AQ35" s="20">
        <v>0</v>
      </c>
      <c r="AR35" s="20">
        <v>0</v>
      </c>
      <c r="AS35" s="20">
        <v>0</v>
      </c>
      <c r="AT35" s="18">
        <v>1</v>
      </c>
      <c r="AU35" s="3">
        <v>0</v>
      </c>
      <c r="AV35" s="3">
        <v>0</v>
      </c>
      <c r="AW35" s="3">
        <f t="shared" si="50"/>
        <v>0</v>
      </c>
      <c r="AX35" s="3" t="s">
        <v>281</v>
      </c>
      <c r="AY35" s="3" t="s">
        <v>44</v>
      </c>
    </row>
    <row r="36" spans="1:51" ht="19.95" customHeight="1" x14ac:dyDescent="0.3">
      <c r="A36" s="3" t="s">
        <v>111</v>
      </c>
      <c r="B36" s="3" t="s">
        <v>112</v>
      </c>
      <c r="C36" s="3">
        <f>Deflators!C43</f>
        <v>906</v>
      </c>
      <c r="D36" s="3">
        <f>Deflators!D43</f>
        <v>1.4779249448123621</v>
      </c>
      <c r="E36" s="3">
        <f>Deflators!E43</f>
        <v>1031</v>
      </c>
      <c r="F36" s="3">
        <f>Deflators!F43</f>
        <v>1.5140640155189138</v>
      </c>
      <c r="G36" s="16">
        <v>50570000000</v>
      </c>
      <c r="H36" s="16">
        <v>4362700</v>
      </c>
      <c r="I36" s="17">
        <f t="shared" si="26"/>
        <v>11591.445664382149</v>
      </c>
      <c r="J36" s="17">
        <f t="shared" si="27"/>
        <v>76566217264.791473</v>
      </c>
      <c r="K36" s="17">
        <f t="shared" si="28"/>
        <v>17550.190768283741</v>
      </c>
      <c r="L36" s="18">
        <f t="shared" si="29"/>
        <v>25.061421788536776</v>
      </c>
      <c r="M36" s="18">
        <f t="shared" si="30"/>
        <v>9.7728200988226117</v>
      </c>
      <c r="N36" s="19">
        <v>173.09999997899934</v>
      </c>
      <c r="O36" s="19">
        <f t="shared" si="31"/>
        <v>255.82880791598248</v>
      </c>
      <c r="P36" s="19">
        <f t="shared" si="32"/>
        <v>5.5445085017090356</v>
      </c>
      <c r="Q36" s="19">
        <v>116.79999995968146</v>
      </c>
      <c r="R36" s="19">
        <f t="shared" si="33"/>
        <v>172.62163349449611</v>
      </c>
      <c r="S36" s="19">
        <f t="shared" si="34"/>
        <v>5.1511021096971268</v>
      </c>
      <c r="T36" s="17">
        <v>1714.9262521262453</v>
      </c>
      <c r="U36" s="17">
        <f t="shared" si="35"/>
        <v>7481708760.1511707</v>
      </c>
      <c r="V36" s="18">
        <f t="shared" si="36"/>
        <v>7.4471253569997833</v>
      </c>
      <c r="W36" s="18">
        <f t="shared" si="37"/>
        <v>22.735727046713947</v>
      </c>
      <c r="X36" s="12">
        <v>6.1</v>
      </c>
      <c r="Y36" s="12">
        <f t="shared" si="38"/>
        <v>6.0999999999999999E-2</v>
      </c>
      <c r="Z36" s="18">
        <f t="shared" si="39"/>
        <v>-2.7968814148088259</v>
      </c>
      <c r="AA36" s="16">
        <v>85012947.010000005</v>
      </c>
      <c r="AB36" s="16">
        <v>2004551887</v>
      </c>
      <c r="AC36" s="19">
        <f t="shared" si="40"/>
        <v>42.409950853020753</v>
      </c>
      <c r="AD36" s="19">
        <f t="shared" si="41"/>
        <v>62.67872427394569</v>
      </c>
      <c r="AE36" s="19">
        <f t="shared" si="42"/>
        <v>4.1380220642804666</v>
      </c>
      <c r="AF36" s="19">
        <f t="shared" si="51"/>
        <v>63.400620275136347</v>
      </c>
      <c r="AG36" s="18">
        <f t="shared" si="43"/>
        <v>4.1494736449148224</v>
      </c>
      <c r="AH36" s="16">
        <v>179129482.5</v>
      </c>
      <c r="AI36" s="16">
        <v>804586320</v>
      </c>
      <c r="AJ36" s="19">
        <f t="shared" si="44"/>
        <v>222.63550603246648</v>
      </c>
      <c r="AK36" s="19">
        <f t="shared" si="45"/>
        <v>329.03856796630532</v>
      </c>
      <c r="AL36" s="19">
        <f t="shared" si="46"/>
        <v>5.7961749717558337</v>
      </c>
      <c r="AM36" s="19">
        <f t="shared" si="47"/>
        <v>345.94642368007186</v>
      </c>
      <c r="AN36" s="18">
        <f t="shared" si="48"/>
        <v>5.8462839182127384</v>
      </c>
      <c r="AO36" s="20">
        <v>35</v>
      </c>
      <c r="AP36" s="20">
        <f t="shared" si="49"/>
        <v>3.5553480614894135</v>
      </c>
      <c r="AQ36" s="20">
        <v>0</v>
      </c>
      <c r="AR36" s="20">
        <v>0</v>
      </c>
      <c r="AS36" s="20">
        <v>0</v>
      </c>
      <c r="AT36" s="18">
        <v>0</v>
      </c>
      <c r="AU36" s="3">
        <v>1</v>
      </c>
      <c r="AV36" s="3">
        <v>0</v>
      </c>
      <c r="AW36" s="3">
        <f t="shared" si="50"/>
        <v>0</v>
      </c>
      <c r="AX36" s="3" t="s">
        <v>281</v>
      </c>
      <c r="AY36" s="3" t="s">
        <v>44</v>
      </c>
    </row>
    <row r="37" spans="1:51" ht="19.95" customHeight="1" x14ac:dyDescent="0.3">
      <c r="A37" s="3" t="s">
        <v>113</v>
      </c>
      <c r="B37" s="3" t="s">
        <v>114</v>
      </c>
      <c r="C37" s="3">
        <f>Deflators!C44</f>
        <v>927</v>
      </c>
      <c r="D37" s="3">
        <f>Deflators!D44</f>
        <v>1.4444444444444444</v>
      </c>
      <c r="E37" s="3">
        <f>Deflators!E44</f>
        <v>1058</v>
      </c>
      <c r="F37" s="3">
        <f>Deflators!F44</f>
        <v>1.4754253308128544</v>
      </c>
      <c r="G37" s="16">
        <v>51272000000</v>
      </c>
      <c r="H37" s="16">
        <v>4373900</v>
      </c>
      <c r="I37" s="17">
        <f t="shared" si="26"/>
        <v>11722.261597201583</v>
      </c>
      <c r="J37" s="17">
        <f t="shared" si="27"/>
        <v>75648007561.436676</v>
      </c>
      <c r="K37" s="17">
        <f t="shared" si="28"/>
        <v>17295.321694925966</v>
      </c>
      <c r="L37" s="18">
        <f t="shared" si="29"/>
        <v>25.049356939245524</v>
      </c>
      <c r="M37" s="18">
        <f t="shared" si="30"/>
        <v>9.7581913216565628</v>
      </c>
      <c r="N37" s="19">
        <v>184.99999990849778</v>
      </c>
      <c r="O37" s="19">
        <f t="shared" si="31"/>
        <v>267.22222209005236</v>
      </c>
      <c r="P37" s="19">
        <f t="shared" si="32"/>
        <v>5.5880806047090354</v>
      </c>
      <c r="Q37" s="19">
        <v>124.69999998576165</v>
      </c>
      <c r="R37" s="19">
        <f t="shared" si="33"/>
        <v>180.12222220165572</v>
      </c>
      <c r="S37" s="19">
        <f t="shared" si="34"/>
        <v>5.1936356326971271</v>
      </c>
      <c r="T37" s="17">
        <v>1739.8429552879008</v>
      </c>
      <c r="U37" s="17">
        <f t="shared" si="35"/>
        <v>7609899102.13375</v>
      </c>
      <c r="V37" s="18">
        <f t="shared" si="36"/>
        <v>7.4615501325536284</v>
      </c>
      <c r="W37" s="18">
        <f t="shared" si="37"/>
        <v>22.752715750142588</v>
      </c>
      <c r="X37" s="12">
        <v>6.2</v>
      </c>
      <c r="Y37" s="12">
        <f t="shared" si="38"/>
        <v>6.2E-2</v>
      </c>
      <c r="Z37" s="18">
        <f t="shared" si="39"/>
        <v>-2.7806208939370456</v>
      </c>
      <c r="AA37" s="16">
        <v>95161551.590000004</v>
      </c>
      <c r="AB37" s="16">
        <v>2014256395</v>
      </c>
      <c r="AC37" s="19">
        <f t="shared" si="40"/>
        <v>47.244011152810565</v>
      </c>
      <c r="AD37" s="19">
        <f t="shared" si="41"/>
        <v>68.241349442948589</v>
      </c>
      <c r="AE37" s="19">
        <f t="shared" si="42"/>
        <v>4.2230506779431858</v>
      </c>
      <c r="AF37" s="19">
        <f t="shared" si="51"/>
        <v>62.67872427394569</v>
      </c>
      <c r="AG37" s="18">
        <f t="shared" si="43"/>
        <v>4.1380220642804666</v>
      </c>
      <c r="AH37" s="16">
        <v>214147940.80000001</v>
      </c>
      <c r="AI37" s="16">
        <v>894140775</v>
      </c>
      <c r="AJ37" s="19">
        <f t="shared" si="44"/>
        <v>239.50137024004974</v>
      </c>
      <c r="AK37" s="19">
        <f t="shared" si="45"/>
        <v>345.94642368007186</v>
      </c>
      <c r="AL37" s="19">
        <f t="shared" si="46"/>
        <v>5.8462839182127384</v>
      </c>
      <c r="AM37" s="19">
        <f t="shared" si="47"/>
        <v>353.35052840535798</v>
      </c>
      <c r="AN37" s="18">
        <f t="shared" si="48"/>
        <v>5.8674605625520693</v>
      </c>
      <c r="AO37" s="20">
        <v>36</v>
      </c>
      <c r="AP37" s="20">
        <f t="shared" si="49"/>
        <v>3.5835189384561099</v>
      </c>
      <c r="AQ37" s="20">
        <v>0</v>
      </c>
      <c r="AR37" s="20">
        <v>0</v>
      </c>
      <c r="AS37" s="20">
        <v>0</v>
      </c>
      <c r="AT37" s="18">
        <v>0</v>
      </c>
      <c r="AU37" s="3">
        <v>0</v>
      </c>
      <c r="AV37" s="3">
        <v>1</v>
      </c>
      <c r="AW37" s="3">
        <f t="shared" si="50"/>
        <v>0</v>
      </c>
      <c r="AX37" s="3" t="s">
        <v>281</v>
      </c>
      <c r="AY37" s="3" t="s">
        <v>44</v>
      </c>
    </row>
    <row r="38" spans="1:51" ht="19.95" customHeight="1" x14ac:dyDescent="0.3">
      <c r="A38" s="3" t="s">
        <v>115</v>
      </c>
      <c r="B38" s="3" t="s">
        <v>116</v>
      </c>
      <c r="C38" s="3">
        <f>Deflators!C45</f>
        <v>935</v>
      </c>
      <c r="D38" s="3">
        <f>Deflators!D45</f>
        <v>1.4320855614973262</v>
      </c>
      <c r="E38" s="3">
        <f>Deflators!E45</f>
        <v>1049</v>
      </c>
      <c r="F38" s="3">
        <f>Deflators!F45</f>
        <v>1.4880838894184938</v>
      </c>
      <c r="G38" s="16">
        <v>51700000000</v>
      </c>
      <c r="H38" s="16">
        <v>4382500</v>
      </c>
      <c r="I38" s="17">
        <f t="shared" si="26"/>
        <v>11796.919566457502</v>
      </c>
      <c r="J38" s="17">
        <f t="shared" si="27"/>
        <v>76933937082.936127</v>
      </c>
      <c r="K38" s="17">
        <f t="shared" si="28"/>
        <v>17554.805951611208</v>
      </c>
      <c r="L38" s="18">
        <f t="shared" si="29"/>
        <v>25.06621293057993</v>
      </c>
      <c r="M38" s="18">
        <f t="shared" si="30"/>
        <v>9.7730830348024025</v>
      </c>
      <c r="N38" s="19">
        <v>203.00000005374679</v>
      </c>
      <c r="O38" s="19">
        <f t="shared" si="31"/>
        <v>290.71336906092722</v>
      </c>
      <c r="P38" s="19">
        <f t="shared" si="32"/>
        <v>5.6723377957090353</v>
      </c>
      <c r="Q38" s="19">
        <v>143.70000003012851</v>
      </c>
      <c r="R38" s="19">
        <f t="shared" si="33"/>
        <v>205.79069523031239</v>
      </c>
      <c r="S38" s="19">
        <f t="shared" si="34"/>
        <v>5.3268596096971272</v>
      </c>
      <c r="T38" s="17">
        <v>1704.6112249131222</v>
      </c>
      <c r="U38" s="17">
        <f t="shared" si="35"/>
        <v>7470458693.1817579</v>
      </c>
      <c r="V38" s="18">
        <f t="shared" si="36"/>
        <v>7.4410923431381581</v>
      </c>
      <c r="W38" s="18">
        <f t="shared" si="37"/>
        <v>22.734222238915684</v>
      </c>
      <c r="X38" s="12">
        <v>6</v>
      </c>
      <c r="Y38" s="12">
        <f t="shared" si="38"/>
        <v>0.06</v>
      </c>
      <c r="Z38" s="18">
        <f t="shared" si="39"/>
        <v>-2.8134107167600364</v>
      </c>
      <c r="AA38" s="16">
        <v>89276806.569999993</v>
      </c>
      <c r="AB38" s="16">
        <v>1879399653</v>
      </c>
      <c r="AC38" s="19">
        <f t="shared" si="40"/>
        <v>47.502832315357459</v>
      </c>
      <c r="AD38" s="19">
        <f t="shared" si="41"/>
        <v>68.028120289052026</v>
      </c>
      <c r="AE38" s="19">
        <f t="shared" si="42"/>
        <v>4.2199211533571566</v>
      </c>
      <c r="AF38" s="19">
        <f t="shared" si="51"/>
        <v>68.241349442948589</v>
      </c>
      <c r="AG38" s="18">
        <f t="shared" si="43"/>
        <v>4.2230506779431858</v>
      </c>
      <c r="AH38" s="16">
        <v>213592601.69999999</v>
      </c>
      <c r="AI38" s="16">
        <v>865664139</v>
      </c>
      <c r="AJ38" s="19">
        <f t="shared" si="44"/>
        <v>246.73841976027609</v>
      </c>
      <c r="AK38" s="19">
        <f t="shared" si="45"/>
        <v>353.35052840535798</v>
      </c>
      <c r="AL38" s="19">
        <f t="shared" si="46"/>
        <v>5.8674605625520693</v>
      </c>
      <c r="AM38" s="19">
        <f t="shared" si="47"/>
        <v>350.32701148272173</v>
      </c>
      <c r="AN38" s="18">
        <f t="shared" si="48"/>
        <v>5.8588670368016524</v>
      </c>
      <c r="AO38" s="20">
        <v>37</v>
      </c>
      <c r="AP38" s="20">
        <f t="shared" si="49"/>
        <v>3.6109179126442243</v>
      </c>
      <c r="AQ38" s="20">
        <v>0</v>
      </c>
      <c r="AR38" s="20">
        <v>0</v>
      </c>
      <c r="AS38" s="20">
        <v>0</v>
      </c>
      <c r="AT38" s="18">
        <v>0</v>
      </c>
      <c r="AU38" s="3">
        <v>0</v>
      </c>
      <c r="AV38" s="3">
        <v>0</v>
      </c>
      <c r="AW38" s="3">
        <f t="shared" si="50"/>
        <v>0</v>
      </c>
      <c r="AX38" s="3" t="s">
        <v>281</v>
      </c>
      <c r="AY38" s="3" t="s">
        <v>44</v>
      </c>
    </row>
    <row r="39" spans="1:51" ht="19.95" customHeight="1" x14ac:dyDescent="0.3">
      <c r="A39" s="3" t="s">
        <v>117</v>
      </c>
      <c r="B39" s="3" t="s">
        <v>118</v>
      </c>
      <c r="C39" s="3">
        <f>Deflators!C46</f>
        <v>944</v>
      </c>
      <c r="D39" s="3">
        <f>Deflators!D46</f>
        <v>1.4184322033898304</v>
      </c>
      <c r="E39" s="3">
        <f>Deflators!E46</f>
        <v>1057</v>
      </c>
      <c r="F39" s="3">
        <f>Deflators!F46</f>
        <v>1.4768211920529801</v>
      </c>
      <c r="G39" s="16">
        <v>52555000000</v>
      </c>
      <c r="H39" s="16">
        <v>4384000</v>
      </c>
      <c r="I39" s="17">
        <f t="shared" si="26"/>
        <v>11987.910583941606</v>
      </c>
      <c r="J39" s="17">
        <f t="shared" si="27"/>
        <v>77614337748.344376</v>
      </c>
      <c r="K39" s="17">
        <f t="shared" si="28"/>
        <v>17704.000398801181</v>
      </c>
      <c r="L39" s="18">
        <f t="shared" si="29"/>
        <v>25.075018011866923</v>
      </c>
      <c r="M39" s="18">
        <f t="shared" si="30"/>
        <v>9.7815459042569355</v>
      </c>
      <c r="N39" s="19">
        <v>211.10000006524868</v>
      </c>
      <c r="O39" s="19">
        <f t="shared" si="31"/>
        <v>299.43103822814402</v>
      </c>
      <c r="P39" s="19">
        <f t="shared" si="32"/>
        <v>5.7018841347090357</v>
      </c>
      <c r="Q39" s="19">
        <v>155.29999999950519</v>
      </c>
      <c r="R39" s="19">
        <f t="shared" si="33"/>
        <v>220.2825211857388</v>
      </c>
      <c r="S39" s="19">
        <f t="shared" si="34"/>
        <v>5.3949109096971268</v>
      </c>
      <c r="T39" s="17">
        <v>1677.9137030119796</v>
      </c>
      <c r="U39" s="17">
        <f t="shared" si="35"/>
        <v>7355973674.0045185</v>
      </c>
      <c r="V39" s="18">
        <f t="shared" si="36"/>
        <v>7.4253064572255081</v>
      </c>
      <c r="W39" s="18">
        <f t="shared" si="37"/>
        <v>22.718778564835496</v>
      </c>
      <c r="X39" s="12">
        <v>6.1</v>
      </c>
      <c r="Y39" s="12">
        <f t="shared" si="38"/>
        <v>6.0999999999999999E-2</v>
      </c>
      <c r="Z39" s="18">
        <f t="shared" si="39"/>
        <v>-2.7968814148088259</v>
      </c>
      <c r="AA39" s="16">
        <v>91109048.150000006</v>
      </c>
      <c r="AB39" s="16">
        <v>1919830774</v>
      </c>
      <c r="AC39" s="19">
        <f t="shared" si="40"/>
        <v>47.456812018995173</v>
      </c>
      <c r="AD39" s="19">
        <f t="shared" si="41"/>
        <v>67.314270437960317</v>
      </c>
      <c r="AE39" s="19">
        <f t="shared" si="42"/>
        <v>4.2093722563417204</v>
      </c>
      <c r="AF39" s="19">
        <f t="shared" si="51"/>
        <v>68.028120289052026</v>
      </c>
      <c r="AG39" s="18">
        <f t="shared" si="43"/>
        <v>4.2199211533571566</v>
      </c>
      <c r="AH39" s="16">
        <v>203525875.90000001</v>
      </c>
      <c r="AI39" s="16">
        <v>824051949</v>
      </c>
      <c r="AJ39" s="19">
        <f t="shared" si="44"/>
        <v>246.9818512619039</v>
      </c>
      <c r="AK39" s="19">
        <f t="shared" si="45"/>
        <v>350.32701148272173</v>
      </c>
      <c r="AL39" s="19">
        <f t="shared" si="46"/>
        <v>5.8588670368016524</v>
      </c>
      <c r="AM39" s="19">
        <f t="shared" si="47"/>
        <v>342.81492247529263</v>
      </c>
      <c r="AN39" s="18">
        <f t="shared" si="48"/>
        <v>5.8371907169176325</v>
      </c>
      <c r="AO39" s="20">
        <v>38</v>
      </c>
      <c r="AP39" s="20">
        <f t="shared" si="49"/>
        <v>3.6375861597263857</v>
      </c>
      <c r="AQ39" s="20">
        <v>0</v>
      </c>
      <c r="AR39" s="20">
        <v>0</v>
      </c>
      <c r="AS39" s="20">
        <v>0</v>
      </c>
      <c r="AT39" s="18">
        <v>1</v>
      </c>
      <c r="AU39" s="3">
        <v>0</v>
      </c>
      <c r="AV39" s="3">
        <v>0</v>
      </c>
      <c r="AW39" s="3">
        <f t="shared" si="50"/>
        <v>0</v>
      </c>
      <c r="AX39" s="3" t="s">
        <v>281</v>
      </c>
      <c r="AY39" s="3" t="s">
        <v>44</v>
      </c>
    </row>
    <row r="40" spans="1:51" ht="19.95" customHeight="1" x14ac:dyDescent="0.3">
      <c r="A40" s="3" t="s">
        <v>119</v>
      </c>
      <c r="B40" s="3" t="s">
        <v>120</v>
      </c>
      <c r="C40" s="3">
        <f>Deflators!C47</f>
        <v>948</v>
      </c>
      <c r="D40" s="3">
        <f>Deflators!D47</f>
        <v>1.4124472573839661</v>
      </c>
      <c r="E40" s="3">
        <f>Deflators!E47</f>
        <v>1062</v>
      </c>
      <c r="F40" s="3">
        <f>Deflators!F47</f>
        <v>1.4698681732580037</v>
      </c>
      <c r="G40" s="16">
        <v>53351000000</v>
      </c>
      <c r="H40" s="16">
        <v>4392000</v>
      </c>
      <c r="I40" s="17">
        <f t="shared" si="26"/>
        <v>12147.313296903461</v>
      </c>
      <c r="J40" s="17">
        <f t="shared" si="27"/>
        <v>78418936911.487747</v>
      </c>
      <c r="K40" s="17">
        <f t="shared" si="28"/>
        <v>17854.949205712146</v>
      </c>
      <c r="L40" s="18">
        <f t="shared" si="29"/>
        <v>25.085331277374507</v>
      </c>
      <c r="M40" s="18">
        <f t="shared" si="30"/>
        <v>9.7900360152030039</v>
      </c>
      <c r="N40" s="19">
        <v>203.80000009869221</v>
      </c>
      <c r="O40" s="19">
        <f t="shared" si="31"/>
        <v>287.85675119424985</v>
      </c>
      <c r="P40" s="19">
        <f t="shared" si="32"/>
        <v>5.662462964709035</v>
      </c>
      <c r="Q40" s="19">
        <v>143.30000006116771</v>
      </c>
      <c r="R40" s="19">
        <f t="shared" si="33"/>
        <v>202.40369206951851</v>
      </c>
      <c r="S40" s="19">
        <f t="shared" si="34"/>
        <v>5.3102641786971274</v>
      </c>
      <c r="T40" s="17">
        <v>1672.8913372940951</v>
      </c>
      <c r="U40" s="17">
        <f t="shared" si="35"/>
        <v>7347338753.3956661</v>
      </c>
      <c r="V40" s="18">
        <f t="shared" si="36"/>
        <v>7.4223087480669658</v>
      </c>
      <c r="W40" s="18">
        <f t="shared" si="37"/>
        <v>22.717604010238468</v>
      </c>
      <c r="X40" s="12">
        <v>6</v>
      </c>
      <c r="Y40" s="12">
        <f t="shared" si="38"/>
        <v>0.06</v>
      </c>
      <c r="Z40" s="18">
        <f t="shared" si="39"/>
        <v>-2.8134107167600364</v>
      </c>
      <c r="AA40" s="16">
        <v>92119748.579999998</v>
      </c>
      <c r="AB40" s="16">
        <v>1940412167</v>
      </c>
      <c r="AC40" s="19">
        <f t="shared" si="40"/>
        <v>47.4743202226066</v>
      </c>
      <c r="AD40" s="19">
        <f t="shared" si="41"/>
        <v>67.054973394588856</v>
      </c>
      <c r="AE40" s="19">
        <f t="shared" si="42"/>
        <v>4.2055127813928426</v>
      </c>
      <c r="AF40" s="19">
        <f t="shared" si="51"/>
        <v>67.314270437960317</v>
      </c>
      <c r="AG40" s="18">
        <f t="shared" si="43"/>
        <v>4.2093722563417204</v>
      </c>
      <c r="AH40" s="16">
        <v>199661664.09999999</v>
      </c>
      <c r="AI40" s="16">
        <v>822635047</v>
      </c>
      <c r="AJ40" s="19">
        <f t="shared" si="44"/>
        <v>242.7098928353827</v>
      </c>
      <c r="AK40" s="19">
        <f t="shared" si="45"/>
        <v>342.81492247529263</v>
      </c>
      <c r="AL40" s="19">
        <f t="shared" si="46"/>
        <v>5.8371907169176325</v>
      </c>
      <c r="AM40" s="19">
        <f t="shared" si="47"/>
        <v>341.44857760785277</v>
      </c>
      <c r="AN40" s="18">
        <f t="shared" si="48"/>
        <v>5.833197089657765</v>
      </c>
      <c r="AO40" s="20">
        <v>39</v>
      </c>
      <c r="AP40" s="20">
        <f t="shared" si="49"/>
        <v>3.6635616461296463</v>
      </c>
      <c r="AQ40" s="20">
        <v>0</v>
      </c>
      <c r="AR40" s="20">
        <v>0</v>
      </c>
      <c r="AS40" s="20">
        <v>0</v>
      </c>
      <c r="AT40" s="18">
        <v>0</v>
      </c>
      <c r="AU40" s="3">
        <v>1</v>
      </c>
      <c r="AV40" s="3">
        <v>0</v>
      </c>
      <c r="AW40" s="3">
        <f t="shared" si="50"/>
        <v>0</v>
      </c>
      <c r="AX40" s="3" t="s">
        <v>281</v>
      </c>
      <c r="AY40" s="3" t="s">
        <v>44</v>
      </c>
    </row>
    <row r="41" spans="1:51" ht="19.95" customHeight="1" x14ac:dyDescent="0.3">
      <c r="A41" s="3" t="s">
        <v>121</v>
      </c>
      <c r="B41" s="3" t="s">
        <v>122</v>
      </c>
      <c r="C41" s="3">
        <f>Deflators!C48</f>
        <v>945</v>
      </c>
      <c r="D41" s="3">
        <f>Deflators!D48</f>
        <v>1.4169312169312169</v>
      </c>
      <c r="E41" s="3">
        <f>Deflators!E48</f>
        <v>1059</v>
      </c>
      <c r="F41" s="3">
        <f>Deflators!F48</f>
        <v>1.4740321057601511</v>
      </c>
      <c r="G41" s="16">
        <v>53656000000</v>
      </c>
      <c r="H41" s="16">
        <v>4399400</v>
      </c>
      <c r="I41" s="17">
        <f t="shared" si="26"/>
        <v>12196.20857389644</v>
      </c>
      <c r="J41" s="17">
        <f t="shared" si="27"/>
        <v>79090666666.666672</v>
      </c>
      <c r="K41" s="17">
        <f t="shared" si="28"/>
        <v>17977.603006470581</v>
      </c>
      <c r="L41" s="18">
        <f t="shared" si="29"/>
        <v>25.093860710657871</v>
      </c>
      <c r="M41" s="18">
        <f t="shared" si="30"/>
        <v>9.7968819847041129</v>
      </c>
      <c r="N41" s="19">
        <v>205.49999991272753</v>
      </c>
      <c r="O41" s="19">
        <f t="shared" si="31"/>
        <v>291.17936495570598</v>
      </c>
      <c r="P41" s="19">
        <f t="shared" si="32"/>
        <v>5.6739394517090354</v>
      </c>
      <c r="Q41" s="19">
        <v>151.79999992989397</v>
      </c>
      <c r="R41" s="19">
        <f t="shared" si="33"/>
        <v>215.09015863082331</v>
      </c>
      <c r="S41" s="19">
        <f t="shared" si="34"/>
        <v>5.3710572826971275</v>
      </c>
      <c r="T41" s="17">
        <v>1698.9024596700424</v>
      </c>
      <c r="U41" s="17">
        <f t="shared" si="35"/>
        <v>7474151481.0723848</v>
      </c>
      <c r="V41" s="18">
        <f t="shared" si="36"/>
        <v>7.4377377095883643</v>
      </c>
      <c r="W41" s="18">
        <f t="shared" si="37"/>
        <v>22.734716435542126</v>
      </c>
      <c r="X41" s="12">
        <v>6.1</v>
      </c>
      <c r="Y41" s="12">
        <f t="shared" si="38"/>
        <v>6.0999999999999999E-2</v>
      </c>
      <c r="Z41" s="18">
        <f t="shared" si="39"/>
        <v>-2.7968814148088259</v>
      </c>
      <c r="AA41" s="16">
        <v>96965341.739999995</v>
      </c>
      <c r="AB41" s="16">
        <v>2041795708</v>
      </c>
      <c r="AC41" s="19">
        <f t="shared" si="40"/>
        <v>47.490227038913922</v>
      </c>
      <c r="AD41" s="19">
        <f t="shared" si="41"/>
        <v>67.290385190588083</v>
      </c>
      <c r="AE41" s="19">
        <f t="shared" si="42"/>
        <v>4.2090173615201198</v>
      </c>
      <c r="AF41" s="19">
        <f t="shared" si="51"/>
        <v>67.054973394588856</v>
      </c>
      <c r="AG41" s="18">
        <f t="shared" si="43"/>
        <v>4.2055127813928426</v>
      </c>
      <c r="AH41" s="16">
        <v>215682190.5</v>
      </c>
      <c r="AI41" s="16">
        <v>895030317</v>
      </c>
      <c r="AJ41" s="19">
        <f t="shared" si="44"/>
        <v>240.97752489874597</v>
      </c>
      <c r="AK41" s="19">
        <f t="shared" si="45"/>
        <v>341.44857760785277</v>
      </c>
      <c r="AL41" s="19">
        <f t="shared" si="46"/>
        <v>5.833197089657765</v>
      </c>
      <c r="AM41" s="19">
        <f t="shared" si="47"/>
        <v>344.83931683873169</v>
      </c>
      <c r="AN41" s="18">
        <f t="shared" si="48"/>
        <v>5.843078560243403</v>
      </c>
      <c r="AO41" s="20">
        <v>40</v>
      </c>
      <c r="AP41" s="20">
        <f t="shared" si="49"/>
        <v>3.6888794541139363</v>
      </c>
      <c r="AQ41" s="20">
        <v>0</v>
      </c>
      <c r="AR41" s="20">
        <v>0</v>
      </c>
      <c r="AS41" s="20">
        <v>0</v>
      </c>
      <c r="AT41" s="18">
        <v>0</v>
      </c>
      <c r="AU41" s="3">
        <v>0</v>
      </c>
      <c r="AV41" s="3">
        <v>1</v>
      </c>
      <c r="AW41" s="3">
        <f t="shared" si="50"/>
        <v>0</v>
      </c>
      <c r="AX41" s="3" t="s">
        <v>281</v>
      </c>
      <c r="AY41" s="3" t="s">
        <v>44</v>
      </c>
    </row>
    <row r="42" spans="1:51" ht="19.95" customHeight="1" x14ac:dyDescent="0.3">
      <c r="A42" s="3" t="s">
        <v>123</v>
      </c>
      <c r="B42" s="3" t="s">
        <v>124</v>
      </c>
      <c r="C42" s="3">
        <f>Deflators!C49</f>
        <v>949</v>
      </c>
      <c r="D42" s="3">
        <f>Deflators!D49</f>
        <v>1.4109589041095891</v>
      </c>
      <c r="E42" s="3">
        <f>Deflators!E49</f>
        <v>1057</v>
      </c>
      <c r="F42" s="3">
        <f>Deflators!F49</f>
        <v>1.4768211920529801</v>
      </c>
      <c r="G42" s="16">
        <v>53651000000</v>
      </c>
      <c r="H42" s="16">
        <v>4406500</v>
      </c>
      <c r="I42" s="17">
        <f t="shared" si="26"/>
        <v>12175.422671054124</v>
      </c>
      <c r="J42" s="17">
        <f t="shared" si="27"/>
        <v>79232933774.834442</v>
      </c>
      <c r="K42" s="17">
        <f t="shared" si="28"/>
        <v>17980.922222815032</v>
      </c>
      <c r="L42" s="18">
        <f t="shared" si="29"/>
        <v>25.095657879823587</v>
      </c>
      <c r="M42" s="18">
        <f t="shared" si="30"/>
        <v>9.7970665983017344</v>
      </c>
      <c r="N42" s="19">
        <v>210.29999998299454</v>
      </c>
      <c r="O42" s="19">
        <f t="shared" si="31"/>
        <v>296.7246575102526</v>
      </c>
      <c r="P42" s="19">
        <f t="shared" si="32"/>
        <v>5.6928046297090358</v>
      </c>
      <c r="Q42" s="19">
        <v>152.10000005333171</v>
      </c>
      <c r="R42" s="19">
        <f t="shared" si="33"/>
        <v>214.60684939031736</v>
      </c>
      <c r="S42" s="19">
        <f t="shared" si="34"/>
        <v>5.3688077466971276</v>
      </c>
      <c r="T42" s="17">
        <v>1689.2367433390675</v>
      </c>
      <c r="U42" s="17">
        <f t="shared" si="35"/>
        <v>7443621709.5236006</v>
      </c>
      <c r="V42" s="18">
        <f t="shared" si="36"/>
        <v>7.4320320747407349</v>
      </c>
      <c r="W42" s="18">
        <f t="shared" si="37"/>
        <v>22.730623356262587</v>
      </c>
      <c r="X42" s="12">
        <v>6.4</v>
      </c>
      <c r="Y42" s="12">
        <f t="shared" si="38"/>
        <v>6.4000000000000001E-2</v>
      </c>
      <c r="Z42" s="18">
        <f t="shared" si="39"/>
        <v>-2.7488721956224653</v>
      </c>
      <c r="AA42" s="16">
        <v>93754621.900000006</v>
      </c>
      <c r="AB42" s="16">
        <v>1972821179</v>
      </c>
      <c r="AC42" s="19">
        <f t="shared" si="40"/>
        <v>47.523122165346543</v>
      </c>
      <c r="AD42" s="19">
        <f t="shared" si="41"/>
        <v>67.053172370283477</v>
      </c>
      <c r="AE42" s="19">
        <f t="shared" si="42"/>
        <v>4.2054859221100571</v>
      </c>
      <c r="AF42" s="19">
        <f t="shared" si="51"/>
        <v>67.290385190588083</v>
      </c>
      <c r="AG42" s="18">
        <f t="shared" si="43"/>
        <v>4.2090173615201198</v>
      </c>
      <c r="AH42" s="16">
        <v>214169922.59999999</v>
      </c>
      <c r="AI42" s="16">
        <v>876306571</v>
      </c>
      <c r="AJ42" s="19">
        <f t="shared" si="44"/>
        <v>244.40068086628554</v>
      </c>
      <c r="AK42" s="19">
        <f t="shared" si="45"/>
        <v>344.83931683873169</v>
      </c>
      <c r="AL42" s="19">
        <f t="shared" si="46"/>
        <v>5.843078560243403</v>
      </c>
      <c r="AM42" s="19">
        <f t="shared" si="47"/>
        <v>348.03557862041419</v>
      </c>
      <c r="AN42" s="18">
        <f t="shared" si="48"/>
        <v>5.8523047119635692</v>
      </c>
      <c r="AO42" s="20">
        <v>41</v>
      </c>
      <c r="AP42" s="20">
        <f t="shared" si="49"/>
        <v>3.713572066704308</v>
      </c>
      <c r="AQ42" s="20">
        <v>1</v>
      </c>
      <c r="AR42" s="20">
        <v>0</v>
      </c>
      <c r="AS42" s="20">
        <v>0</v>
      </c>
      <c r="AT42" s="18">
        <v>0</v>
      </c>
      <c r="AU42" s="3">
        <v>0</v>
      </c>
      <c r="AV42" s="3">
        <v>0</v>
      </c>
      <c r="AW42" s="3">
        <f t="shared" si="50"/>
        <v>3.713572066704308</v>
      </c>
      <c r="AX42" s="3" t="s">
        <v>281</v>
      </c>
      <c r="AY42" s="3" t="s">
        <v>44</v>
      </c>
    </row>
    <row r="43" spans="1:51" ht="19.95" customHeight="1" x14ac:dyDescent="0.3">
      <c r="A43" s="3" t="s">
        <v>125</v>
      </c>
      <c r="B43" s="3" t="s">
        <v>126</v>
      </c>
      <c r="C43" s="3">
        <f>Deflators!C50</f>
        <v>953</v>
      </c>
      <c r="D43" s="3">
        <f>Deflators!D50</f>
        <v>1.4050367261280168</v>
      </c>
      <c r="E43" s="3">
        <f>Deflators!E50</f>
        <v>1067</v>
      </c>
      <c r="F43" s="3">
        <f>Deflators!F50</f>
        <v>1.4629803186504218</v>
      </c>
      <c r="G43" s="16">
        <v>54500000000</v>
      </c>
      <c r="H43" s="16">
        <v>4408100</v>
      </c>
      <c r="I43" s="17">
        <f t="shared" si="26"/>
        <v>12363.603366529798</v>
      </c>
      <c r="J43" s="17">
        <f t="shared" si="27"/>
        <v>79732427366.447983</v>
      </c>
      <c r="K43" s="17">
        <f t="shared" si="28"/>
        <v>18087.708392833189</v>
      </c>
      <c r="L43" s="18">
        <f t="shared" si="29"/>
        <v>25.101942207829289</v>
      </c>
      <c r="M43" s="18">
        <f t="shared" si="30"/>
        <v>9.8029878922463158</v>
      </c>
      <c r="N43" s="19">
        <v>211.09999996153559</v>
      </c>
      <c r="O43" s="19">
        <f t="shared" si="31"/>
        <v>296.60325283158045</v>
      </c>
      <c r="P43" s="19">
        <f t="shared" si="32"/>
        <v>5.6923953967090357</v>
      </c>
      <c r="Q43" s="19">
        <v>149.60000001791911</v>
      </c>
      <c r="R43" s="19">
        <f t="shared" si="33"/>
        <v>210.19349425392832</v>
      </c>
      <c r="S43" s="19">
        <f t="shared" si="34"/>
        <v>5.3480285076971272</v>
      </c>
      <c r="T43" s="17">
        <v>1654.1635383056077</v>
      </c>
      <c r="U43" s="17">
        <f t="shared" si="35"/>
        <v>7291718293.2049494</v>
      </c>
      <c r="V43" s="18">
        <f t="shared" si="36"/>
        <v>7.4110507451249079</v>
      </c>
      <c r="W43" s="18">
        <f t="shared" si="37"/>
        <v>22.710005060707878</v>
      </c>
      <c r="X43" s="12">
        <v>6.4</v>
      </c>
      <c r="Y43" s="12">
        <f t="shared" si="38"/>
        <v>6.4000000000000001E-2</v>
      </c>
      <c r="Z43" s="18">
        <f t="shared" si="39"/>
        <v>-2.7488721956224653</v>
      </c>
      <c r="AA43" s="16">
        <v>93907661.810000002</v>
      </c>
      <c r="AB43" s="16">
        <v>1977295468</v>
      </c>
      <c r="AC43" s="19">
        <f t="shared" si="40"/>
        <v>47.492983891267379</v>
      </c>
      <c r="AD43" s="19">
        <f t="shared" si="41"/>
        <v>66.729386600636957</v>
      </c>
      <c r="AE43" s="19">
        <f t="shared" si="42"/>
        <v>4.2006454346154651</v>
      </c>
      <c r="AF43" s="19">
        <f t="shared" si="51"/>
        <v>67.053172370283477</v>
      </c>
      <c r="AG43" s="18">
        <f t="shared" si="43"/>
        <v>4.2054859221100571</v>
      </c>
      <c r="AH43" s="16">
        <v>207096129.69999999</v>
      </c>
      <c r="AI43" s="16">
        <v>836057248</v>
      </c>
      <c r="AJ43" s="19">
        <f t="shared" si="44"/>
        <v>247.70568067606777</v>
      </c>
      <c r="AK43" s="19">
        <f t="shared" si="45"/>
        <v>348.03557862041419</v>
      </c>
      <c r="AL43" s="19">
        <f t="shared" si="46"/>
        <v>5.8523047119635692</v>
      </c>
      <c r="AM43" s="19">
        <f t="shared" si="47"/>
        <v>299.39869841688392</v>
      </c>
      <c r="AN43" s="18">
        <f t="shared" si="48"/>
        <v>5.7017761246710812</v>
      </c>
      <c r="AO43" s="20">
        <v>42</v>
      </c>
      <c r="AP43" s="20">
        <f t="shared" si="49"/>
        <v>3.7376696182833684</v>
      </c>
      <c r="AQ43" s="20">
        <v>1</v>
      </c>
      <c r="AR43" s="20">
        <v>0</v>
      </c>
      <c r="AS43" s="20">
        <v>0</v>
      </c>
      <c r="AT43" s="18">
        <v>1</v>
      </c>
      <c r="AU43" s="3">
        <v>0</v>
      </c>
      <c r="AV43" s="3">
        <v>0</v>
      </c>
      <c r="AW43" s="3">
        <f t="shared" si="50"/>
        <v>3.7376696182833684</v>
      </c>
      <c r="AX43" s="3" t="s">
        <v>281</v>
      </c>
      <c r="AY43" s="3" t="s">
        <v>44</v>
      </c>
    </row>
    <row r="44" spans="1:51" ht="19.95" customHeight="1" x14ac:dyDescent="0.3">
      <c r="A44" s="3" t="s">
        <v>127</v>
      </c>
      <c r="B44" s="3" t="s">
        <v>128</v>
      </c>
      <c r="C44" s="3">
        <f>Deflators!C51</f>
        <v>955</v>
      </c>
      <c r="D44" s="3">
        <f>Deflators!D51</f>
        <v>1.4020942408376964</v>
      </c>
      <c r="E44" s="3">
        <f>Deflators!E51</f>
        <v>1051</v>
      </c>
      <c r="F44" s="3">
        <f>Deflators!F51</f>
        <v>1.4852521408182684</v>
      </c>
      <c r="G44" s="16">
        <v>54003000000</v>
      </c>
      <c r="H44" s="16">
        <v>4415600</v>
      </c>
      <c r="I44" s="17">
        <f t="shared" si="26"/>
        <v>12230.048011595252</v>
      </c>
      <c r="J44" s="17">
        <f t="shared" si="27"/>
        <v>80208071360.608948</v>
      </c>
      <c r="K44" s="17">
        <f t="shared" si="28"/>
        <v>18164.704991532057</v>
      </c>
      <c r="L44" s="18">
        <f t="shared" si="29"/>
        <v>25.10788998716157</v>
      </c>
      <c r="M44" s="18">
        <f t="shared" si="30"/>
        <v>9.8072357040352358</v>
      </c>
      <c r="N44" s="19">
        <v>208.99999990256049</v>
      </c>
      <c r="O44" s="19">
        <f t="shared" si="31"/>
        <v>293.03769619845917</v>
      </c>
      <c r="P44" s="19">
        <f t="shared" si="32"/>
        <v>5.6803012567090354</v>
      </c>
      <c r="Q44" s="19">
        <v>149.09999995765446</v>
      </c>
      <c r="R44" s="19">
        <f t="shared" si="33"/>
        <v>209.0522512495281</v>
      </c>
      <c r="S44" s="19">
        <f t="shared" si="34"/>
        <v>5.3425842266971273</v>
      </c>
      <c r="T44" s="17">
        <v>1656.6797661729249</v>
      </c>
      <c r="U44" s="17">
        <f t="shared" si="35"/>
        <v>7315235175.5131674</v>
      </c>
      <c r="V44" s="18">
        <f t="shared" si="36"/>
        <v>7.4125707375379379</v>
      </c>
      <c r="W44" s="18">
        <f t="shared" si="37"/>
        <v>22.713225020664272</v>
      </c>
      <c r="X44" s="12">
        <v>6.7</v>
      </c>
      <c r="Y44" s="12">
        <f t="shared" si="38"/>
        <v>6.7000000000000004E-2</v>
      </c>
      <c r="Z44" s="18">
        <f t="shared" si="39"/>
        <v>-2.7030626595911711</v>
      </c>
      <c r="AA44" s="16">
        <v>95535869.989999995</v>
      </c>
      <c r="AB44" s="16">
        <v>1986302686</v>
      </c>
      <c r="AC44" s="19">
        <f t="shared" si="40"/>
        <v>48.097337159820967</v>
      </c>
      <c r="AD44" s="19">
        <f t="shared" si="41"/>
        <v>67.436999431413909</v>
      </c>
      <c r="AE44" s="19">
        <f t="shared" si="42"/>
        <v>4.2111938202870265</v>
      </c>
      <c r="AF44" s="19">
        <f t="shared" si="51"/>
        <v>66.729386600636957</v>
      </c>
      <c r="AG44" s="18">
        <f t="shared" si="43"/>
        <v>4.2006454346154651</v>
      </c>
      <c r="AH44" s="16">
        <v>196295254.19999999</v>
      </c>
      <c r="AI44" s="16">
        <v>919257321</v>
      </c>
      <c r="AJ44" s="19">
        <f t="shared" si="44"/>
        <v>213.53678639889776</v>
      </c>
      <c r="AK44" s="19">
        <f t="shared" si="45"/>
        <v>299.39869841688392</v>
      </c>
      <c r="AL44" s="19">
        <f t="shared" si="46"/>
        <v>5.7017761246710812</v>
      </c>
      <c r="AM44" s="19">
        <f t="shared" si="47"/>
        <v>338.20313404021169</v>
      </c>
      <c r="AN44" s="18">
        <f t="shared" si="48"/>
        <v>5.8236467032465331</v>
      </c>
      <c r="AO44" s="20">
        <v>43</v>
      </c>
      <c r="AP44" s="20">
        <f t="shared" si="49"/>
        <v>3.7612001156935624</v>
      </c>
      <c r="AQ44" s="20">
        <v>1</v>
      </c>
      <c r="AR44" s="20">
        <v>0</v>
      </c>
      <c r="AS44" s="20">
        <v>0</v>
      </c>
      <c r="AT44" s="18">
        <v>0</v>
      </c>
      <c r="AU44" s="3">
        <v>1</v>
      </c>
      <c r="AV44" s="3">
        <v>0</v>
      </c>
      <c r="AW44" s="3">
        <f t="shared" si="50"/>
        <v>3.7612001156935624</v>
      </c>
      <c r="AX44" s="3" t="s">
        <v>281</v>
      </c>
      <c r="AY44" s="3" t="s">
        <v>44</v>
      </c>
    </row>
    <row r="45" spans="1:51" ht="19.95" customHeight="1" x14ac:dyDescent="0.3">
      <c r="A45" s="3" t="s">
        <v>129</v>
      </c>
      <c r="B45" s="3" t="s">
        <v>130</v>
      </c>
      <c r="C45" s="3">
        <f>Deflators!C52</f>
        <v>954</v>
      </c>
      <c r="D45" s="3">
        <f>Deflators!D52</f>
        <v>1.4035639412997905</v>
      </c>
      <c r="E45" s="3">
        <f>Deflators!E52</f>
        <v>1042</v>
      </c>
      <c r="F45" s="3">
        <f>Deflators!F52</f>
        <v>1.4980806142034548</v>
      </c>
      <c r="G45" s="16">
        <v>54148000000</v>
      </c>
      <c r="H45" s="16">
        <v>4425900</v>
      </c>
      <c r="I45" s="17">
        <f t="shared" si="26"/>
        <v>12234.347816263358</v>
      </c>
      <c r="J45" s="17">
        <f t="shared" si="27"/>
        <v>81118069097.888672</v>
      </c>
      <c r="K45" s="17">
        <f t="shared" si="28"/>
        <v>18328.03929096651</v>
      </c>
      <c r="L45" s="18">
        <f t="shared" si="29"/>
        <v>25.11917157347207</v>
      </c>
      <c r="M45" s="18">
        <f t="shared" si="30"/>
        <v>9.8161873678983032</v>
      </c>
      <c r="N45" s="19">
        <v>207.20000001674623</v>
      </c>
      <c r="O45" s="19">
        <f t="shared" si="31"/>
        <v>290.81844866082099</v>
      </c>
      <c r="P45" s="19">
        <f t="shared" si="32"/>
        <v>5.6726991847090353</v>
      </c>
      <c r="Q45" s="19">
        <v>150.00000005369785</v>
      </c>
      <c r="R45" s="19">
        <f t="shared" si="33"/>
        <v>210.53459127033693</v>
      </c>
      <c r="S45" s="19">
        <f t="shared" si="34"/>
        <v>5.3496499686971273</v>
      </c>
      <c r="T45" s="17">
        <v>1691.5758481338778</v>
      </c>
      <c r="U45" s="17">
        <f t="shared" si="35"/>
        <v>7486745546.2557297</v>
      </c>
      <c r="V45" s="18">
        <f t="shared" si="36"/>
        <v>7.4334158279685525</v>
      </c>
      <c r="W45" s="18">
        <f t="shared" si="37"/>
        <v>22.736400033542321</v>
      </c>
      <c r="X45" s="12">
        <v>6.3</v>
      </c>
      <c r="Y45" s="12">
        <f t="shared" si="38"/>
        <v>6.3E-2</v>
      </c>
      <c r="Z45" s="18">
        <f t="shared" si="39"/>
        <v>-2.7646205525906042</v>
      </c>
      <c r="AA45" s="16">
        <v>102984049.5</v>
      </c>
      <c r="AB45" s="16">
        <v>2087229366</v>
      </c>
      <c r="AC45" s="19">
        <f t="shared" si="40"/>
        <v>49.340073102440243</v>
      </c>
      <c r="AD45" s="19">
        <f t="shared" si="41"/>
        <v>69.251947467680807</v>
      </c>
      <c r="AE45" s="19">
        <f t="shared" si="42"/>
        <v>4.2377512669490036</v>
      </c>
      <c r="AF45" s="19">
        <f t="shared" si="51"/>
        <v>67.436999431413909</v>
      </c>
      <c r="AG45" s="18">
        <f t="shared" si="43"/>
        <v>4.2111938202870265</v>
      </c>
      <c r="AH45" s="16">
        <v>220177890.80000001</v>
      </c>
      <c r="AI45" s="16">
        <v>913751876</v>
      </c>
      <c r="AJ45" s="19">
        <f t="shared" si="44"/>
        <v>240.96026129526658</v>
      </c>
      <c r="AK45" s="19">
        <f t="shared" si="45"/>
        <v>338.20313404021169</v>
      </c>
      <c r="AL45" s="19">
        <f t="shared" si="46"/>
        <v>5.8236467032465331</v>
      </c>
      <c r="AM45" s="19">
        <f t="shared" si="47"/>
        <v>339.08529871475622</v>
      </c>
      <c r="AN45" s="18">
        <f t="shared" si="48"/>
        <v>5.8262516943573921</v>
      </c>
      <c r="AO45" s="20">
        <v>44</v>
      </c>
      <c r="AP45" s="20">
        <f t="shared" si="49"/>
        <v>3.784189633918261</v>
      </c>
      <c r="AQ45" s="20">
        <v>1</v>
      </c>
      <c r="AR45" s="20">
        <v>0</v>
      </c>
      <c r="AS45" s="20">
        <v>0</v>
      </c>
      <c r="AT45" s="18">
        <v>0</v>
      </c>
      <c r="AU45" s="3">
        <v>0</v>
      </c>
      <c r="AV45" s="3">
        <v>1</v>
      </c>
      <c r="AW45" s="3">
        <f t="shared" si="50"/>
        <v>3.784189633918261</v>
      </c>
      <c r="AX45" s="3" t="s">
        <v>281</v>
      </c>
      <c r="AY45" s="3" t="s">
        <v>44</v>
      </c>
    </row>
    <row r="46" spans="1:51" ht="19.95" customHeight="1" x14ac:dyDescent="0.3">
      <c r="A46" s="3" t="s">
        <v>131</v>
      </c>
      <c r="B46" s="3" t="s">
        <v>132</v>
      </c>
      <c r="C46" s="3">
        <f>Deflators!C53</f>
        <v>958</v>
      </c>
      <c r="D46" s="3">
        <f>Deflators!D53</f>
        <v>1.3977035490605427</v>
      </c>
      <c r="E46" s="3">
        <f>Deflators!E53</f>
        <v>1057</v>
      </c>
      <c r="F46" s="3">
        <f>Deflators!F53</f>
        <v>1.4768211920529801</v>
      </c>
      <c r="G46" s="16">
        <v>55225000000</v>
      </c>
      <c r="H46" s="16">
        <v>4436000</v>
      </c>
      <c r="I46" s="17">
        <f t="shared" si="26"/>
        <v>12449.278629395852</v>
      </c>
      <c r="J46" s="17">
        <f t="shared" si="27"/>
        <v>81557450331.125824</v>
      </c>
      <c r="K46" s="17">
        <f t="shared" si="28"/>
        <v>18385.358505664073</v>
      </c>
      <c r="L46" s="18">
        <f t="shared" si="29"/>
        <v>25.124573520897787</v>
      </c>
      <c r="M46" s="18">
        <f t="shared" si="30"/>
        <v>9.8193098934453911</v>
      </c>
      <c r="N46" s="19">
        <v>210.49999997185341</v>
      </c>
      <c r="O46" s="19">
        <f t="shared" si="31"/>
        <v>294.21659703790368</v>
      </c>
      <c r="P46" s="19">
        <f t="shared" si="32"/>
        <v>5.684316220709035</v>
      </c>
      <c r="Q46" s="19">
        <v>147.70000006491139</v>
      </c>
      <c r="R46" s="19">
        <f t="shared" si="33"/>
        <v>206.44081428696904</v>
      </c>
      <c r="S46" s="19">
        <f t="shared" si="34"/>
        <v>5.3300137576971274</v>
      </c>
      <c r="T46" s="17">
        <v>1669.1066240363002</v>
      </c>
      <c r="U46" s="17">
        <f t="shared" si="35"/>
        <v>7404156984.225028</v>
      </c>
      <c r="V46" s="18">
        <f t="shared" si="36"/>
        <v>7.420043806604081</v>
      </c>
      <c r="W46" s="18">
        <f t="shared" si="37"/>
        <v>22.725307434056475</v>
      </c>
      <c r="X46" s="12">
        <v>5.8</v>
      </c>
      <c r="Y46" s="12">
        <f t="shared" si="38"/>
        <v>5.7999999999999996E-2</v>
      </c>
      <c r="Z46" s="18">
        <f t="shared" si="39"/>
        <v>-2.8473122684357177</v>
      </c>
      <c r="AA46" s="16">
        <v>99124691.349999994</v>
      </c>
      <c r="AB46" s="16">
        <v>2004260597</v>
      </c>
      <c r="AC46" s="19">
        <f t="shared" si="40"/>
        <v>49.456987528653194</v>
      </c>
      <c r="AD46" s="19">
        <f t="shared" si="41"/>
        <v>69.126206994641564</v>
      </c>
      <c r="AE46" s="19">
        <f t="shared" si="42"/>
        <v>4.2359339207336957</v>
      </c>
      <c r="AF46" s="19">
        <f t="shared" si="51"/>
        <v>69.251947467680807</v>
      </c>
      <c r="AG46" s="18">
        <f t="shared" si="43"/>
        <v>4.2377512669490036</v>
      </c>
      <c r="AH46" s="16">
        <v>210198516.19999999</v>
      </c>
      <c r="AI46" s="16">
        <v>866434532</v>
      </c>
      <c r="AJ46" s="19">
        <f t="shared" si="44"/>
        <v>242.60172977500855</v>
      </c>
      <c r="AK46" s="19">
        <f t="shared" si="45"/>
        <v>339.08529871475622</v>
      </c>
      <c r="AL46" s="19">
        <f t="shared" si="46"/>
        <v>5.8262516943573921</v>
      </c>
      <c r="AM46" s="19">
        <f t="shared" si="47"/>
        <v>338.26329891039381</v>
      </c>
      <c r="AN46" s="18">
        <f t="shared" si="48"/>
        <v>5.8238245830862718</v>
      </c>
      <c r="AO46" s="20">
        <v>45</v>
      </c>
      <c r="AP46" s="20">
        <f t="shared" si="49"/>
        <v>3.8066624897703196</v>
      </c>
      <c r="AQ46" s="20">
        <v>1</v>
      </c>
      <c r="AR46" s="20">
        <v>0</v>
      </c>
      <c r="AS46" s="20">
        <v>0</v>
      </c>
      <c r="AT46" s="18">
        <v>0</v>
      </c>
      <c r="AU46" s="3">
        <v>0</v>
      </c>
      <c r="AV46" s="3">
        <v>0</v>
      </c>
      <c r="AW46" s="3">
        <f t="shared" si="50"/>
        <v>3.8066624897703196</v>
      </c>
      <c r="AX46" s="3" t="s">
        <v>281</v>
      </c>
      <c r="AY46" s="3" t="s">
        <v>44</v>
      </c>
    </row>
    <row r="47" spans="1:51" ht="19.95" customHeight="1" x14ac:dyDescent="0.3">
      <c r="A47" s="3" t="s">
        <v>133</v>
      </c>
      <c r="B47" s="3" t="s">
        <v>134</v>
      </c>
      <c r="C47" s="3">
        <f>Deflators!C54</f>
        <v>959</v>
      </c>
      <c r="D47" s="3">
        <f>Deflators!D54</f>
        <v>1.3962460896767466</v>
      </c>
      <c r="E47" s="3">
        <f>Deflators!E54</f>
        <v>1072</v>
      </c>
      <c r="F47" s="3">
        <f>Deflators!F54</f>
        <v>1.4561567164179106</v>
      </c>
      <c r="G47" s="16">
        <v>55741000000</v>
      </c>
      <c r="H47" s="16">
        <v>4442100</v>
      </c>
      <c r="I47" s="17">
        <f t="shared" si="26"/>
        <v>12548.344251592714</v>
      </c>
      <c r="J47" s="17">
        <f t="shared" si="27"/>
        <v>81167631529.850754</v>
      </c>
      <c r="K47" s="17">
        <f t="shared" si="28"/>
        <v>18272.355761880812</v>
      </c>
      <c r="L47" s="18">
        <f t="shared" si="29"/>
        <v>25.119782378161716</v>
      </c>
      <c r="M47" s="18">
        <f t="shared" si="30"/>
        <v>9.8131445825967969</v>
      </c>
      <c r="N47" s="19">
        <v>205.09999996369038</v>
      </c>
      <c r="O47" s="19">
        <f t="shared" si="31"/>
        <v>286.37007294200356</v>
      </c>
      <c r="P47" s="19">
        <f t="shared" si="32"/>
        <v>5.6572849357090353</v>
      </c>
      <c r="Q47" s="19">
        <v>141.19999997603151</v>
      </c>
      <c r="R47" s="19">
        <f t="shared" si="33"/>
        <v>197.1499478288907</v>
      </c>
      <c r="S47" s="19">
        <f t="shared" si="34"/>
        <v>5.2839645956971273</v>
      </c>
      <c r="T47" s="17">
        <v>1653.8925437795576</v>
      </c>
      <c r="U47" s="17">
        <f t="shared" si="35"/>
        <v>7346756068.7231731</v>
      </c>
      <c r="V47" s="18">
        <f t="shared" si="36"/>
        <v>7.4108869059880051</v>
      </c>
      <c r="W47" s="18">
        <f t="shared" si="37"/>
        <v>22.717524701552925</v>
      </c>
      <c r="X47" s="12">
        <v>6</v>
      </c>
      <c r="Y47" s="12">
        <f t="shared" si="38"/>
        <v>0.06</v>
      </c>
      <c r="Z47" s="18">
        <f t="shared" si="39"/>
        <v>-2.8134107167600364</v>
      </c>
      <c r="AA47" s="16">
        <v>102339749.09999999</v>
      </c>
      <c r="AB47" s="16">
        <v>2072369167</v>
      </c>
      <c r="AC47" s="19">
        <f t="shared" si="40"/>
        <v>49.382972266543085</v>
      </c>
      <c r="AD47" s="19">
        <f t="shared" si="41"/>
        <v>68.950781923776006</v>
      </c>
      <c r="AE47" s="19">
        <f t="shared" si="42"/>
        <v>4.233392944621361</v>
      </c>
      <c r="AF47" s="19">
        <f t="shared" si="51"/>
        <v>69.126206994641564</v>
      </c>
      <c r="AG47" s="18">
        <f t="shared" si="43"/>
        <v>4.2359339207336957</v>
      </c>
      <c r="AH47" s="16">
        <v>206620714.09999999</v>
      </c>
      <c r="AI47" s="16">
        <v>852866288</v>
      </c>
      <c r="AJ47" s="19">
        <f t="shared" si="44"/>
        <v>242.26624619497213</v>
      </c>
      <c r="AK47" s="19">
        <f t="shared" si="45"/>
        <v>338.26329891039381</v>
      </c>
      <c r="AL47" s="19">
        <f t="shared" si="46"/>
        <v>5.8238245830862718</v>
      </c>
      <c r="AM47" s="19">
        <f t="shared" si="47"/>
        <v>332.88250780781226</v>
      </c>
      <c r="AN47" s="18">
        <f t="shared" si="48"/>
        <v>5.8077895983155345</v>
      </c>
      <c r="AO47" s="20">
        <v>46</v>
      </c>
      <c r="AP47" s="20">
        <f t="shared" si="49"/>
        <v>3.8286413964890951</v>
      </c>
      <c r="AQ47" s="20">
        <v>1</v>
      </c>
      <c r="AR47" s="20">
        <v>0</v>
      </c>
      <c r="AS47" s="20">
        <v>0</v>
      </c>
      <c r="AT47" s="18">
        <v>1</v>
      </c>
      <c r="AU47" s="3">
        <v>0</v>
      </c>
      <c r="AV47" s="3">
        <v>0</v>
      </c>
      <c r="AW47" s="3">
        <f t="shared" si="50"/>
        <v>3.8286413964890951</v>
      </c>
      <c r="AX47" s="3" t="s">
        <v>281</v>
      </c>
      <c r="AY47" s="3" t="s">
        <v>44</v>
      </c>
    </row>
    <row r="48" spans="1:51" ht="19.95" customHeight="1" x14ac:dyDescent="0.3">
      <c r="A48" s="3" t="s">
        <v>135</v>
      </c>
      <c r="B48" s="3" t="s">
        <v>136</v>
      </c>
      <c r="C48" s="3">
        <f>Deflators!C55</f>
        <v>968</v>
      </c>
      <c r="D48" s="3">
        <f>Deflators!D55</f>
        <v>1.3832644628099173</v>
      </c>
      <c r="E48" s="3">
        <f>Deflators!E55</f>
        <v>1097</v>
      </c>
      <c r="F48" s="3">
        <f>Deflators!F55</f>
        <v>1.4229717411121239</v>
      </c>
      <c r="G48" s="16">
        <v>57553000000</v>
      </c>
      <c r="H48" s="16">
        <v>4457900</v>
      </c>
      <c r="I48" s="17">
        <f t="shared" si="26"/>
        <v>12910.33894883241</v>
      </c>
      <c r="J48" s="17">
        <f t="shared" si="27"/>
        <v>81896292616.226059</v>
      </c>
      <c r="K48" s="17">
        <f t="shared" si="28"/>
        <v>18371.047492367721</v>
      </c>
      <c r="L48" s="18">
        <f t="shared" si="29"/>
        <v>25.128719559579697</v>
      </c>
      <c r="M48" s="18">
        <f t="shared" si="30"/>
        <v>9.8185311984870083</v>
      </c>
      <c r="N48" s="19">
        <v>216.5999999409872</v>
      </c>
      <c r="O48" s="19">
        <f t="shared" si="31"/>
        <v>299.61508256299777</v>
      </c>
      <c r="P48" s="19">
        <f t="shared" si="32"/>
        <v>5.702498592709035</v>
      </c>
      <c r="Q48" s="19">
        <v>150.59999998746085</v>
      </c>
      <c r="R48" s="19">
        <f t="shared" si="33"/>
        <v>208.3196280818286</v>
      </c>
      <c r="S48" s="19">
        <f t="shared" si="34"/>
        <v>5.3390735736971271</v>
      </c>
      <c r="T48" s="17">
        <v>1657.7712418408969</v>
      </c>
      <c r="U48" s="17">
        <f t="shared" si="35"/>
        <v>7390178419.0025339</v>
      </c>
      <c r="V48" s="18">
        <f t="shared" si="36"/>
        <v>7.4132293538244891</v>
      </c>
      <c r="W48" s="18">
        <f t="shared" si="37"/>
        <v>22.723417714917179</v>
      </c>
      <c r="X48" s="12">
        <v>5.8</v>
      </c>
      <c r="Y48" s="12">
        <f t="shared" si="38"/>
        <v>5.7999999999999996E-2</v>
      </c>
      <c r="Z48" s="18">
        <f t="shared" si="39"/>
        <v>-2.8473122684357177</v>
      </c>
      <c r="AA48" s="16">
        <v>112806761.09999999</v>
      </c>
      <c r="AB48" s="16">
        <v>2086860529</v>
      </c>
      <c r="AC48" s="19">
        <f t="shared" si="40"/>
        <v>54.055726069080293</v>
      </c>
      <c r="AD48" s="19">
        <f t="shared" si="41"/>
        <v>74.773364882746392</v>
      </c>
      <c r="AE48" s="19">
        <f t="shared" si="42"/>
        <v>4.3144617371120457</v>
      </c>
      <c r="AF48" s="19">
        <f t="shared" si="51"/>
        <v>68.950781923776006</v>
      </c>
      <c r="AG48" s="18">
        <f t="shared" si="43"/>
        <v>4.233392944621361</v>
      </c>
      <c r="AH48" s="16">
        <v>213647379.40000001</v>
      </c>
      <c r="AI48" s="16">
        <v>887793202</v>
      </c>
      <c r="AJ48" s="19">
        <f t="shared" si="44"/>
        <v>240.64993843014358</v>
      </c>
      <c r="AK48" s="19">
        <f t="shared" si="45"/>
        <v>332.88250780781226</v>
      </c>
      <c r="AL48" s="19">
        <f t="shared" si="46"/>
        <v>5.8077895983155345</v>
      </c>
      <c r="AM48" s="19">
        <f t="shared" si="47"/>
        <v>348.54885260678469</v>
      </c>
      <c r="AN48" s="18">
        <f t="shared" si="48"/>
        <v>5.8537784000227706</v>
      </c>
      <c r="AO48" s="20">
        <v>47</v>
      </c>
      <c r="AP48" s="20">
        <f t="shared" si="49"/>
        <v>3.8501476017100584</v>
      </c>
      <c r="AQ48" s="20">
        <v>1</v>
      </c>
      <c r="AR48" s="20">
        <v>0</v>
      </c>
      <c r="AS48" s="20">
        <v>0</v>
      </c>
      <c r="AT48" s="18">
        <v>0</v>
      </c>
      <c r="AU48" s="3">
        <v>1</v>
      </c>
      <c r="AV48" s="3">
        <v>0</v>
      </c>
      <c r="AW48" s="3">
        <f t="shared" si="50"/>
        <v>3.8501476017100584</v>
      </c>
      <c r="AX48" s="3" t="s">
        <v>281</v>
      </c>
      <c r="AY48" s="3" t="s">
        <v>44</v>
      </c>
    </row>
    <row r="49" spans="1:51" ht="19.95" customHeight="1" x14ac:dyDescent="0.3">
      <c r="A49" s="3" t="s">
        <v>137</v>
      </c>
      <c r="B49" s="3" t="s">
        <v>138</v>
      </c>
      <c r="C49" s="3">
        <f>Deflators!C56</f>
        <v>969</v>
      </c>
      <c r="D49" s="3">
        <f>Deflators!D56</f>
        <v>1.3818369453044375</v>
      </c>
      <c r="E49" s="3">
        <f>Deflators!E56</f>
        <v>1129</v>
      </c>
      <c r="F49" s="3">
        <f>Deflators!F56</f>
        <v>1.3826395039858281</v>
      </c>
      <c r="G49" s="16">
        <v>59579000000</v>
      </c>
      <c r="H49" s="16">
        <v>4477400</v>
      </c>
      <c r="I49" s="17">
        <f t="shared" si="26"/>
        <v>13306.606512708267</v>
      </c>
      <c r="J49" s="17">
        <f t="shared" si="27"/>
        <v>82376279007.971649</v>
      </c>
      <c r="K49" s="17">
        <f t="shared" si="28"/>
        <v>18398.23982846555</v>
      </c>
      <c r="L49" s="18">
        <f t="shared" si="29"/>
        <v>25.134563356300706</v>
      </c>
      <c r="M49" s="18">
        <f t="shared" si="30"/>
        <v>9.8200102775247871</v>
      </c>
      <c r="N49" s="19">
        <v>209.10000009912201</v>
      </c>
      <c r="O49" s="19">
        <f t="shared" si="31"/>
        <v>288.94210540012836</v>
      </c>
      <c r="P49" s="19">
        <f t="shared" si="32"/>
        <v>5.6662263407090352</v>
      </c>
      <c r="Q49" s="19">
        <v>148.90000003078623</v>
      </c>
      <c r="R49" s="19">
        <f t="shared" si="33"/>
        <v>205.75552119837229</v>
      </c>
      <c r="S49" s="19">
        <f t="shared" si="34"/>
        <v>5.3266886736971273</v>
      </c>
      <c r="T49" s="17">
        <v>1689.7569405522811</v>
      </c>
      <c r="U49" s="17">
        <f t="shared" si="35"/>
        <v>7565717725.6287832</v>
      </c>
      <c r="V49" s="18">
        <f t="shared" si="36"/>
        <v>7.4323399754153074</v>
      </c>
      <c r="W49" s="18">
        <f t="shared" si="37"/>
        <v>22.746893054191226</v>
      </c>
      <c r="X49" s="12">
        <v>5.7</v>
      </c>
      <c r="Y49" s="12">
        <f t="shared" si="38"/>
        <v>5.7000000000000002E-2</v>
      </c>
      <c r="Z49" s="18">
        <f t="shared" si="39"/>
        <v>-2.864704011147587</v>
      </c>
      <c r="AA49" s="16">
        <v>124888098</v>
      </c>
      <c r="AB49" s="16">
        <v>2297457306</v>
      </c>
      <c r="AC49" s="19">
        <f t="shared" si="40"/>
        <v>54.359268254449994</v>
      </c>
      <c r="AD49" s="19">
        <f t="shared" si="41"/>
        <v>75.115645193713661</v>
      </c>
      <c r="AE49" s="19">
        <f t="shared" si="42"/>
        <v>4.3190288618899144</v>
      </c>
      <c r="AF49" s="19">
        <f t="shared" si="51"/>
        <v>74.773364882746392</v>
      </c>
      <c r="AG49" s="18">
        <f t="shared" si="43"/>
        <v>4.3144617371120457</v>
      </c>
      <c r="AH49" s="16">
        <v>239306536.30000001</v>
      </c>
      <c r="AI49" s="16">
        <v>948741075</v>
      </c>
      <c r="AJ49" s="19">
        <f t="shared" si="44"/>
        <v>252.235876158308</v>
      </c>
      <c r="AK49" s="19">
        <f t="shared" si="45"/>
        <v>348.54885260678469</v>
      </c>
      <c r="AL49" s="19">
        <f t="shared" si="46"/>
        <v>5.8537784000227706</v>
      </c>
      <c r="AM49" s="19">
        <f t="shared" si="47"/>
        <v>349.89873712523934</v>
      </c>
      <c r="AN49" s="18">
        <f t="shared" si="48"/>
        <v>5.8576437901223146</v>
      </c>
      <c r="AO49" s="20">
        <v>48</v>
      </c>
      <c r="AP49" s="20">
        <f t="shared" si="49"/>
        <v>3.8712010109078911</v>
      </c>
      <c r="AQ49" s="20">
        <v>1</v>
      </c>
      <c r="AR49" s="20">
        <v>0</v>
      </c>
      <c r="AS49" s="20">
        <v>0</v>
      </c>
      <c r="AT49" s="18">
        <v>0</v>
      </c>
      <c r="AU49" s="3">
        <v>0</v>
      </c>
      <c r="AV49" s="3">
        <v>1</v>
      </c>
      <c r="AW49" s="3">
        <f t="shared" si="50"/>
        <v>3.8712010109078911</v>
      </c>
      <c r="AX49" s="3" t="s">
        <v>281</v>
      </c>
      <c r="AY49" s="3" t="s">
        <v>44</v>
      </c>
    </row>
    <row r="50" spans="1:51" ht="19.95" customHeight="1" x14ac:dyDescent="0.3">
      <c r="A50" s="3" t="s">
        <v>139</v>
      </c>
      <c r="B50" s="3" t="s">
        <v>140</v>
      </c>
      <c r="C50" s="3">
        <f>Deflators!C57</f>
        <v>972</v>
      </c>
      <c r="D50" s="3">
        <f>Deflators!D57</f>
        <v>1.3775720164609053</v>
      </c>
      <c r="E50" s="3">
        <f>Deflators!E57</f>
        <v>1122</v>
      </c>
      <c r="F50" s="3">
        <f>Deflators!F57</f>
        <v>1.3912655971479502</v>
      </c>
      <c r="G50" s="16">
        <v>59843000000</v>
      </c>
      <c r="H50" s="16">
        <v>4501100</v>
      </c>
      <c r="I50" s="17">
        <f t="shared" si="26"/>
        <v>13295.194508009154</v>
      </c>
      <c r="J50" s="17">
        <f t="shared" si="27"/>
        <v>83257507130.124786</v>
      </c>
      <c r="K50" s="17">
        <f t="shared" si="28"/>
        <v>18497.146726383504</v>
      </c>
      <c r="L50" s="18">
        <f t="shared" si="29"/>
        <v>25.145204137478611</v>
      </c>
      <c r="M50" s="18">
        <f t="shared" si="30"/>
        <v>9.8253717681652937</v>
      </c>
      <c r="N50" s="19">
        <v>211.1999999252765</v>
      </c>
      <c r="O50" s="19">
        <f t="shared" si="31"/>
        <v>290.94320977360621</v>
      </c>
      <c r="P50" s="19">
        <f t="shared" si="32"/>
        <v>5.6731280927090353</v>
      </c>
      <c r="Q50" s="19">
        <v>146.09999995759307</v>
      </c>
      <c r="R50" s="19">
        <f t="shared" si="33"/>
        <v>201.26327154651966</v>
      </c>
      <c r="S50" s="19">
        <f t="shared" si="34"/>
        <v>5.3046138596971275</v>
      </c>
      <c r="T50" s="17">
        <v>1663.5750910310285</v>
      </c>
      <c r="U50" s="17">
        <f t="shared" si="35"/>
        <v>7487917842.2397623</v>
      </c>
      <c r="V50" s="18">
        <f t="shared" si="36"/>
        <v>7.4167242348250841</v>
      </c>
      <c r="W50" s="18">
        <f t="shared" si="37"/>
        <v>22.7365566041384</v>
      </c>
      <c r="X50" s="12">
        <v>5.6</v>
      </c>
      <c r="Y50" s="12">
        <f t="shared" si="38"/>
        <v>5.5999999999999994E-2</v>
      </c>
      <c r="Z50" s="18">
        <f t="shared" si="39"/>
        <v>-2.8824035882469881</v>
      </c>
      <c r="AA50" s="16">
        <v>115541354.90000001</v>
      </c>
      <c r="AB50" s="16">
        <v>2124315560</v>
      </c>
      <c r="AC50" s="19">
        <f t="shared" si="40"/>
        <v>54.389920723454104</v>
      </c>
      <c r="AD50" s="19">
        <f t="shared" si="41"/>
        <v>74.926032766157448</v>
      </c>
      <c r="AE50" s="19">
        <f t="shared" si="42"/>
        <v>4.3165013971071602</v>
      </c>
      <c r="AF50" s="19">
        <f t="shared" si="51"/>
        <v>75.115645193713661</v>
      </c>
      <c r="AG50" s="18">
        <f t="shared" si="43"/>
        <v>4.3190288618899144</v>
      </c>
      <c r="AH50" s="16">
        <v>233994812.19999999</v>
      </c>
      <c r="AI50" s="16">
        <v>921251411</v>
      </c>
      <c r="AJ50" s="19">
        <f t="shared" si="44"/>
        <v>253.99669341727605</v>
      </c>
      <c r="AK50" s="19">
        <f t="shared" si="45"/>
        <v>349.89873712523934</v>
      </c>
      <c r="AL50" s="19">
        <f t="shared" si="46"/>
        <v>5.8576437901223146</v>
      </c>
      <c r="AM50" s="19">
        <f t="shared" si="47"/>
        <v>348.69896812663382</v>
      </c>
      <c r="AN50" s="18">
        <f t="shared" si="48"/>
        <v>5.8542089944762914</v>
      </c>
      <c r="AO50" s="20">
        <v>49</v>
      </c>
      <c r="AP50" s="20">
        <f t="shared" si="49"/>
        <v>3.8918202981106265</v>
      </c>
      <c r="AQ50" s="20">
        <v>1</v>
      </c>
      <c r="AR50" s="20">
        <v>0</v>
      </c>
      <c r="AS50" s="20">
        <v>0</v>
      </c>
      <c r="AT50" s="18">
        <v>0</v>
      </c>
      <c r="AU50" s="3">
        <v>0</v>
      </c>
      <c r="AV50" s="3">
        <v>0</v>
      </c>
      <c r="AW50" s="3">
        <f t="shared" si="50"/>
        <v>3.8918202981106265</v>
      </c>
      <c r="AX50" s="3" t="s">
        <v>281</v>
      </c>
      <c r="AY50" s="3" t="s">
        <v>44</v>
      </c>
    </row>
    <row r="51" spans="1:51" ht="19.95" customHeight="1" x14ac:dyDescent="0.3">
      <c r="A51" s="3" t="s">
        <v>141</v>
      </c>
      <c r="B51" s="3" t="s">
        <v>142</v>
      </c>
      <c r="C51" s="3">
        <f>Deflators!C58</f>
        <v>975</v>
      </c>
      <c r="D51" s="3">
        <f>Deflators!D58</f>
        <v>1.3733333333333333</v>
      </c>
      <c r="E51" s="3">
        <f>Deflators!E58</f>
        <v>1119</v>
      </c>
      <c r="F51" s="3">
        <f>Deflators!F58</f>
        <v>1.3949955317247542</v>
      </c>
      <c r="G51" s="16">
        <v>59983000000</v>
      </c>
      <c r="H51" s="16">
        <v>4516500</v>
      </c>
      <c r="I51" s="17">
        <f t="shared" si="26"/>
        <v>13280.85907229049</v>
      </c>
      <c r="J51" s="17">
        <f t="shared" si="27"/>
        <v>83676016979.445938</v>
      </c>
      <c r="K51" s="17">
        <f t="shared" si="28"/>
        <v>18526.739063311401</v>
      </c>
      <c r="L51" s="18">
        <f t="shared" si="29"/>
        <v>25.150218237892211</v>
      </c>
      <c r="M51" s="18">
        <f t="shared" si="30"/>
        <v>9.8269703223201788</v>
      </c>
      <c r="N51" s="19">
        <v>210.49999997753417</v>
      </c>
      <c r="O51" s="19">
        <f t="shared" si="31"/>
        <v>289.08666663581357</v>
      </c>
      <c r="P51" s="19">
        <f t="shared" si="32"/>
        <v>5.6667265277090353</v>
      </c>
      <c r="Q51" s="19">
        <v>144.2000000220558</v>
      </c>
      <c r="R51" s="19">
        <f t="shared" si="33"/>
        <v>198.03466669695663</v>
      </c>
      <c r="S51" s="19">
        <f t="shared" si="34"/>
        <v>5.2884420996971269</v>
      </c>
      <c r="T51" s="17">
        <v>1650.6412452489812</v>
      </c>
      <c r="U51" s="17">
        <f t="shared" si="35"/>
        <v>7455121184.1670237</v>
      </c>
      <c r="V51" s="18">
        <f t="shared" si="36"/>
        <v>7.4089191248804251</v>
      </c>
      <c r="W51" s="18">
        <f t="shared" si="37"/>
        <v>22.73216704045246</v>
      </c>
      <c r="X51" s="12">
        <v>5.3</v>
      </c>
      <c r="Y51" s="12">
        <f t="shared" si="38"/>
        <v>5.2999999999999999E-2</v>
      </c>
      <c r="Z51" s="18">
        <f t="shared" si="39"/>
        <v>-2.9374633654300153</v>
      </c>
      <c r="AA51" s="16">
        <v>124798029.5</v>
      </c>
      <c r="AB51" s="16">
        <v>2300956902</v>
      </c>
      <c r="AC51" s="19">
        <f t="shared" si="40"/>
        <v>54.237447642554763</v>
      </c>
      <c r="AD51" s="19">
        <f t="shared" si="41"/>
        <v>74.486094762441866</v>
      </c>
      <c r="AE51" s="19">
        <f t="shared" si="42"/>
        <v>4.3106124604807023</v>
      </c>
      <c r="AF51" s="19">
        <f t="shared" si="51"/>
        <v>74.926032766157448</v>
      </c>
      <c r="AG51" s="18">
        <f t="shared" si="43"/>
        <v>4.3165013971071602</v>
      </c>
      <c r="AH51" s="16">
        <v>225652514.09999999</v>
      </c>
      <c r="AI51" s="16">
        <v>888721068</v>
      </c>
      <c r="AJ51" s="19">
        <f t="shared" si="44"/>
        <v>253.90701562618966</v>
      </c>
      <c r="AK51" s="19">
        <f t="shared" si="45"/>
        <v>348.69896812663382</v>
      </c>
      <c r="AL51" s="19">
        <f t="shared" si="46"/>
        <v>5.8542089944762914</v>
      </c>
      <c r="AM51" s="19">
        <f t="shared" si="47"/>
        <v>330.15572382341963</v>
      </c>
      <c r="AN51" s="18">
        <f t="shared" si="48"/>
        <v>5.7995644335292766</v>
      </c>
      <c r="AO51" s="20">
        <v>50</v>
      </c>
      <c r="AP51" s="20">
        <f t="shared" si="49"/>
        <v>3.912023005428146</v>
      </c>
      <c r="AQ51" s="20">
        <v>1</v>
      </c>
      <c r="AR51" s="20">
        <v>0</v>
      </c>
      <c r="AS51" s="20">
        <v>0</v>
      </c>
      <c r="AT51" s="18">
        <v>1</v>
      </c>
      <c r="AU51" s="3">
        <v>0</v>
      </c>
      <c r="AV51" s="3">
        <v>0</v>
      </c>
      <c r="AW51" s="3">
        <f t="shared" si="50"/>
        <v>3.912023005428146</v>
      </c>
      <c r="AX51" s="3" t="s">
        <v>281</v>
      </c>
      <c r="AY51" s="3" t="s">
        <v>44</v>
      </c>
    </row>
    <row r="52" spans="1:51" ht="19.95" customHeight="1" x14ac:dyDescent="0.3">
      <c r="A52" s="3" t="s">
        <v>143</v>
      </c>
      <c r="B52" s="3" t="s">
        <v>144</v>
      </c>
      <c r="C52" s="3">
        <f>Deflators!C59</f>
        <v>978</v>
      </c>
      <c r="D52" s="3">
        <f>Deflators!D59</f>
        <v>1.369120654396728</v>
      </c>
      <c r="E52" s="3">
        <f>Deflators!E59</f>
        <v>1112</v>
      </c>
      <c r="F52" s="3">
        <f>Deflators!F59</f>
        <v>1.4037769784172662</v>
      </c>
      <c r="G52" s="16">
        <v>60330000000</v>
      </c>
      <c r="H52" s="16">
        <v>4540300</v>
      </c>
      <c r="I52" s="17">
        <f t="shared" si="26"/>
        <v>13287.668215756668</v>
      </c>
      <c r="J52" s="17">
        <f t="shared" si="27"/>
        <v>84689865107.913666</v>
      </c>
      <c r="K52" s="17">
        <f t="shared" si="28"/>
        <v>18652.922738126043</v>
      </c>
      <c r="L52" s="18">
        <f t="shared" si="29"/>
        <v>25.162261775103985</v>
      </c>
      <c r="M52" s="18">
        <f t="shared" si="30"/>
        <v>9.8337581279744413</v>
      </c>
      <c r="N52" s="19">
        <v>212.39999993307205</v>
      </c>
      <c r="O52" s="19">
        <f t="shared" si="31"/>
        <v>290.8012269022326</v>
      </c>
      <c r="P52" s="19">
        <f t="shared" si="32"/>
        <v>5.6726399647090355</v>
      </c>
      <c r="Q52" s="19">
        <v>143.30000002961231</v>
      </c>
      <c r="R52" s="19">
        <f t="shared" si="33"/>
        <v>196.19498981559394</v>
      </c>
      <c r="S52" s="19">
        <f t="shared" si="34"/>
        <v>5.2791090106971268</v>
      </c>
      <c r="T52" s="17">
        <v>1656.3183843935471</v>
      </c>
      <c r="U52" s="17">
        <f t="shared" si="35"/>
        <v>7520182360.6620226</v>
      </c>
      <c r="V52" s="18">
        <f t="shared" si="36"/>
        <v>7.4123525775726211</v>
      </c>
      <c r="W52" s="18">
        <f t="shared" si="37"/>
        <v>22.740856224702167</v>
      </c>
      <c r="X52" s="12">
        <v>5.3</v>
      </c>
      <c r="Y52" s="12">
        <f t="shared" si="38"/>
        <v>5.2999999999999999E-2</v>
      </c>
      <c r="Z52" s="18">
        <f t="shared" si="39"/>
        <v>-2.9374633654300153</v>
      </c>
      <c r="AA52" s="16">
        <v>130198610.8</v>
      </c>
      <c r="AB52" s="16">
        <v>2217355370</v>
      </c>
      <c r="AC52" s="19">
        <f t="shared" si="40"/>
        <v>58.717972121897624</v>
      </c>
      <c r="AD52" s="19">
        <f t="shared" si="41"/>
        <v>80.391988416381309</v>
      </c>
      <c r="AE52" s="19">
        <f t="shared" si="42"/>
        <v>4.3869145246574508</v>
      </c>
      <c r="AF52" s="19">
        <f t="shared" si="51"/>
        <v>74.486094762441866</v>
      </c>
      <c r="AG52" s="18">
        <f t="shared" si="43"/>
        <v>4.3106124604807023</v>
      </c>
      <c r="AH52" s="16">
        <v>226288909.5</v>
      </c>
      <c r="AI52" s="16">
        <v>938396028</v>
      </c>
      <c r="AJ52" s="19">
        <f t="shared" si="44"/>
        <v>241.14435989492489</v>
      </c>
      <c r="AK52" s="19">
        <f t="shared" si="45"/>
        <v>330.15572382341963</v>
      </c>
      <c r="AL52" s="19">
        <f t="shared" si="46"/>
        <v>5.7995644335292766</v>
      </c>
      <c r="AM52" s="19">
        <f t="shared" si="47"/>
        <v>353.45335930967798</v>
      </c>
      <c r="AN52" s="18">
        <f t="shared" si="48"/>
        <v>5.8677515369137918</v>
      </c>
      <c r="AO52" s="20">
        <v>51</v>
      </c>
      <c r="AP52" s="20">
        <f t="shared" si="49"/>
        <v>3.9318256327243257</v>
      </c>
      <c r="AQ52" s="20">
        <v>1</v>
      </c>
      <c r="AR52" s="20">
        <v>0</v>
      </c>
      <c r="AS52" s="20">
        <v>0</v>
      </c>
      <c r="AT52" s="18">
        <v>0</v>
      </c>
      <c r="AU52" s="3">
        <v>1</v>
      </c>
      <c r="AV52" s="3">
        <v>0</v>
      </c>
      <c r="AW52" s="3">
        <f t="shared" si="50"/>
        <v>3.9318256327243257</v>
      </c>
      <c r="AX52" s="3" t="s">
        <v>281</v>
      </c>
      <c r="AY52" s="3" t="s">
        <v>44</v>
      </c>
    </row>
    <row r="53" spans="1:51" ht="19.95" customHeight="1" x14ac:dyDescent="0.3">
      <c r="A53" s="3" t="s">
        <v>145</v>
      </c>
      <c r="B53" s="3" t="s">
        <v>146</v>
      </c>
      <c r="C53" s="3">
        <f>Deflators!C60</f>
        <v>976</v>
      </c>
      <c r="D53" s="3">
        <f>Deflators!D60</f>
        <v>1.3719262295081966</v>
      </c>
      <c r="E53" s="3">
        <f>Deflators!E60</f>
        <v>1106</v>
      </c>
      <c r="F53" s="3">
        <f>Deflators!F60</f>
        <v>1.4113924050632911</v>
      </c>
      <c r="G53" s="16">
        <v>60828000000</v>
      </c>
      <c r="H53" s="16">
        <v>4564400</v>
      </c>
      <c r="I53" s="17">
        <f t="shared" si="26"/>
        <v>13326.614670055209</v>
      </c>
      <c r="J53" s="17">
        <f t="shared" si="27"/>
        <v>85852177215.189865</v>
      </c>
      <c r="K53" s="17">
        <f t="shared" si="28"/>
        <v>18809.08273052096</v>
      </c>
      <c r="L53" s="18">
        <f t="shared" si="29"/>
        <v>25.175892784657776</v>
      </c>
      <c r="M53" s="18">
        <f t="shared" si="30"/>
        <v>9.8420951561151142</v>
      </c>
      <c r="N53" s="19">
        <v>200.40000004413727</v>
      </c>
      <c r="O53" s="19">
        <f t="shared" si="31"/>
        <v>274.9340164539957</v>
      </c>
      <c r="P53" s="19">
        <f t="shared" si="32"/>
        <v>5.6165311287090356</v>
      </c>
      <c r="Q53" s="19">
        <v>132.30000003944352</v>
      </c>
      <c r="R53" s="19">
        <f t="shared" si="33"/>
        <v>181.50584021804801</v>
      </c>
      <c r="S53" s="19">
        <f t="shared" si="34"/>
        <v>5.2012878306971269</v>
      </c>
      <c r="T53" s="17">
        <v>1686.1617935287663</v>
      </c>
      <c r="U53" s="17">
        <f t="shared" si="35"/>
        <v>7696316890.3827009</v>
      </c>
      <c r="V53" s="18">
        <f t="shared" si="36"/>
        <v>7.4302100969047258</v>
      </c>
      <c r="W53" s="18">
        <f t="shared" si="37"/>
        <v>22.764007725447389</v>
      </c>
      <c r="X53" s="12">
        <v>5.5</v>
      </c>
      <c r="Y53" s="12">
        <f t="shared" si="38"/>
        <v>5.5E-2</v>
      </c>
      <c r="Z53" s="18">
        <f t="shared" si="39"/>
        <v>-2.9004220937496661</v>
      </c>
      <c r="AA53" s="16">
        <v>141826999.90000001</v>
      </c>
      <c r="AB53" s="16">
        <v>2393327196</v>
      </c>
      <c r="AC53" s="19">
        <f t="shared" si="40"/>
        <v>59.259344120201114</v>
      </c>
      <c r="AD53" s="19">
        <f t="shared" si="41"/>
        <v>81.299448541956238</v>
      </c>
      <c r="AE53" s="19">
        <f t="shared" si="42"/>
        <v>4.3981392335289922</v>
      </c>
      <c r="AF53" s="19">
        <f t="shared" si="51"/>
        <v>80.391988416381309</v>
      </c>
      <c r="AG53" s="18">
        <f t="shared" si="43"/>
        <v>4.3869145246574508</v>
      </c>
      <c r="AH53" s="16">
        <v>247315930.80000001</v>
      </c>
      <c r="AI53" s="16">
        <v>959954697</v>
      </c>
      <c r="AJ53" s="19">
        <f t="shared" si="44"/>
        <v>257.63291910847329</v>
      </c>
      <c r="AK53" s="19">
        <f t="shared" si="45"/>
        <v>353.45335930967798</v>
      </c>
      <c r="AL53" s="19">
        <f t="shared" si="46"/>
        <v>5.8677515369137918</v>
      </c>
      <c r="AM53" s="19">
        <f t="shared" si="47"/>
        <v>355.47184961341003</v>
      </c>
      <c r="AN53" s="18">
        <f t="shared" si="48"/>
        <v>5.8734460607729782</v>
      </c>
      <c r="AO53" s="20">
        <v>52</v>
      </c>
      <c r="AP53" s="20">
        <f t="shared" si="49"/>
        <v>3.9512437185814275</v>
      </c>
      <c r="AQ53" s="20">
        <v>1</v>
      </c>
      <c r="AR53" s="20">
        <v>0</v>
      </c>
      <c r="AS53" s="20">
        <v>0</v>
      </c>
      <c r="AT53" s="18">
        <v>0</v>
      </c>
      <c r="AU53" s="3">
        <v>0</v>
      </c>
      <c r="AV53" s="3">
        <v>1</v>
      </c>
      <c r="AW53" s="3">
        <f t="shared" si="50"/>
        <v>3.9512437185814275</v>
      </c>
      <c r="AX53" s="3" t="s">
        <v>281</v>
      </c>
      <c r="AY53" s="3" t="s">
        <v>44</v>
      </c>
    </row>
    <row r="54" spans="1:51" ht="19.95" customHeight="1" x14ac:dyDescent="0.3">
      <c r="A54" s="3" t="s">
        <v>147</v>
      </c>
      <c r="B54" s="3" t="s">
        <v>148</v>
      </c>
      <c r="C54" s="3">
        <f>Deflators!C61</f>
        <v>975</v>
      </c>
      <c r="D54" s="3">
        <f>Deflators!D61</f>
        <v>1.3733333333333333</v>
      </c>
      <c r="E54" s="3">
        <f>Deflators!E61</f>
        <v>1113</v>
      </c>
      <c r="F54" s="3">
        <f>Deflators!F61</f>
        <v>1.4025157232704402</v>
      </c>
      <c r="G54" s="16">
        <v>61674000000</v>
      </c>
      <c r="H54" s="16">
        <v>4591900</v>
      </c>
      <c r="I54" s="17">
        <f t="shared" si="26"/>
        <v>13431.041616759947</v>
      </c>
      <c r="J54" s="17">
        <f t="shared" si="27"/>
        <v>86498754716.981125</v>
      </c>
      <c r="K54" s="17">
        <f t="shared" si="28"/>
        <v>18837.247047405457</v>
      </c>
      <c r="L54" s="18">
        <f t="shared" si="29"/>
        <v>25.183395854445138</v>
      </c>
      <c r="M54" s="18">
        <f t="shared" si="30"/>
        <v>9.8435914147042052</v>
      </c>
      <c r="N54" s="19">
        <v>178.80000004940177</v>
      </c>
      <c r="O54" s="19">
        <f t="shared" si="31"/>
        <v>245.55200006784509</v>
      </c>
      <c r="P54" s="19">
        <f t="shared" si="32"/>
        <v>5.5035087377090353</v>
      </c>
      <c r="Q54" s="19">
        <v>109.79999999213517</v>
      </c>
      <c r="R54" s="19">
        <f t="shared" si="33"/>
        <v>150.79199998919896</v>
      </c>
      <c r="S54" s="19">
        <f t="shared" si="34"/>
        <v>5.0159014036971268</v>
      </c>
      <c r="T54" s="17">
        <v>1666.9199328413833</v>
      </c>
      <c r="U54" s="17">
        <f t="shared" si="35"/>
        <v>7654329639.6143484</v>
      </c>
      <c r="V54" s="18">
        <f t="shared" si="36"/>
        <v>7.4187328509082517</v>
      </c>
      <c r="W54" s="18">
        <f t="shared" si="37"/>
        <v>22.758537290649183</v>
      </c>
      <c r="X54" s="12">
        <v>5.5</v>
      </c>
      <c r="Y54" s="12">
        <f t="shared" si="38"/>
        <v>5.5E-2</v>
      </c>
      <c r="Z54" s="18">
        <f t="shared" si="39"/>
        <v>-2.9004220937496661</v>
      </c>
      <c r="AA54" s="16">
        <v>134424063.30000001</v>
      </c>
      <c r="AB54" s="16">
        <v>2266893548</v>
      </c>
      <c r="AC54" s="19">
        <f t="shared" si="40"/>
        <v>59.298798313047214</v>
      </c>
      <c r="AD54" s="19">
        <f t="shared" si="41"/>
        <v>81.437016349918167</v>
      </c>
      <c r="AE54" s="19">
        <f t="shared" si="42"/>
        <v>4.3998299159562162</v>
      </c>
      <c r="AF54" s="19">
        <f t="shared" si="51"/>
        <v>81.299448541956238</v>
      </c>
      <c r="AG54" s="18">
        <f t="shared" si="43"/>
        <v>4.3981392335289922</v>
      </c>
      <c r="AH54" s="16">
        <v>240557385</v>
      </c>
      <c r="AI54" s="16">
        <v>929371695</v>
      </c>
      <c r="AJ54" s="19">
        <f t="shared" si="44"/>
        <v>258.8387254466578</v>
      </c>
      <c r="AK54" s="19">
        <f t="shared" si="45"/>
        <v>355.47184961341003</v>
      </c>
      <c r="AL54" s="19">
        <f t="shared" si="46"/>
        <v>5.8734460607729782</v>
      </c>
      <c r="AM54" s="19">
        <f t="shared" si="47"/>
        <v>353.89628446265482</v>
      </c>
      <c r="AN54" s="18">
        <f t="shared" si="48"/>
        <v>5.8690038884623252</v>
      </c>
      <c r="AO54" s="20">
        <v>53</v>
      </c>
      <c r="AP54" s="20">
        <f t="shared" si="49"/>
        <v>3.970291913552122</v>
      </c>
      <c r="AQ54" s="20">
        <v>1</v>
      </c>
      <c r="AR54" s="20">
        <v>0</v>
      </c>
      <c r="AS54" s="20">
        <v>0</v>
      </c>
      <c r="AT54" s="18">
        <v>0</v>
      </c>
      <c r="AU54" s="3">
        <v>0</v>
      </c>
      <c r="AV54" s="3">
        <v>0</v>
      </c>
      <c r="AW54" s="3">
        <f t="shared" si="50"/>
        <v>3.970291913552122</v>
      </c>
      <c r="AX54" s="3" t="s">
        <v>281</v>
      </c>
      <c r="AY54" s="3" t="s">
        <v>44</v>
      </c>
    </row>
    <row r="55" spans="1:51" ht="19.95" customHeight="1" x14ac:dyDescent="0.3">
      <c r="A55" s="3" t="s">
        <v>149</v>
      </c>
      <c r="B55" s="3" t="s">
        <v>150</v>
      </c>
      <c r="C55" s="3">
        <f>Deflators!C62</f>
        <v>979</v>
      </c>
      <c r="D55" s="3">
        <f>Deflators!D62</f>
        <v>1.3677221654749745</v>
      </c>
      <c r="E55" s="3">
        <f>Deflators!E62</f>
        <v>1126</v>
      </c>
      <c r="F55" s="3">
        <f>Deflators!F62</f>
        <v>1.3863232682060391</v>
      </c>
      <c r="G55" s="16">
        <v>62935000000</v>
      </c>
      <c r="H55" s="16">
        <v>4609400</v>
      </c>
      <c r="I55" s="17">
        <f t="shared" si="26"/>
        <v>13653.62086171736</v>
      </c>
      <c r="J55" s="17">
        <f t="shared" si="27"/>
        <v>87248254884.547073</v>
      </c>
      <c r="K55" s="17">
        <f t="shared" si="28"/>
        <v>18928.332295862168</v>
      </c>
      <c r="L55" s="18">
        <f t="shared" si="29"/>
        <v>25.192023396505675</v>
      </c>
      <c r="M55" s="18">
        <f t="shared" si="30"/>
        <v>9.8484151418471484</v>
      </c>
      <c r="N55" s="19">
        <v>194.59999996039289</v>
      </c>
      <c r="O55" s="19">
        <f t="shared" si="31"/>
        <v>266.15873334725853</v>
      </c>
      <c r="P55" s="19">
        <f t="shared" si="32"/>
        <v>5.5840928727090358</v>
      </c>
      <c r="Q55" s="19">
        <v>121.60000000053482</v>
      </c>
      <c r="R55" s="19">
        <f t="shared" si="33"/>
        <v>166.31501532248839</v>
      </c>
      <c r="S55" s="19">
        <f t="shared" si="34"/>
        <v>5.1138836726971268</v>
      </c>
      <c r="T55" s="17">
        <v>1666.6828675687345</v>
      </c>
      <c r="U55" s="17">
        <f t="shared" si="35"/>
        <v>7682408009.7713251</v>
      </c>
      <c r="V55" s="18">
        <f t="shared" si="36"/>
        <v>7.4185906232421246</v>
      </c>
      <c r="W55" s="18">
        <f t="shared" si="37"/>
        <v>22.762198877900651</v>
      </c>
      <c r="X55" s="12">
        <v>5.5</v>
      </c>
      <c r="Y55" s="12">
        <f t="shared" si="38"/>
        <v>5.5E-2</v>
      </c>
      <c r="Z55" s="18">
        <f t="shared" si="39"/>
        <v>-2.9004220937496661</v>
      </c>
      <c r="AA55" s="16">
        <v>135545087</v>
      </c>
      <c r="AB55" s="16">
        <v>2289906930</v>
      </c>
      <c r="AC55" s="19">
        <f t="shared" si="40"/>
        <v>59.192400016012876</v>
      </c>
      <c r="AD55" s="19">
        <f t="shared" si="41"/>
        <v>80.95875752956205</v>
      </c>
      <c r="AE55" s="19">
        <f t="shared" si="42"/>
        <v>4.3939398587015566</v>
      </c>
      <c r="AF55" s="19">
        <f t="shared" si="51"/>
        <v>81.437016349918167</v>
      </c>
      <c r="AG55" s="18">
        <f t="shared" si="43"/>
        <v>4.3998299159562162</v>
      </c>
      <c r="AH55" s="16">
        <v>225388517.40000001</v>
      </c>
      <c r="AI55" s="16">
        <v>871071228</v>
      </c>
      <c r="AJ55" s="19">
        <f t="shared" si="44"/>
        <v>258.74866504028307</v>
      </c>
      <c r="AK55" s="19">
        <f t="shared" si="45"/>
        <v>353.89628446265482</v>
      </c>
      <c r="AL55" s="19">
        <f t="shared" si="46"/>
        <v>5.8690038884623252</v>
      </c>
      <c r="AM55" s="19">
        <f t="shared" si="47"/>
        <v>345.74313872358255</v>
      </c>
      <c r="AN55" s="18">
        <f t="shared" si="48"/>
        <v>5.8456961257307007</v>
      </c>
      <c r="AO55" s="20">
        <v>54</v>
      </c>
      <c r="AP55" s="20">
        <f t="shared" si="49"/>
        <v>3.9889840465642745</v>
      </c>
      <c r="AQ55" s="20">
        <v>1</v>
      </c>
      <c r="AR55" s="20">
        <v>0</v>
      </c>
      <c r="AS55" s="20">
        <v>0</v>
      </c>
      <c r="AT55" s="18">
        <v>1</v>
      </c>
      <c r="AU55" s="3">
        <v>0</v>
      </c>
      <c r="AV55" s="3">
        <v>0</v>
      </c>
      <c r="AW55" s="3">
        <f t="shared" si="50"/>
        <v>3.9889840465642745</v>
      </c>
      <c r="AX55" s="3" t="s">
        <v>281</v>
      </c>
      <c r="AY55" s="3" t="s">
        <v>44</v>
      </c>
    </row>
    <row r="56" spans="1:51" ht="19.95" customHeight="1" x14ac:dyDescent="0.3">
      <c r="A56" s="3" t="s">
        <v>151</v>
      </c>
      <c r="B56" s="3" t="s">
        <v>152</v>
      </c>
      <c r="C56" s="3">
        <f>Deflators!C63</f>
        <v>982</v>
      </c>
      <c r="D56" s="3">
        <f>Deflators!D63</f>
        <v>1.3635437881873727</v>
      </c>
      <c r="E56" s="3">
        <f>Deflators!E63</f>
        <v>1122</v>
      </c>
      <c r="F56" s="3">
        <f>Deflators!F63</f>
        <v>1.3912655971479502</v>
      </c>
      <c r="G56" s="16">
        <v>63542000000</v>
      </c>
      <c r="H56" s="16">
        <v>4636300</v>
      </c>
      <c r="I56" s="17">
        <f t="shared" si="26"/>
        <v>13705.325367210922</v>
      </c>
      <c r="J56" s="17">
        <f t="shared" si="27"/>
        <v>88403798573.975052</v>
      </c>
      <c r="K56" s="17">
        <f t="shared" si="28"/>
        <v>19067.747681119654</v>
      </c>
      <c r="L56" s="18">
        <f t="shared" si="29"/>
        <v>25.205180775960649</v>
      </c>
      <c r="M56" s="18">
        <f t="shared" si="30"/>
        <v>9.8557535836548098</v>
      </c>
      <c r="N56" s="19">
        <v>197.89999995325775</v>
      </c>
      <c r="O56" s="19">
        <f t="shared" si="31"/>
        <v>269.84531561854595</v>
      </c>
      <c r="P56" s="19">
        <f t="shared" si="32"/>
        <v>5.5978488897090353</v>
      </c>
      <c r="Q56" s="19">
        <v>118.80000005130685</v>
      </c>
      <c r="R56" s="19">
        <f t="shared" si="33"/>
        <v>161.98900210661901</v>
      </c>
      <c r="S56" s="19">
        <f t="shared" si="34"/>
        <v>5.087528444697127</v>
      </c>
      <c r="T56" s="17">
        <v>1677.2011820521823</v>
      </c>
      <c r="U56" s="17">
        <f t="shared" si="35"/>
        <v>7776007840.3485327</v>
      </c>
      <c r="V56" s="18">
        <f t="shared" si="36"/>
        <v>7.4248817200734774</v>
      </c>
      <c r="W56" s="18">
        <f t="shared" si="37"/>
        <v>22.774308912379315</v>
      </c>
      <c r="X56" s="12">
        <v>5.7</v>
      </c>
      <c r="Y56" s="12">
        <f t="shared" si="38"/>
        <v>5.7000000000000002E-2</v>
      </c>
      <c r="Z56" s="18">
        <f t="shared" si="39"/>
        <v>-2.864704011147587</v>
      </c>
      <c r="AA56" s="16">
        <v>145757092.90000001</v>
      </c>
      <c r="AB56" s="16">
        <v>2322193508</v>
      </c>
      <c r="AC56" s="19">
        <f t="shared" si="40"/>
        <v>62.766988365898058</v>
      </c>
      <c r="AD56" s="19">
        <f t="shared" si="41"/>
        <v>85.585537089549391</v>
      </c>
      <c r="AE56" s="19">
        <f t="shared" si="42"/>
        <v>4.4495163096382413</v>
      </c>
      <c r="AF56" s="19">
        <f t="shared" si="51"/>
        <v>80.95875752956205</v>
      </c>
      <c r="AG56" s="18">
        <f t="shared" si="43"/>
        <v>4.3939398587015566</v>
      </c>
      <c r="AH56" s="16">
        <v>238650824.09999999</v>
      </c>
      <c r="AI56" s="16">
        <v>941192499</v>
      </c>
      <c r="AJ56" s="19">
        <f t="shared" si="44"/>
        <v>253.56218239474089</v>
      </c>
      <c r="AK56" s="19">
        <f t="shared" si="45"/>
        <v>345.74313872358255</v>
      </c>
      <c r="AL56" s="19">
        <f t="shared" si="46"/>
        <v>5.8456961257307007</v>
      </c>
      <c r="AM56" s="19">
        <f t="shared" si="47"/>
        <v>367.31888174033509</v>
      </c>
      <c r="AN56" s="18">
        <f t="shared" si="48"/>
        <v>5.9062303583661233</v>
      </c>
      <c r="AO56" s="20">
        <v>55</v>
      </c>
      <c r="AP56" s="20">
        <f t="shared" si="49"/>
        <v>4.0073331852324712</v>
      </c>
      <c r="AQ56" s="20">
        <v>1</v>
      </c>
      <c r="AR56" s="20">
        <v>0</v>
      </c>
      <c r="AS56" s="20">
        <v>0</v>
      </c>
      <c r="AT56" s="18">
        <v>0</v>
      </c>
      <c r="AU56" s="3">
        <v>1</v>
      </c>
      <c r="AV56" s="3">
        <v>0</v>
      </c>
      <c r="AW56" s="3">
        <f t="shared" si="50"/>
        <v>4.0073331852324712</v>
      </c>
      <c r="AX56" s="3" t="s">
        <v>281</v>
      </c>
      <c r="AY56" s="3" t="s">
        <v>44</v>
      </c>
    </row>
    <row r="57" spans="1:51" ht="19.95" customHeight="1" x14ac:dyDescent="0.3">
      <c r="A57" s="3" t="s">
        <v>153</v>
      </c>
      <c r="B57" s="3" t="s">
        <v>154</v>
      </c>
      <c r="C57" s="3">
        <f>Deflators!C64</f>
        <v>977</v>
      </c>
      <c r="D57" s="3">
        <f>Deflators!D64</f>
        <v>1.3705220061412486</v>
      </c>
      <c r="E57" s="3">
        <f>Deflators!E64</f>
        <v>1114</v>
      </c>
      <c r="F57" s="3">
        <f>Deflators!F64</f>
        <v>1.4012567324955116</v>
      </c>
      <c r="G57" s="16">
        <v>63719000000</v>
      </c>
      <c r="H57" s="16">
        <v>4663700</v>
      </c>
      <c r="I57" s="17">
        <f t="shared" si="26"/>
        <v>13662.757038402984</v>
      </c>
      <c r="J57" s="17">
        <f t="shared" si="27"/>
        <v>89286677737.8815</v>
      </c>
      <c r="K57" s="17">
        <f t="shared" si="28"/>
        <v>19145.030284512617</v>
      </c>
      <c r="L57" s="18">
        <f t="shared" si="29"/>
        <v>25.215118128233552</v>
      </c>
      <c r="M57" s="18">
        <f t="shared" si="30"/>
        <v>9.85979844575985</v>
      </c>
      <c r="N57" s="19">
        <v>183.49999992036476</v>
      </c>
      <c r="O57" s="19">
        <f t="shared" si="31"/>
        <v>251.49078801777728</v>
      </c>
      <c r="P57" s="19">
        <f t="shared" si="32"/>
        <v>5.5274063607090351</v>
      </c>
      <c r="Q57" s="19">
        <v>108.19999996065376</v>
      </c>
      <c r="R57" s="19">
        <f t="shared" si="33"/>
        <v>148.29048101055821</v>
      </c>
      <c r="S57" s="19">
        <f t="shared" si="34"/>
        <v>4.9991730596971271</v>
      </c>
      <c r="T57" s="17">
        <v>1707.2822797111921</v>
      </c>
      <c r="U57" s="17">
        <f t="shared" si="35"/>
        <v>7962252367.8890867</v>
      </c>
      <c r="V57" s="18">
        <f t="shared" si="36"/>
        <v>7.442658075093231</v>
      </c>
      <c r="W57" s="18">
        <f t="shared" si="37"/>
        <v>22.797977757566937</v>
      </c>
      <c r="X57" s="12">
        <v>5</v>
      </c>
      <c r="Y57" s="12">
        <f t="shared" si="38"/>
        <v>0.05</v>
      </c>
      <c r="Z57" s="18">
        <f t="shared" si="39"/>
        <v>-2.9957322735539909</v>
      </c>
      <c r="AA57" s="16">
        <v>156130163.59999999</v>
      </c>
      <c r="AB57" s="16">
        <v>2471088077</v>
      </c>
      <c r="AC57" s="19">
        <f t="shared" si="40"/>
        <v>63.182759470697732</v>
      </c>
      <c r="AD57" s="19">
        <f t="shared" si="41"/>
        <v>86.593362263320628</v>
      </c>
      <c r="AE57" s="19">
        <f t="shared" si="42"/>
        <v>4.4612231644012095</v>
      </c>
      <c r="AF57" s="19">
        <f t="shared" si="51"/>
        <v>85.585537089549391</v>
      </c>
      <c r="AG57" s="18">
        <f t="shared" si="43"/>
        <v>4.4495163096382413</v>
      </c>
      <c r="AH57" s="16">
        <v>255214458.40000001</v>
      </c>
      <c r="AI57" s="16">
        <v>952243538</v>
      </c>
      <c r="AJ57" s="19">
        <f t="shared" si="44"/>
        <v>268.01385172539761</v>
      </c>
      <c r="AK57" s="19">
        <f t="shared" si="45"/>
        <v>367.31888174033509</v>
      </c>
      <c r="AL57" s="19">
        <f t="shared" si="46"/>
        <v>5.9062303583661233</v>
      </c>
      <c r="AM57" s="19">
        <f t="shared" si="47"/>
        <v>368.15049835574712</v>
      </c>
      <c r="AN57" s="18">
        <f t="shared" si="48"/>
        <v>5.9084918174896135</v>
      </c>
      <c r="AO57" s="20">
        <v>56</v>
      </c>
      <c r="AP57" s="20">
        <f t="shared" si="49"/>
        <v>4.0253516907351496</v>
      </c>
      <c r="AQ57" s="20">
        <v>1</v>
      </c>
      <c r="AR57" s="20">
        <v>0</v>
      </c>
      <c r="AS57" s="20">
        <v>0</v>
      </c>
      <c r="AT57" s="18">
        <v>0</v>
      </c>
      <c r="AU57" s="3">
        <v>0</v>
      </c>
      <c r="AV57" s="3">
        <v>1</v>
      </c>
      <c r="AW57" s="3">
        <f t="shared" si="50"/>
        <v>4.0253516907351496</v>
      </c>
      <c r="AX57" s="3" t="s">
        <v>281</v>
      </c>
      <c r="AY57" s="3" t="s">
        <v>44</v>
      </c>
    </row>
    <row r="58" spans="1:51" ht="19.95" customHeight="1" x14ac:dyDescent="0.3">
      <c r="A58" s="3" t="s">
        <v>155</v>
      </c>
      <c r="B58" s="3" t="s">
        <v>156</v>
      </c>
      <c r="C58" s="3">
        <f>Deflators!C65</f>
        <v>979</v>
      </c>
      <c r="D58" s="3">
        <f>Deflators!D65</f>
        <v>1.3677221654749745</v>
      </c>
      <c r="E58" s="3">
        <f>Deflators!E65</f>
        <v>1130</v>
      </c>
      <c r="F58" s="3">
        <f>Deflators!F65</f>
        <v>1.3814159292035397</v>
      </c>
      <c r="G58" s="16">
        <v>65293000000</v>
      </c>
      <c r="H58" s="16">
        <v>4695000</v>
      </c>
      <c r="I58" s="17">
        <f t="shared" si="26"/>
        <v>13906.92225772098</v>
      </c>
      <c r="J58" s="17">
        <f t="shared" si="27"/>
        <v>90196790265.486725</v>
      </c>
      <c r="K58" s="17">
        <f t="shared" si="28"/>
        <v>19211.243933011017</v>
      </c>
      <c r="L58" s="18">
        <f t="shared" si="29"/>
        <v>25.225259678742002</v>
      </c>
      <c r="M58" s="18">
        <f t="shared" si="30"/>
        <v>9.8632510081175031</v>
      </c>
      <c r="N58" s="19">
        <v>168.99999993667564</v>
      </c>
      <c r="O58" s="19">
        <f t="shared" si="31"/>
        <v>231.14504587866054</v>
      </c>
      <c r="P58" s="19">
        <f t="shared" si="32"/>
        <v>5.443045417709035</v>
      </c>
      <c r="Q58" s="19">
        <v>88.999999982584939</v>
      </c>
      <c r="R58" s="19">
        <f t="shared" si="33"/>
        <v>121.72727270345376</v>
      </c>
      <c r="S58" s="19">
        <f t="shared" si="34"/>
        <v>4.8017830726971269</v>
      </c>
      <c r="T58" s="17">
        <v>1705.794990531884</v>
      </c>
      <c r="U58" s="17">
        <f t="shared" si="35"/>
        <v>8008707480.5471954</v>
      </c>
      <c r="V58" s="18">
        <f t="shared" si="36"/>
        <v>7.4417865511541663</v>
      </c>
      <c r="W58" s="18">
        <f t="shared" si="37"/>
        <v>22.803795221778667</v>
      </c>
      <c r="X58" s="12">
        <v>5.3</v>
      </c>
      <c r="Y58" s="12">
        <f t="shared" si="38"/>
        <v>5.2999999999999999E-2</v>
      </c>
      <c r="Z58" s="18">
        <f t="shared" si="39"/>
        <v>-2.9374633654300153</v>
      </c>
      <c r="AA58" s="16">
        <v>152201823.80000001</v>
      </c>
      <c r="AB58" s="16">
        <v>2410306986</v>
      </c>
      <c r="AC58" s="19">
        <f t="shared" si="40"/>
        <v>63.146240161127757</v>
      </c>
      <c r="AD58" s="19">
        <f t="shared" si="41"/>
        <v>86.366512334780452</v>
      </c>
      <c r="AE58" s="19">
        <f t="shared" si="42"/>
        <v>4.4586000119602698</v>
      </c>
      <c r="AF58" s="19">
        <f t="shared" si="51"/>
        <v>86.593362263320628</v>
      </c>
      <c r="AG58" s="18">
        <f t="shared" si="43"/>
        <v>4.4612231644012095</v>
      </c>
      <c r="AH58" s="16">
        <v>247670537</v>
      </c>
      <c r="AI58" s="16">
        <v>920125016</v>
      </c>
      <c r="AJ58" s="19">
        <f t="shared" si="44"/>
        <v>269.17052867085619</v>
      </c>
      <c r="AK58" s="19">
        <f t="shared" si="45"/>
        <v>368.15049835574712</v>
      </c>
      <c r="AL58" s="19">
        <f t="shared" si="46"/>
        <v>5.9084918174896135</v>
      </c>
      <c r="AM58" s="19">
        <f t="shared" si="47"/>
        <v>367.85173747719313</v>
      </c>
      <c r="AN58" s="18">
        <f t="shared" si="48"/>
        <v>5.9076799696978055</v>
      </c>
      <c r="AO58" s="20">
        <v>57</v>
      </c>
      <c r="AP58" s="20">
        <f t="shared" si="49"/>
        <v>4.0430512678345503</v>
      </c>
      <c r="AQ58" s="20">
        <v>1</v>
      </c>
      <c r="AR58" s="20">
        <v>0</v>
      </c>
      <c r="AS58" s="20">
        <v>0</v>
      </c>
      <c r="AT58" s="18">
        <v>0</v>
      </c>
      <c r="AU58" s="3">
        <v>0</v>
      </c>
      <c r="AV58" s="3">
        <v>0</v>
      </c>
      <c r="AW58" s="3">
        <f t="shared" si="50"/>
        <v>4.0430512678345503</v>
      </c>
      <c r="AX58" s="3" t="s">
        <v>281</v>
      </c>
      <c r="AY58" s="3" t="s">
        <v>44</v>
      </c>
    </row>
    <row r="59" spans="1:51" ht="19.95" customHeight="1" x14ac:dyDescent="0.3">
      <c r="A59" s="3" t="s">
        <v>157</v>
      </c>
      <c r="B59" s="3" t="s">
        <v>158</v>
      </c>
      <c r="C59" s="3">
        <f>Deflators!C66</f>
        <v>983</v>
      </c>
      <c r="D59" s="3">
        <f>Deflators!D66</f>
        <v>1.3621566632756867</v>
      </c>
      <c r="E59" s="3">
        <f>Deflators!E66</f>
        <v>1134</v>
      </c>
      <c r="F59" s="3">
        <f>Deflators!F66</f>
        <v>1.3765432098765431</v>
      </c>
      <c r="G59" s="16">
        <v>66273000000</v>
      </c>
      <c r="H59" s="16">
        <v>4714100</v>
      </c>
      <c r="I59" s="17">
        <f t="shared" si="26"/>
        <v>14058.462909144906</v>
      </c>
      <c r="J59" s="17">
        <f t="shared" si="27"/>
        <v>91227648148.148148</v>
      </c>
      <c r="K59" s="17">
        <f t="shared" si="28"/>
        <v>19352.081658884654</v>
      </c>
      <c r="L59" s="18">
        <f t="shared" si="29"/>
        <v>25.236623847602303</v>
      </c>
      <c r="M59" s="18">
        <f t="shared" si="30"/>
        <v>9.8705552719422176</v>
      </c>
      <c r="N59" s="19">
        <v>178.09999997674248</v>
      </c>
      <c r="O59" s="19">
        <f t="shared" si="31"/>
        <v>242.60010169771942</v>
      </c>
      <c r="P59" s="19">
        <f t="shared" si="32"/>
        <v>5.491414415709035</v>
      </c>
      <c r="Q59" s="19">
        <v>100.89999997917</v>
      </c>
      <c r="R59" s="19">
        <f t="shared" si="33"/>
        <v>137.44160729614308</v>
      </c>
      <c r="S59" s="19">
        <f t="shared" si="34"/>
        <v>4.9231991526971273</v>
      </c>
      <c r="T59" s="17">
        <v>1692.8710046610347</v>
      </c>
      <c r="U59" s="17">
        <f t="shared" si="35"/>
        <v>7980363203.0725842</v>
      </c>
      <c r="V59" s="18">
        <f t="shared" si="36"/>
        <v>7.4341811858818012</v>
      </c>
      <c r="W59" s="18">
        <f t="shared" si="37"/>
        <v>22.800249761541888</v>
      </c>
      <c r="X59" s="12">
        <v>5.0999999999999996</v>
      </c>
      <c r="Y59" s="12">
        <f t="shared" si="38"/>
        <v>5.0999999999999997E-2</v>
      </c>
      <c r="Z59" s="18">
        <f t="shared" si="39"/>
        <v>-2.9759296462578115</v>
      </c>
      <c r="AA59" s="16">
        <v>155508804.40000001</v>
      </c>
      <c r="AB59" s="16">
        <v>2465886457</v>
      </c>
      <c r="AC59" s="19">
        <f t="shared" si="40"/>
        <v>63.064057129861602</v>
      </c>
      <c r="AD59" s="19">
        <f t="shared" si="41"/>
        <v>85.903125632639558</v>
      </c>
      <c r="AE59" s="19">
        <f t="shared" si="42"/>
        <v>4.4532202152041203</v>
      </c>
      <c r="AF59" s="19">
        <f t="shared" si="51"/>
        <v>86.366512334780452</v>
      </c>
      <c r="AG59" s="18">
        <f t="shared" si="43"/>
        <v>4.4586000119602698</v>
      </c>
      <c r="AH59" s="16">
        <v>243896273.69999999</v>
      </c>
      <c r="AI59" s="16">
        <v>903149015</v>
      </c>
      <c r="AJ59" s="19">
        <f t="shared" si="44"/>
        <v>270.05097680364514</v>
      </c>
      <c r="AK59" s="19">
        <f t="shared" si="45"/>
        <v>367.85173747719313</v>
      </c>
      <c r="AL59" s="19">
        <f t="shared" si="46"/>
        <v>5.9076799696978055</v>
      </c>
      <c r="AM59" s="19">
        <f t="shared" si="47"/>
        <v>364.22908831444238</v>
      </c>
      <c r="AN59" s="18">
        <f t="shared" si="48"/>
        <v>5.8977830331718053</v>
      </c>
      <c r="AO59" s="20">
        <v>58</v>
      </c>
      <c r="AP59" s="20">
        <f t="shared" si="49"/>
        <v>4.0604430105464191</v>
      </c>
      <c r="AQ59" s="20">
        <v>1</v>
      </c>
      <c r="AR59" s="20">
        <v>0</v>
      </c>
      <c r="AS59" s="20">
        <v>0</v>
      </c>
      <c r="AT59" s="18">
        <v>1</v>
      </c>
      <c r="AU59" s="3">
        <v>0</v>
      </c>
      <c r="AV59" s="3">
        <v>0</v>
      </c>
      <c r="AW59" s="3">
        <f t="shared" si="50"/>
        <v>4.0604430105464191</v>
      </c>
      <c r="AX59" s="3" t="s">
        <v>281</v>
      </c>
      <c r="AY59" s="3" t="s">
        <v>44</v>
      </c>
    </row>
    <row r="60" spans="1:51" ht="19.95" customHeight="1" x14ac:dyDescent="0.3">
      <c r="A60" s="3" t="s">
        <v>159</v>
      </c>
      <c r="B60" s="3" t="s">
        <v>160</v>
      </c>
      <c r="C60" s="3">
        <f>Deflators!C67</f>
        <v>986</v>
      </c>
      <c r="D60" s="3">
        <f>Deflators!D67</f>
        <v>1.3580121703853956</v>
      </c>
      <c r="E60" s="3">
        <f>Deflators!E67</f>
        <v>1139</v>
      </c>
      <c r="F60" s="3">
        <f>Deflators!F67</f>
        <v>1.3705004389815627</v>
      </c>
      <c r="G60" s="16">
        <v>67138000000</v>
      </c>
      <c r="H60" s="16">
        <v>4741200</v>
      </c>
      <c r="I60" s="17">
        <f t="shared" si="26"/>
        <v>14160.550071711803</v>
      </c>
      <c r="J60" s="17">
        <f t="shared" si="27"/>
        <v>92012658472.344162</v>
      </c>
      <c r="K60" s="17">
        <f t="shared" si="28"/>
        <v>19407.040089501425</v>
      </c>
      <c r="L60" s="18">
        <f t="shared" si="29"/>
        <v>25.245191996621227</v>
      </c>
      <c r="M60" s="18">
        <f t="shared" si="30"/>
        <v>9.8733911704337434</v>
      </c>
      <c r="N60" s="19">
        <v>175.29999994623722</v>
      </c>
      <c r="O60" s="19">
        <f t="shared" si="31"/>
        <v>238.05953339554932</v>
      </c>
      <c r="P60" s="19">
        <f t="shared" si="32"/>
        <v>5.4725207827090356</v>
      </c>
      <c r="Q60" s="19">
        <v>102.79999995759763</v>
      </c>
      <c r="R60" s="19">
        <f t="shared" si="33"/>
        <v>139.60365105803572</v>
      </c>
      <c r="S60" s="19">
        <f t="shared" si="34"/>
        <v>4.9388073436971274</v>
      </c>
      <c r="T60" s="17">
        <v>1700.9157190921778</v>
      </c>
      <c r="U60" s="17">
        <f t="shared" si="35"/>
        <v>8064381607.3598337</v>
      </c>
      <c r="V60" s="18">
        <f t="shared" si="36"/>
        <v>7.4389220433095238</v>
      </c>
      <c r="W60" s="18">
        <f t="shared" si="37"/>
        <v>22.810722869497006</v>
      </c>
      <c r="X60" s="12">
        <v>5</v>
      </c>
      <c r="Y60" s="12">
        <f t="shared" si="38"/>
        <v>0.05</v>
      </c>
      <c r="Z60" s="18">
        <f t="shared" si="39"/>
        <v>-2.9957322735539909</v>
      </c>
      <c r="AA60" s="16">
        <v>158672270</v>
      </c>
      <c r="AB60" s="16">
        <v>2518564236</v>
      </c>
      <c r="AC60" s="19">
        <f t="shared" si="40"/>
        <v>63.001081223961279</v>
      </c>
      <c r="AD60" s="19">
        <f t="shared" si="41"/>
        <v>85.556235049578248</v>
      </c>
      <c r="AE60" s="19">
        <f t="shared" si="42"/>
        <v>4.4491738796178995</v>
      </c>
      <c r="AF60" s="19">
        <f t="shared" si="51"/>
        <v>85.903125632639558</v>
      </c>
      <c r="AG60" s="18">
        <f t="shared" si="43"/>
        <v>4.4532202152041203</v>
      </c>
      <c r="AH60" s="16">
        <v>246164738.30000001</v>
      </c>
      <c r="AI60" s="16">
        <v>917814423</v>
      </c>
      <c r="AJ60" s="19">
        <f t="shared" si="44"/>
        <v>268.20752881108302</v>
      </c>
      <c r="AK60" s="19">
        <f t="shared" si="45"/>
        <v>364.22908831444238</v>
      </c>
      <c r="AL60" s="19">
        <f t="shared" si="46"/>
        <v>5.8977830331718053</v>
      </c>
      <c r="AM60" s="19">
        <f t="shared" si="47"/>
        <v>363.14135518412434</v>
      </c>
      <c r="AN60" s="18">
        <f t="shared" si="48"/>
        <v>5.8947921666858756</v>
      </c>
      <c r="AO60" s="20">
        <v>59</v>
      </c>
      <c r="AP60" s="20">
        <f t="shared" si="49"/>
        <v>4.0775374439057197</v>
      </c>
      <c r="AQ60" s="20">
        <v>1</v>
      </c>
      <c r="AR60" s="20">
        <v>0</v>
      </c>
      <c r="AS60" s="20">
        <v>0</v>
      </c>
      <c r="AT60" s="18">
        <v>0</v>
      </c>
      <c r="AU60" s="3">
        <v>1</v>
      </c>
      <c r="AV60" s="3">
        <v>0</v>
      </c>
      <c r="AW60" s="3">
        <f t="shared" si="50"/>
        <v>4.0775374439057197</v>
      </c>
      <c r="AX60" s="3" t="s">
        <v>281</v>
      </c>
      <c r="AY60" s="3" t="s">
        <v>44</v>
      </c>
    </row>
    <row r="61" spans="1:51" ht="19.95" customHeight="1" x14ac:dyDescent="0.3">
      <c r="A61" s="3" t="s">
        <v>161</v>
      </c>
      <c r="B61" s="3" t="s">
        <v>162</v>
      </c>
      <c r="C61" s="3">
        <f>Deflators!C68</f>
        <v>990</v>
      </c>
      <c r="D61" s="3">
        <f>Deflators!D68</f>
        <v>1.3525252525252525</v>
      </c>
      <c r="E61" s="3">
        <f>Deflators!E68</f>
        <v>1153</v>
      </c>
      <c r="F61" s="3">
        <f>Deflators!F68</f>
        <v>1.3538594969644406</v>
      </c>
      <c r="G61" s="16">
        <v>68058000000</v>
      </c>
      <c r="H61" s="16">
        <v>4767600</v>
      </c>
      <c r="I61" s="17">
        <f t="shared" si="26"/>
        <v>14275.106972061414</v>
      </c>
      <c r="J61" s="17">
        <f t="shared" si="27"/>
        <v>92140969644.405899</v>
      </c>
      <c r="K61" s="17">
        <f t="shared" si="28"/>
        <v>19326.489144308645</v>
      </c>
      <c r="L61" s="18">
        <f t="shared" si="29"/>
        <v>25.246585519997744</v>
      </c>
      <c r="M61" s="18">
        <f t="shared" si="30"/>
        <v>9.8692319284070535</v>
      </c>
      <c r="N61" s="19">
        <v>182.39999990994326</v>
      </c>
      <c r="O61" s="19">
        <f t="shared" si="31"/>
        <v>246.70060593880203</v>
      </c>
      <c r="P61" s="19">
        <f t="shared" si="32"/>
        <v>5.5081754797090356</v>
      </c>
      <c r="Q61" s="19">
        <v>111.50000002613746</v>
      </c>
      <c r="R61" s="19">
        <f t="shared" si="33"/>
        <v>150.80656569191723</v>
      </c>
      <c r="S61" s="19">
        <f t="shared" si="34"/>
        <v>5.0159979936971268</v>
      </c>
      <c r="T61" s="17">
        <v>1723.6814859298343</v>
      </c>
      <c r="U61" s="17">
        <f t="shared" si="35"/>
        <v>8217823852.3190775</v>
      </c>
      <c r="V61" s="18">
        <f t="shared" si="36"/>
        <v>7.4522176812137797</v>
      </c>
      <c r="W61" s="18">
        <f t="shared" si="37"/>
        <v>22.829571272804472</v>
      </c>
      <c r="X61" s="12">
        <v>5.3</v>
      </c>
      <c r="Y61" s="12">
        <f t="shared" si="38"/>
        <v>5.2999999999999999E-2</v>
      </c>
      <c r="Z61" s="18">
        <f t="shared" si="39"/>
        <v>-2.9374633654300153</v>
      </c>
      <c r="AA61" s="16">
        <v>167852702.40000001</v>
      </c>
      <c r="AB61" s="16">
        <v>2662616466</v>
      </c>
      <c r="AC61" s="19">
        <f t="shared" si="40"/>
        <v>63.040510919757835</v>
      </c>
      <c r="AD61" s="19">
        <f t="shared" si="41"/>
        <v>85.263882951066407</v>
      </c>
      <c r="AE61" s="19">
        <f t="shared" si="42"/>
        <v>4.4457509527709078</v>
      </c>
      <c r="AF61" s="19">
        <f t="shared" si="51"/>
        <v>85.556235049578248</v>
      </c>
      <c r="AG61" s="18">
        <f t="shared" si="43"/>
        <v>4.4491738796178995</v>
      </c>
      <c r="AH61" s="16">
        <v>262415199.09999999</v>
      </c>
      <c r="AI61" s="16">
        <v>977369221</v>
      </c>
      <c r="AJ61" s="19">
        <f t="shared" si="44"/>
        <v>268.49136791059232</v>
      </c>
      <c r="AK61" s="19">
        <f t="shared" si="45"/>
        <v>363.14135518412434</v>
      </c>
      <c r="AL61" s="19">
        <f t="shared" si="46"/>
        <v>5.8947921666858756</v>
      </c>
      <c r="AM61" s="19">
        <f t="shared" si="47"/>
        <v>360.24751069269143</v>
      </c>
      <c r="AN61" s="18">
        <f t="shared" si="48"/>
        <v>5.8867913249118065</v>
      </c>
      <c r="AO61" s="20">
        <v>60</v>
      </c>
      <c r="AP61" s="20">
        <f t="shared" si="49"/>
        <v>4.0943445622221004</v>
      </c>
      <c r="AQ61" s="20">
        <v>1</v>
      </c>
      <c r="AR61" s="20">
        <v>0</v>
      </c>
      <c r="AS61" s="20">
        <v>0</v>
      </c>
      <c r="AT61" s="18">
        <v>0</v>
      </c>
      <c r="AU61" s="3">
        <v>0</v>
      </c>
      <c r="AV61" s="3">
        <v>1</v>
      </c>
      <c r="AW61" s="3">
        <f t="shared" si="50"/>
        <v>4.0943445622221004</v>
      </c>
      <c r="AX61" s="3" t="s">
        <v>281</v>
      </c>
      <c r="AY61" s="3" t="s">
        <v>44</v>
      </c>
    </row>
    <row r="62" spans="1:51" ht="19.95" customHeight="1" x14ac:dyDescent="0.3">
      <c r="A62" s="3" t="s">
        <v>163</v>
      </c>
      <c r="B62" s="3" t="s">
        <v>164</v>
      </c>
      <c r="C62" s="3">
        <f>Deflators!C69</f>
        <v>1000</v>
      </c>
      <c r="D62" s="3">
        <f>Deflators!D69</f>
        <v>1.339</v>
      </c>
      <c r="E62" s="3">
        <f>Deflators!E69</f>
        <v>1169</v>
      </c>
      <c r="F62" s="3">
        <f>Deflators!F69</f>
        <v>1.3353293413173652</v>
      </c>
      <c r="G62" s="16">
        <v>70034000000</v>
      </c>
      <c r="H62" s="16">
        <v>4796700</v>
      </c>
      <c r="I62" s="17">
        <f t="shared" si="26"/>
        <v>14600.454479121063</v>
      </c>
      <c r="J62" s="17">
        <f t="shared" si="27"/>
        <v>93518455089.820358</v>
      </c>
      <c r="K62" s="17">
        <f t="shared" si="28"/>
        <v>19496.415262538903</v>
      </c>
      <c r="L62" s="18">
        <f t="shared" si="29"/>
        <v>25.261424634403848</v>
      </c>
      <c r="M62" s="18">
        <f t="shared" si="30"/>
        <v>9.8779858949622259</v>
      </c>
      <c r="N62" s="19">
        <v>189.79999996662801</v>
      </c>
      <c r="O62" s="19">
        <f t="shared" si="31"/>
        <v>254.14219995531491</v>
      </c>
      <c r="P62" s="19">
        <f t="shared" si="32"/>
        <v>5.5378939527090356</v>
      </c>
      <c r="Q62" s="19">
        <v>118.90000003464222</v>
      </c>
      <c r="R62" s="19">
        <f t="shared" si="33"/>
        <v>159.20710004638593</v>
      </c>
      <c r="S62" s="19">
        <f t="shared" si="34"/>
        <v>5.0702058706971274</v>
      </c>
      <c r="T62" s="17">
        <v>1698.6307856250419</v>
      </c>
      <c r="U62" s="17">
        <f t="shared" si="35"/>
        <v>8147822289.4076385</v>
      </c>
      <c r="V62" s="18">
        <f t="shared" si="36"/>
        <v>7.4375777852986138</v>
      </c>
      <c r="W62" s="18">
        <f t="shared" si="37"/>
        <v>22.821016524740234</v>
      </c>
      <c r="X62" s="12">
        <v>4.9000000000000004</v>
      </c>
      <c r="Y62" s="12">
        <f t="shared" si="38"/>
        <v>4.9000000000000002E-2</v>
      </c>
      <c r="Z62" s="18">
        <f t="shared" si="39"/>
        <v>-3.0159349808715104</v>
      </c>
      <c r="AA62" s="16">
        <v>164953915.09999999</v>
      </c>
      <c r="AB62" s="16">
        <v>2615952777</v>
      </c>
      <c r="AC62" s="19">
        <f t="shared" si="40"/>
        <v>63.05691622200105</v>
      </c>
      <c r="AD62" s="19">
        <f t="shared" si="41"/>
        <v>84.433210821259408</v>
      </c>
      <c r="AE62" s="19">
        <f t="shared" si="42"/>
        <v>4.4359608173466718</v>
      </c>
      <c r="AF62" s="19">
        <f t="shared" si="51"/>
        <v>85.263882951066407</v>
      </c>
      <c r="AG62" s="18">
        <f t="shared" si="43"/>
        <v>4.4457509527709078</v>
      </c>
      <c r="AH62" s="16">
        <v>265678288</v>
      </c>
      <c r="AI62" s="16">
        <v>987496699</v>
      </c>
      <c r="AJ62" s="19">
        <f t="shared" si="44"/>
        <v>269.04220365398913</v>
      </c>
      <c r="AK62" s="19">
        <f t="shared" si="45"/>
        <v>360.24751069269143</v>
      </c>
      <c r="AL62" s="19">
        <f t="shared" si="46"/>
        <v>5.8867913249118065</v>
      </c>
      <c r="AM62" s="19">
        <f t="shared" si="47"/>
        <v>362.72056590206694</v>
      </c>
      <c r="AN62" s="18">
        <f t="shared" si="48"/>
        <v>5.8936327469202947</v>
      </c>
      <c r="AO62" s="20">
        <v>61</v>
      </c>
      <c r="AP62" s="20">
        <f t="shared" si="49"/>
        <v>4.1108738641733114</v>
      </c>
      <c r="AQ62" s="20">
        <v>1</v>
      </c>
      <c r="AR62" s="20">
        <v>0</v>
      </c>
      <c r="AS62" s="20">
        <v>0</v>
      </c>
      <c r="AT62" s="18">
        <v>0</v>
      </c>
      <c r="AU62" s="3">
        <v>0</v>
      </c>
      <c r="AV62" s="3">
        <v>0</v>
      </c>
      <c r="AW62" s="3">
        <f t="shared" si="50"/>
        <v>4.1108738641733114</v>
      </c>
      <c r="AX62" s="3" t="s">
        <v>281</v>
      </c>
      <c r="AY62" s="3" t="s">
        <v>44</v>
      </c>
    </row>
    <row r="63" spans="1:51" ht="19.95" customHeight="1" x14ac:dyDescent="0.3">
      <c r="A63" s="3" t="s">
        <v>165</v>
      </c>
      <c r="B63" s="3" t="s">
        <v>166</v>
      </c>
      <c r="C63" s="3">
        <f>Deflators!C70</f>
        <v>1000</v>
      </c>
      <c r="D63" s="3">
        <f>Deflators!D70</f>
        <v>1.339</v>
      </c>
      <c r="E63" s="3">
        <f>Deflators!E70</f>
        <v>1164</v>
      </c>
      <c r="F63" s="3">
        <f>Deflators!F70</f>
        <v>1.3410652920962198</v>
      </c>
      <c r="G63" s="16">
        <v>70463000000</v>
      </c>
      <c r="H63" s="16">
        <v>4813600</v>
      </c>
      <c r="I63" s="17">
        <f t="shared" si="26"/>
        <v>14638.316436762507</v>
      </c>
      <c r="J63" s="17">
        <f t="shared" si="27"/>
        <v>94495483676.975937</v>
      </c>
      <c r="K63" s="17">
        <f t="shared" si="28"/>
        <v>19630.938108063805</v>
      </c>
      <c r="L63" s="18">
        <f t="shared" si="29"/>
        <v>25.271817878526011</v>
      </c>
      <c r="M63" s="18">
        <f t="shared" si="30"/>
        <v>9.8848620756377326</v>
      </c>
      <c r="N63" s="19">
        <v>186.10000006546903</v>
      </c>
      <c r="O63" s="19">
        <f t="shared" si="31"/>
        <v>249.18790008766302</v>
      </c>
      <c r="P63" s="19">
        <f t="shared" si="32"/>
        <v>5.5182072307090353</v>
      </c>
      <c r="Q63" s="19">
        <v>115.39999999008631</v>
      </c>
      <c r="R63" s="19">
        <f t="shared" si="33"/>
        <v>154.52059998672559</v>
      </c>
      <c r="S63" s="19">
        <f t="shared" si="34"/>
        <v>5.0403274206971274</v>
      </c>
      <c r="T63" s="17">
        <v>1698.9649958845876</v>
      </c>
      <c r="U63" s="17">
        <f t="shared" si="35"/>
        <v>8178137904.1900511</v>
      </c>
      <c r="V63" s="18">
        <f t="shared" si="36"/>
        <v>7.4377745186842876</v>
      </c>
      <c r="W63" s="18">
        <f t="shared" si="37"/>
        <v>22.824730321572567</v>
      </c>
      <c r="X63" s="12">
        <v>4.9000000000000004</v>
      </c>
      <c r="Y63" s="12">
        <f t="shared" si="38"/>
        <v>4.9000000000000002E-2</v>
      </c>
      <c r="Z63" s="18">
        <f t="shared" si="39"/>
        <v>-3.0159349808715104</v>
      </c>
      <c r="AA63" s="16">
        <v>165501666</v>
      </c>
      <c r="AB63" s="16">
        <v>2628477360</v>
      </c>
      <c r="AC63" s="19">
        <f t="shared" si="40"/>
        <v>62.964843646208926</v>
      </c>
      <c r="AD63" s="19">
        <f t="shared" si="41"/>
        <v>84.309925642273754</v>
      </c>
      <c r="AE63" s="19">
        <f t="shared" si="42"/>
        <v>4.4344995999780066</v>
      </c>
      <c r="AF63" s="19">
        <f t="shared" si="51"/>
        <v>84.433210821259408</v>
      </c>
      <c r="AG63" s="18">
        <f t="shared" si="43"/>
        <v>4.4359608173466718</v>
      </c>
      <c r="AH63" s="16">
        <v>260054458.5</v>
      </c>
      <c r="AI63" s="16">
        <v>960003244</v>
      </c>
      <c r="AJ63" s="19">
        <f t="shared" si="44"/>
        <v>270.889145557929</v>
      </c>
      <c r="AK63" s="19">
        <f t="shared" si="45"/>
        <v>362.72056590206694</v>
      </c>
      <c r="AL63" s="19">
        <f t="shared" si="46"/>
        <v>5.8936327469202947</v>
      </c>
      <c r="AM63" s="19">
        <f t="shared" si="47"/>
        <v>360.96074171907583</v>
      </c>
      <c r="AN63" s="18">
        <f t="shared" si="48"/>
        <v>5.8887692037186916</v>
      </c>
      <c r="AO63" s="20">
        <v>62</v>
      </c>
      <c r="AP63" s="20">
        <f t="shared" si="49"/>
        <v>4.1271343850450917</v>
      </c>
      <c r="AQ63" s="20">
        <v>1</v>
      </c>
      <c r="AR63" s="20">
        <v>0</v>
      </c>
      <c r="AS63" s="20">
        <v>0</v>
      </c>
      <c r="AT63" s="18">
        <v>1</v>
      </c>
      <c r="AU63" s="3">
        <v>0</v>
      </c>
      <c r="AV63" s="3">
        <v>0</v>
      </c>
      <c r="AW63" s="3">
        <f t="shared" si="50"/>
        <v>4.1271343850450917</v>
      </c>
      <c r="AX63" s="3" t="s">
        <v>281</v>
      </c>
      <c r="AY63" s="3" t="s">
        <v>44</v>
      </c>
    </row>
    <row r="64" spans="1:51" ht="19.95" customHeight="1" x14ac:dyDescent="0.3">
      <c r="A64" s="3" t="s">
        <v>167</v>
      </c>
      <c r="B64" s="3" t="s">
        <v>168</v>
      </c>
      <c r="C64" s="3">
        <f>Deflators!C71</f>
        <v>1005</v>
      </c>
      <c r="D64" s="3">
        <f>Deflators!D71</f>
        <v>1.3323383084577114</v>
      </c>
      <c r="E64" s="3">
        <f>Deflators!E71</f>
        <v>1178</v>
      </c>
      <c r="F64" s="3">
        <f>Deflators!F71</f>
        <v>1.3251273344651953</v>
      </c>
      <c r="G64" s="16">
        <v>72079000000</v>
      </c>
      <c r="H64" s="16">
        <v>4836300</v>
      </c>
      <c r="I64" s="17">
        <f t="shared" si="26"/>
        <v>14903.748733535967</v>
      </c>
      <c r="J64" s="17">
        <f t="shared" si="27"/>
        <v>95513853140.916809</v>
      </c>
      <c r="K64" s="17">
        <f t="shared" si="28"/>
        <v>19749.364832809548</v>
      </c>
      <c r="L64" s="18">
        <f t="shared" si="29"/>
        <v>25.282537132980238</v>
      </c>
      <c r="M64" s="18">
        <f t="shared" si="30"/>
        <v>9.8908766094480391</v>
      </c>
      <c r="N64" s="19">
        <v>183.20000004964888</v>
      </c>
      <c r="O64" s="19">
        <f t="shared" si="31"/>
        <v>244.08437817560184</v>
      </c>
      <c r="P64" s="19">
        <f t="shared" si="32"/>
        <v>5.4975139777090352</v>
      </c>
      <c r="Q64" s="19">
        <v>112.200000046062</v>
      </c>
      <c r="R64" s="19">
        <f t="shared" si="33"/>
        <v>149.48835827032539</v>
      </c>
      <c r="S64" s="19">
        <f t="shared" si="34"/>
        <v>5.007218518697127</v>
      </c>
      <c r="T64" s="17">
        <v>1705.0527201927173</v>
      </c>
      <c r="U64" s="17">
        <f t="shared" si="35"/>
        <v>8246146470.6680384</v>
      </c>
      <c r="V64" s="18">
        <f t="shared" si="36"/>
        <v>7.4413513101737196</v>
      </c>
      <c r="W64" s="18">
        <f t="shared" si="37"/>
        <v>22.833011833705921</v>
      </c>
      <c r="X64" s="12">
        <v>4.7</v>
      </c>
      <c r="Y64" s="12">
        <f t="shared" si="38"/>
        <v>4.7E-2</v>
      </c>
      <c r="Z64" s="18">
        <f t="shared" si="39"/>
        <v>-3.0576076772720784</v>
      </c>
      <c r="AA64" s="16">
        <v>167419114.90000001</v>
      </c>
      <c r="AB64" s="16">
        <v>2663515345</v>
      </c>
      <c r="AC64" s="19">
        <f t="shared" si="40"/>
        <v>62.856448420423874</v>
      </c>
      <c r="AD64" s="19">
        <f t="shared" si="41"/>
        <v>83.746054164126932</v>
      </c>
      <c r="AE64" s="19">
        <f t="shared" si="42"/>
        <v>4.4277890551370689</v>
      </c>
      <c r="AF64" s="19">
        <f t="shared" si="51"/>
        <v>84.309925642273754</v>
      </c>
      <c r="AG64" s="18">
        <f t="shared" si="43"/>
        <v>4.4344995999780066</v>
      </c>
      <c r="AH64" s="16">
        <v>264189540.69999999</v>
      </c>
      <c r="AI64" s="16">
        <v>975147170</v>
      </c>
      <c r="AJ64" s="19">
        <f t="shared" si="44"/>
        <v>270.92273743664765</v>
      </c>
      <c r="AK64" s="19">
        <f t="shared" si="45"/>
        <v>360.96074171907583</v>
      </c>
      <c r="AL64" s="19">
        <f t="shared" si="46"/>
        <v>5.8887692037186916</v>
      </c>
      <c r="AM64" s="19">
        <f t="shared" si="47"/>
        <v>360.33207359946181</v>
      </c>
      <c r="AN64" s="18">
        <f t="shared" si="48"/>
        <v>5.887026032941292</v>
      </c>
      <c r="AO64" s="20">
        <v>63</v>
      </c>
      <c r="AP64" s="20">
        <f t="shared" si="49"/>
        <v>4.1431347263915326</v>
      </c>
      <c r="AQ64" s="20">
        <v>1</v>
      </c>
      <c r="AR64" s="20">
        <v>0</v>
      </c>
      <c r="AS64" s="20">
        <v>0</v>
      </c>
      <c r="AT64" s="18">
        <v>0</v>
      </c>
      <c r="AU64" s="3">
        <v>1</v>
      </c>
      <c r="AV64" s="3">
        <v>0</v>
      </c>
      <c r="AW64" s="3">
        <f t="shared" si="50"/>
        <v>4.1431347263915326</v>
      </c>
      <c r="AX64" s="3" t="s">
        <v>281</v>
      </c>
      <c r="AY64" s="3" t="s">
        <v>44</v>
      </c>
    </row>
    <row r="65" spans="1:51" ht="19.95" customHeight="1" x14ac:dyDescent="0.3">
      <c r="A65" s="3" t="s">
        <v>169</v>
      </c>
      <c r="B65" s="3" t="s">
        <v>170</v>
      </c>
      <c r="C65" s="3">
        <f>Deflators!C72</f>
        <v>1006</v>
      </c>
      <c r="D65" s="3">
        <f>Deflators!D72</f>
        <v>1.331013916500994</v>
      </c>
      <c r="E65" s="3">
        <f>Deflators!E72</f>
        <v>1191</v>
      </c>
      <c r="F65" s="3">
        <f>Deflators!F72</f>
        <v>1.3106633081444166</v>
      </c>
      <c r="G65" s="16">
        <v>73799000000</v>
      </c>
      <c r="H65" s="16">
        <v>4859500</v>
      </c>
      <c r="I65" s="17">
        <f t="shared" si="26"/>
        <v>15186.541825290667</v>
      </c>
      <c r="J65" s="17">
        <f t="shared" si="27"/>
        <v>96725641477.749802</v>
      </c>
      <c r="K65" s="17">
        <f t="shared" si="28"/>
        <v>19904.443148009013</v>
      </c>
      <c r="L65" s="18">
        <f t="shared" si="29"/>
        <v>25.295144369485666</v>
      </c>
      <c r="M65" s="18">
        <f t="shared" si="30"/>
        <v>9.8986982595600033</v>
      </c>
      <c r="N65" s="19">
        <v>194.30000005715391</v>
      </c>
      <c r="O65" s="19">
        <f t="shared" si="31"/>
        <v>258.61600405221577</v>
      </c>
      <c r="P65" s="19">
        <f t="shared" si="32"/>
        <v>5.5553443517090351</v>
      </c>
      <c r="Q65" s="19">
        <v>124.60000003891091</v>
      </c>
      <c r="R65" s="19">
        <f t="shared" si="33"/>
        <v>165.84433404781481</v>
      </c>
      <c r="S65" s="19">
        <f t="shared" si="34"/>
        <v>5.1110496016971272</v>
      </c>
      <c r="T65" s="17">
        <v>1723.526899255977</v>
      </c>
      <c r="U65" s="17">
        <f t="shared" si="35"/>
        <v>8375478966.9344206</v>
      </c>
      <c r="V65" s="18">
        <f t="shared" si="36"/>
        <v>7.4521279931783102</v>
      </c>
      <c r="W65" s="18">
        <f t="shared" si="37"/>
        <v>22.848574103103974</v>
      </c>
      <c r="X65" s="12">
        <v>4.5</v>
      </c>
      <c r="Y65" s="12">
        <f t="shared" si="38"/>
        <v>4.4999999999999998E-2</v>
      </c>
      <c r="Z65" s="18">
        <f t="shared" si="39"/>
        <v>-3.1010927892118172</v>
      </c>
      <c r="AA65" s="16">
        <v>181314240.30000001</v>
      </c>
      <c r="AB65" s="16">
        <v>2876639424</v>
      </c>
      <c r="AC65" s="19">
        <f t="shared" si="40"/>
        <v>63.029880904531474</v>
      </c>
      <c r="AD65" s="19">
        <f t="shared" si="41"/>
        <v>83.893648639331644</v>
      </c>
      <c r="AE65" s="19">
        <f t="shared" si="42"/>
        <v>4.4295499090502233</v>
      </c>
      <c r="AF65" s="19">
        <f t="shared" si="51"/>
        <v>83.746054164126932</v>
      </c>
      <c r="AG65" s="18">
        <f t="shared" si="43"/>
        <v>4.4277890551370689</v>
      </c>
      <c r="AH65" s="16">
        <v>286198822.69999999</v>
      </c>
      <c r="AI65" s="16">
        <v>1057176543</v>
      </c>
      <c r="AJ65" s="19">
        <f t="shared" si="44"/>
        <v>270.71998957509976</v>
      </c>
      <c r="AK65" s="19">
        <f t="shared" si="45"/>
        <v>360.33207359946181</v>
      </c>
      <c r="AL65" s="19">
        <f t="shared" si="46"/>
        <v>5.887026032941292</v>
      </c>
      <c r="AM65" s="19">
        <f t="shared" si="47"/>
        <v>357.95105682912128</v>
      </c>
      <c r="AN65" s="18">
        <f t="shared" si="48"/>
        <v>5.8803962642868406</v>
      </c>
      <c r="AO65" s="20">
        <v>64</v>
      </c>
      <c r="AP65" s="20">
        <f t="shared" si="49"/>
        <v>4.1588830833596715</v>
      </c>
      <c r="AQ65" s="20">
        <v>1</v>
      </c>
      <c r="AR65" s="20">
        <v>0</v>
      </c>
      <c r="AS65" s="20">
        <v>0</v>
      </c>
      <c r="AT65" s="18">
        <v>0</v>
      </c>
      <c r="AU65" s="3">
        <v>0</v>
      </c>
      <c r="AV65" s="3">
        <v>1</v>
      </c>
      <c r="AW65" s="3">
        <f t="shared" si="50"/>
        <v>4.1588830833596715</v>
      </c>
      <c r="AX65" s="3" t="s">
        <v>281</v>
      </c>
      <c r="AY65" s="3" t="s">
        <v>44</v>
      </c>
    </row>
    <row r="66" spans="1:51" ht="19.95" customHeight="1" x14ac:dyDescent="0.3">
      <c r="A66" s="3" t="s">
        <v>171</v>
      </c>
      <c r="B66" s="3" t="s">
        <v>172</v>
      </c>
      <c r="C66" s="3">
        <f>Deflators!C73</f>
        <v>1011</v>
      </c>
      <c r="D66" s="3">
        <f>Deflators!D73</f>
        <v>1.324431256181998</v>
      </c>
      <c r="E66" s="3">
        <f>Deflators!E73</f>
        <v>1187</v>
      </c>
      <c r="F66" s="3">
        <f>Deflators!F73</f>
        <v>1.3150800336983994</v>
      </c>
      <c r="G66" s="16">
        <v>74376000000</v>
      </c>
      <c r="H66" s="16">
        <v>4886100</v>
      </c>
      <c r="I66" s="17">
        <f t="shared" ref="I66:I97" si="52">IFERROR(G66/H66,0)</f>
        <v>15221.956161355682</v>
      </c>
      <c r="J66" s="17">
        <f t="shared" ref="J66:J98" si="53">G66*F66</f>
        <v>97810392586.352158</v>
      </c>
      <c r="K66" s="17">
        <f t="shared" ref="K66:K97" si="54">IFERROR(J66/H66,0)</f>
        <v>20018.090621631189</v>
      </c>
      <c r="L66" s="18">
        <f t="shared" ref="L66:L98" si="55">IFERROR(LN(J66),0)</f>
        <v>25.306296672005733</v>
      </c>
      <c r="M66" s="18">
        <f t="shared" ref="M66:M98" si="56">IFERROR(LN(K66),0)</f>
        <v>9.9043916747759706</v>
      </c>
      <c r="N66" s="19">
        <v>200.00000009805953</v>
      </c>
      <c r="O66" s="19">
        <f t="shared" ref="O66:O97" si="57">N66*D66</f>
        <v>264.88625136627269</v>
      </c>
      <c r="P66" s="19">
        <f t="shared" ref="P66:P97" si="58">IFERROR(LN(O66),0)</f>
        <v>5.5793004937090354</v>
      </c>
      <c r="Q66" s="19">
        <v>131.29999996293083</v>
      </c>
      <c r="R66" s="19">
        <f t="shared" ref="R66:R97" si="59">Q66*D66</f>
        <v>173.89782388760077</v>
      </c>
      <c r="S66" s="19">
        <f t="shared" ref="S66:S97" si="60">IFERROR(LN(R66),0)</f>
        <v>5.1584679076971272</v>
      </c>
      <c r="T66" s="17">
        <v>1694.3477081425301</v>
      </c>
      <c r="U66" s="17">
        <f t="shared" ref="U66:U97" si="61">T66*H66</f>
        <v>8278752336.7552166</v>
      </c>
      <c r="V66" s="18">
        <f t="shared" ref="V66:V98" si="62">IFERROR(LN(T66),0)</f>
        <v>7.4350531127930868</v>
      </c>
      <c r="W66" s="18">
        <f t="shared" ref="W66:W98" si="63">IFERROR(LN(U66),0)</f>
        <v>22.836958110022849</v>
      </c>
      <c r="X66" s="12">
        <v>4.4000000000000004</v>
      </c>
      <c r="Y66" s="12">
        <f t="shared" ref="Y66:Y97" si="64">X66/100</f>
        <v>4.4000000000000004E-2</v>
      </c>
      <c r="Z66" s="18">
        <f t="shared" ref="Z66:Z97" si="65">IFERROR(LN(Y66),0)</f>
        <v>-3.1235656450638758</v>
      </c>
      <c r="AA66" s="16">
        <v>173822156.59999999</v>
      </c>
      <c r="AB66" s="16">
        <v>2765640680</v>
      </c>
      <c r="AC66" s="19">
        <f t="shared" ref="AC66:AC97" si="66">IFERROR(AA66/AB66*1000,0)</f>
        <v>62.850592941090227</v>
      </c>
      <c r="AD66" s="19">
        <f t="shared" ref="AD66:AD97" si="67">AC66*D66</f>
        <v>83.241289760751542</v>
      </c>
      <c r="AE66" s="19">
        <f t="shared" ref="AE66:AE97" si="68">IFERROR(LN(AD66),0)</f>
        <v>4.4217434958882347</v>
      </c>
      <c r="AF66" s="19">
        <f t="shared" si="51"/>
        <v>83.893648639331644</v>
      </c>
      <c r="AG66" s="18">
        <f t="shared" ref="AG66:AG97" si="69">IFERROR(LN(AF66),0)</f>
        <v>4.4295499090502233</v>
      </c>
      <c r="AH66" s="16">
        <v>271848986.69999999</v>
      </c>
      <c r="AI66" s="16">
        <v>1005850627</v>
      </c>
      <c r="AJ66" s="19">
        <f t="shared" ref="AJ66:AJ97" si="70">IFERROR(AH66/AI66*1000,0)</f>
        <v>270.26775089935893</v>
      </c>
      <c r="AK66" s="19">
        <f t="shared" ref="AK66:AK97" si="71">AJ66*D66</f>
        <v>357.95105682912128</v>
      </c>
      <c r="AL66" s="19">
        <f t="shared" ref="AL66:AL97" si="72">IFERROR(LN(AK66),0)</f>
        <v>5.8803962642868406</v>
      </c>
      <c r="AM66" s="19">
        <f t="shared" ref="AM66:AM97" si="73">IFERROR(AK67,0)</f>
        <v>359.03908889807269</v>
      </c>
      <c r="AN66" s="18">
        <f t="shared" ref="AN66:AN97" si="74">IFERROR(LN(AM66),0)</f>
        <v>5.8834312652854219</v>
      </c>
      <c r="AO66" s="20">
        <v>65</v>
      </c>
      <c r="AP66" s="20">
        <f t="shared" ref="AP66:AP97" si="75">LN(AO66)</f>
        <v>4.1743872698956368</v>
      </c>
      <c r="AQ66" s="20">
        <v>1</v>
      </c>
      <c r="AR66" s="20">
        <v>0</v>
      </c>
      <c r="AS66" s="20">
        <v>0</v>
      </c>
      <c r="AT66" s="18">
        <v>0</v>
      </c>
      <c r="AU66" s="3">
        <v>0</v>
      </c>
      <c r="AV66" s="3">
        <v>0</v>
      </c>
      <c r="AW66" s="3">
        <f t="shared" ref="AW66:AW98" si="76">AQ66*AP66</f>
        <v>4.1743872698956368</v>
      </c>
      <c r="AX66" s="3" t="s">
        <v>281</v>
      </c>
      <c r="AY66" s="3" t="s">
        <v>44</v>
      </c>
    </row>
    <row r="67" spans="1:51" ht="19.95" customHeight="1" x14ac:dyDescent="0.3">
      <c r="A67" s="3" t="s">
        <v>173</v>
      </c>
      <c r="B67" s="3" t="s">
        <v>174</v>
      </c>
      <c r="C67" s="3">
        <f>Deflators!C74</f>
        <v>1015</v>
      </c>
      <c r="D67" s="3">
        <f>Deflators!D74</f>
        <v>1.3192118226600986</v>
      </c>
      <c r="E67" s="3">
        <f>Deflators!E74</f>
        <v>1191</v>
      </c>
      <c r="F67" s="3">
        <f>Deflators!F74</f>
        <v>1.3106633081444166</v>
      </c>
      <c r="G67" s="16">
        <v>75236000000</v>
      </c>
      <c r="H67" s="16">
        <v>4900600</v>
      </c>
      <c r="I67" s="17">
        <f t="shared" si="52"/>
        <v>15352.405827857814</v>
      </c>
      <c r="J67" s="17">
        <f t="shared" si="53"/>
        <v>98609064651.553329</v>
      </c>
      <c r="K67" s="17">
        <f t="shared" si="54"/>
        <v>20121.835010315743</v>
      </c>
      <c r="L67" s="18">
        <f t="shared" si="55"/>
        <v>25.3144290279151</v>
      </c>
      <c r="M67" s="18">
        <f t="shared" si="56"/>
        <v>9.9095608233509189</v>
      </c>
      <c r="N67" s="19">
        <v>206.0999999170113</v>
      </c>
      <c r="O67" s="19">
        <f t="shared" si="57"/>
        <v>271.88955654076665</v>
      </c>
      <c r="P67" s="19">
        <f t="shared" si="58"/>
        <v>5.6053959417090358</v>
      </c>
      <c r="Q67" s="19">
        <v>137.59999999760566</v>
      </c>
      <c r="R67" s="19">
        <f t="shared" si="59"/>
        <v>181.52354679487092</v>
      </c>
      <c r="S67" s="19">
        <f t="shared" si="60"/>
        <v>5.2013853796971272</v>
      </c>
      <c r="T67" s="17">
        <v>1688.7039559909049</v>
      </c>
      <c r="U67" s="17">
        <f t="shared" si="61"/>
        <v>8275662606.7290287</v>
      </c>
      <c r="V67" s="18">
        <f t="shared" si="62"/>
        <v>7.4317166237603862</v>
      </c>
      <c r="W67" s="18">
        <f t="shared" si="63"/>
        <v>22.836584828324568</v>
      </c>
      <c r="X67" s="12">
        <v>4.5999999999999996</v>
      </c>
      <c r="Y67" s="12">
        <f t="shared" si="64"/>
        <v>4.5999999999999999E-2</v>
      </c>
      <c r="Z67" s="18">
        <f t="shared" si="65"/>
        <v>-3.0791138824930422</v>
      </c>
      <c r="AA67" s="16">
        <v>176520113.30000001</v>
      </c>
      <c r="AB67" s="16">
        <v>2806431711</v>
      </c>
      <c r="AC67" s="19">
        <f t="shared" si="66"/>
        <v>62.898417448790021</v>
      </c>
      <c r="AD67" s="19">
        <f t="shared" si="67"/>
        <v>82.97633592505403</v>
      </c>
      <c r="AE67" s="19">
        <f t="shared" si="68"/>
        <v>4.4185554578085053</v>
      </c>
      <c r="AF67" s="19">
        <f t="shared" ref="AF67:AF98" si="77">IFERROR(AD66,0)</f>
        <v>83.241289760751542</v>
      </c>
      <c r="AG67" s="18">
        <f t="shared" si="69"/>
        <v>4.4217434958882347</v>
      </c>
      <c r="AH67" s="16">
        <v>267784929.19999999</v>
      </c>
      <c r="AI67" s="16">
        <v>983918062</v>
      </c>
      <c r="AJ67" s="19">
        <f t="shared" si="70"/>
        <v>272.16181869420745</v>
      </c>
      <c r="AK67" s="19">
        <f t="shared" si="71"/>
        <v>359.03908889807269</v>
      </c>
      <c r="AL67" s="19">
        <f t="shared" si="72"/>
        <v>5.8834312652854219</v>
      </c>
      <c r="AM67" s="19">
        <f t="shared" si="73"/>
        <v>354.91180928877606</v>
      </c>
      <c r="AN67" s="18">
        <f t="shared" si="74"/>
        <v>5.8718693340742698</v>
      </c>
      <c r="AO67" s="20">
        <v>66</v>
      </c>
      <c r="AP67" s="20">
        <f t="shared" si="75"/>
        <v>4.1896547420264252</v>
      </c>
      <c r="AQ67" s="20">
        <v>1</v>
      </c>
      <c r="AR67" s="20">
        <v>0</v>
      </c>
      <c r="AS67" s="20">
        <v>0</v>
      </c>
      <c r="AT67" s="18">
        <v>1</v>
      </c>
      <c r="AU67" s="3">
        <v>0</v>
      </c>
      <c r="AV67" s="3">
        <v>0</v>
      </c>
      <c r="AW67" s="3">
        <f t="shared" si="76"/>
        <v>4.1896547420264252</v>
      </c>
      <c r="AX67" s="3" t="s">
        <v>281</v>
      </c>
      <c r="AY67" s="3" t="s">
        <v>44</v>
      </c>
    </row>
    <row r="68" spans="1:51" ht="19.95" customHeight="1" x14ac:dyDescent="0.3">
      <c r="A68" s="3" t="s">
        <v>175</v>
      </c>
      <c r="B68" s="3" t="s">
        <v>176</v>
      </c>
      <c r="C68" s="3">
        <f>Deflators!C75</f>
        <v>1024</v>
      </c>
      <c r="D68" s="3">
        <f>Deflators!D75</f>
        <v>1.3076171875</v>
      </c>
      <c r="E68" s="3">
        <f>Deflators!E75</f>
        <v>1199</v>
      </c>
      <c r="F68" s="3">
        <f>Deflators!F75</f>
        <v>1.3019182652210175</v>
      </c>
      <c r="G68" s="16">
        <v>75785000000</v>
      </c>
      <c r="H68" s="16">
        <v>4919100</v>
      </c>
      <c r="I68" s="17">
        <f t="shared" si="52"/>
        <v>15406.273505316012</v>
      </c>
      <c r="J68" s="17">
        <f t="shared" si="53"/>
        <v>98665875729.774811</v>
      </c>
      <c r="K68" s="17">
        <f t="shared" si="54"/>
        <v>20057.708875561548</v>
      </c>
      <c r="L68" s="18">
        <f t="shared" si="55"/>
        <v>25.315004986317948</v>
      </c>
      <c r="M68" s="18">
        <f t="shared" si="56"/>
        <v>9.9063688414118793</v>
      </c>
      <c r="N68" s="19">
        <v>217.8000000257997</v>
      </c>
      <c r="O68" s="19">
        <f t="shared" si="57"/>
        <v>284.79902347123613</v>
      </c>
      <c r="P68" s="19">
        <f t="shared" si="58"/>
        <v>5.6517837507090354</v>
      </c>
      <c r="Q68" s="19">
        <v>150.29999997692579</v>
      </c>
      <c r="R68" s="19">
        <f t="shared" si="59"/>
        <v>196.53486325107775</v>
      </c>
      <c r="S68" s="19">
        <f t="shared" si="60"/>
        <v>5.280839836697127</v>
      </c>
      <c r="T68" s="17">
        <v>1690.809020794082</v>
      </c>
      <c r="U68" s="17">
        <f t="shared" si="61"/>
        <v>8317258654.1881685</v>
      </c>
      <c r="V68" s="18">
        <f t="shared" si="62"/>
        <v>7.4329624039008309</v>
      </c>
      <c r="W68" s="18">
        <f t="shared" si="63"/>
        <v>22.8415985488069</v>
      </c>
      <c r="X68" s="12">
        <v>4</v>
      </c>
      <c r="Y68" s="12">
        <f t="shared" si="64"/>
        <v>0.04</v>
      </c>
      <c r="Z68" s="18">
        <f t="shared" si="65"/>
        <v>-3.2188758248682006</v>
      </c>
      <c r="AA68" s="16">
        <v>186433481.30000001</v>
      </c>
      <c r="AB68" s="16">
        <v>2969453691</v>
      </c>
      <c r="AC68" s="19">
        <f t="shared" si="66"/>
        <v>62.783764523775503</v>
      </c>
      <c r="AD68" s="19">
        <f t="shared" si="67"/>
        <v>82.097129587241596</v>
      </c>
      <c r="AE68" s="19">
        <f t="shared" si="68"/>
        <v>4.4079030534506138</v>
      </c>
      <c r="AF68" s="19">
        <f t="shared" si="77"/>
        <v>82.97633592505403</v>
      </c>
      <c r="AG68" s="18">
        <f t="shared" si="69"/>
        <v>4.4185554578085053</v>
      </c>
      <c r="AH68" s="16">
        <v>268010168.90000001</v>
      </c>
      <c r="AI68" s="16">
        <v>987441652</v>
      </c>
      <c r="AJ68" s="19">
        <f t="shared" si="70"/>
        <v>271.41873988925067</v>
      </c>
      <c r="AK68" s="19">
        <f t="shared" si="71"/>
        <v>354.91180928877606</v>
      </c>
      <c r="AL68" s="19">
        <f t="shared" si="72"/>
        <v>5.8718693340742698</v>
      </c>
      <c r="AM68" s="19">
        <f t="shared" si="73"/>
        <v>355.95151147984495</v>
      </c>
      <c r="AN68" s="18">
        <f t="shared" si="74"/>
        <v>5.8747945178671621</v>
      </c>
      <c r="AO68" s="20">
        <v>67</v>
      </c>
      <c r="AP68" s="20">
        <f t="shared" si="75"/>
        <v>4.2046926193909657</v>
      </c>
      <c r="AQ68" s="20">
        <v>1</v>
      </c>
      <c r="AR68" s="20">
        <v>0</v>
      </c>
      <c r="AS68" s="20">
        <v>0</v>
      </c>
      <c r="AT68" s="18">
        <v>0</v>
      </c>
      <c r="AU68" s="3">
        <v>1</v>
      </c>
      <c r="AV68" s="3">
        <v>0</v>
      </c>
      <c r="AW68" s="3">
        <f t="shared" si="76"/>
        <v>4.2046926193909657</v>
      </c>
      <c r="AX68" s="3" t="s">
        <v>281</v>
      </c>
      <c r="AY68" s="3" t="s">
        <v>44</v>
      </c>
    </row>
    <row r="69" spans="1:51" ht="19.95" customHeight="1" x14ac:dyDescent="0.3">
      <c r="A69" s="3" t="s">
        <v>177</v>
      </c>
      <c r="B69" s="3" t="s">
        <v>178</v>
      </c>
      <c r="C69" s="3">
        <f>Deflators!C76</f>
        <v>1025</v>
      </c>
      <c r="D69" s="3">
        <f>Deflators!D76</f>
        <v>1.3063414634146342</v>
      </c>
      <c r="E69" s="3">
        <f>Deflators!E76</f>
        <v>1195</v>
      </c>
      <c r="F69" s="3">
        <f>Deflators!F76</f>
        <v>1.306276150627615</v>
      </c>
      <c r="G69" s="16">
        <v>76787000000</v>
      </c>
      <c r="H69" s="16">
        <v>4936700</v>
      </c>
      <c r="I69" s="17">
        <f t="shared" si="52"/>
        <v>15554.317661595804</v>
      </c>
      <c r="J69" s="17">
        <f t="shared" si="53"/>
        <v>100305026778.24268</v>
      </c>
      <c r="K69" s="17">
        <f t="shared" si="54"/>
        <v>20318.234200628493</v>
      </c>
      <c r="L69" s="18">
        <f t="shared" si="55"/>
        <v>25.331481648088602</v>
      </c>
      <c r="M69" s="18">
        <f t="shared" si="56"/>
        <v>9.9192739983410618</v>
      </c>
      <c r="N69" s="19">
        <v>216.60000000508612</v>
      </c>
      <c r="O69" s="19">
        <f t="shared" si="57"/>
        <v>282.95356098225398</v>
      </c>
      <c r="P69" s="19">
        <f t="shared" si="58"/>
        <v>5.6452827887090358</v>
      </c>
      <c r="Q69" s="19">
        <v>153.8999999590057</v>
      </c>
      <c r="R69" s="19">
        <f t="shared" si="59"/>
        <v>201.04595116595965</v>
      </c>
      <c r="S69" s="19">
        <f t="shared" si="60"/>
        <v>5.3035334946971275</v>
      </c>
      <c r="T69" s="17">
        <v>1702.5580537077526</v>
      </c>
      <c r="U69" s="17">
        <f t="shared" si="61"/>
        <v>8405018343.7390623</v>
      </c>
      <c r="V69" s="18">
        <f t="shared" si="62"/>
        <v>7.4398871365364343</v>
      </c>
      <c r="W69" s="18">
        <f t="shared" si="63"/>
        <v>22.852094786283974</v>
      </c>
      <c r="X69" s="12">
        <v>4.3</v>
      </c>
      <c r="Y69" s="12">
        <f t="shared" si="64"/>
        <v>4.2999999999999997E-2</v>
      </c>
      <c r="Z69" s="18">
        <f t="shared" si="65"/>
        <v>-3.1465551632885749</v>
      </c>
      <c r="AA69" s="16">
        <v>203258231.59999999</v>
      </c>
      <c r="AB69" s="16">
        <v>2969564969</v>
      </c>
      <c r="AC69" s="19">
        <f t="shared" si="66"/>
        <v>68.447140817547805</v>
      </c>
      <c r="AD69" s="19">
        <f t="shared" si="67"/>
        <v>89.41533810214294</v>
      </c>
      <c r="AE69" s="19">
        <f t="shared" si="68"/>
        <v>4.493292234601574</v>
      </c>
      <c r="AF69" s="19">
        <f t="shared" si="77"/>
        <v>82.097129587241596</v>
      </c>
      <c r="AG69" s="18">
        <f t="shared" si="69"/>
        <v>4.4079030534506138</v>
      </c>
      <c r="AH69" s="16">
        <v>294824092.5</v>
      </c>
      <c r="AI69" s="16">
        <v>1082003936</v>
      </c>
      <c r="AJ69" s="19">
        <f t="shared" si="70"/>
        <v>272.47968578554224</v>
      </c>
      <c r="AK69" s="19">
        <f t="shared" si="71"/>
        <v>355.95151147984495</v>
      </c>
      <c r="AL69" s="19">
        <f t="shared" si="72"/>
        <v>5.8747945178671621</v>
      </c>
      <c r="AM69" s="19">
        <f t="shared" si="73"/>
        <v>368.77983587239305</v>
      </c>
      <c r="AN69" s="18">
        <f t="shared" si="74"/>
        <v>5.9101998152213122</v>
      </c>
      <c r="AO69" s="20">
        <v>68</v>
      </c>
      <c r="AP69" s="20">
        <f t="shared" si="75"/>
        <v>4.219507705176107</v>
      </c>
      <c r="AQ69" s="20">
        <v>1</v>
      </c>
      <c r="AR69" s="20">
        <v>0</v>
      </c>
      <c r="AS69" s="20">
        <v>0</v>
      </c>
      <c r="AT69" s="18">
        <v>0</v>
      </c>
      <c r="AU69" s="3">
        <v>0</v>
      </c>
      <c r="AV69" s="3">
        <v>1</v>
      </c>
      <c r="AW69" s="3">
        <f t="shared" si="76"/>
        <v>4.219507705176107</v>
      </c>
      <c r="AX69" s="3" t="s">
        <v>281</v>
      </c>
      <c r="AY69" s="3" t="s">
        <v>44</v>
      </c>
    </row>
    <row r="70" spans="1:51" ht="19.95" customHeight="1" x14ac:dyDescent="0.3">
      <c r="A70" s="3" t="s">
        <v>179</v>
      </c>
      <c r="B70" s="3" t="s">
        <v>180</v>
      </c>
      <c r="C70" s="3">
        <f>Deflators!C77</f>
        <v>1026</v>
      </c>
      <c r="D70" s="3">
        <f>Deflators!D77</f>
        <v>1.3050682261208577</v>
      </c>
      <c r="E70" s="3">
        <f>Deflators!E77</f>
        <v>1203</v>
      </c>
      <c r="F70" s="3">
        <f>Deflators!F77</f>
        <v>1.2975893599334996</v>
      </c>
      <c r="G70" s="16">
        <v>78271000000</v>
      </c>
      <c r="H70" s="16">
        <v>4958700</v>
      </c>
      <c r="I70" s="17">
        <f t="shared" si="52"/>
        <v>15784.580636053804</v>
      </c>
      <c r="J70" s="17">
        <f t="shared" si="53"/>
        <v>101563616791.35495</v>
      </c>
      <c r="K70" s="17">
        <f t="shared" si="54"/>
        <v>20481.903884355768</v>
      </c>
      <c r="L70" s="18">
        <f t="shared" si="55"/>
        <v>25.343951205509505</v>
      </c>
      <c r="M70" s="18">
        <f t="shared" si="56"/>
        <v>9.9272970379359524</v>
      </c>
      <c r="N70" s="19">
        <v>201.19999990402636</v>
      </c>
      <c r="O70" s="19">
        <f t="shared" si="57"/>
        <v>262.5797269702644</v>
      </c>
      <c r="P70" s="19">
        <f t="shared" si="58"/>
        <v>5.5705547577090355</v>
      </c>
      <c r="Q70" s="19">
        <v>145.20000005023545</v>
      </c>
      <c r="R70" s="19">
        <f t="shared" si="59"/>
        <v>189.49590649830921</v>
      </c>
      <c r="S70" s="19">
        <f t="shared" si="60"/>
        <v>5.2443674226971275</v>
      </c>
      <c r="T70" s="17">
        <v>1664.9907275407782</v>
      </c>
      <c r="U70" s="17">
        <f t="shared" si="61"/>
        <v>8256189520.6564569</v>
      </c>
      <c r="V70" s="18">
        <f t="shared" si="62"/>
        <v>7.4175748333544593</v>
      </c>
      <c r="W70" s="18">
        <f t="shared" si="63"/>
        <v>22.834229000928016</v>
      </c>
      <c r="X70" s="12">
        <v>4.2</v>
      </c>
      <c r="Y70" s="12">
        <f t="shared" si="64"/>
        <v>4.2000000000000003E-2</v>
      </c>
      <c r="Z70" s="18">
        <f t="shared" si="65"/>
        <v>-3.1700856606987688</v>
      </c>
      <c r="AA70" s="16">
        <v>198534303.19999999</v>
      </c>
      <c r="AB70" s="16">
        <v>2882610412</v>
      </c>
      <c r="AC70" s="19">
        <f t="shared" si="66"/>
        <v>68.873095848652611</v>
      </c>
      <c r="AD70" s="19">
        <f t="shared" si="67"/>
        <v>89.884089026652873</v>
      </c>
      <c r="AE70" s="19">
        <f t="shared" si="68"/>
        <v>4.4985209405708222</v>
      </c>
      <c r="AF70" s="19">
        <f t="shared" si="77"/>
        <v>89.41533810214294</v>
      </c>
      <c r="AG70" s="18">
        <f t="shared" si="69"/>
        <v>4.493292234601574</v>
      </c>
      <c r="AH70" s="16">
        <v>286849974.5</v>
      </c>
      <c r="AI70" s="16">
        <v>1015128136</v>
      </c>
      <c r="AJ70" s="19">
        <f t="shared" si="70"/>
        <v>282.57513936151997</v>
      </c>
      <c r="AK70" s="19">
        <f t="shared" si="71"/>
        <v>368.77983587239305</v>
      </c>
      <c r="AL70" s="19">
        <f t="shared" si="72"/>
        <v>5.9101998152213122</v>
      </c>
      <c r="AM70" s="19">
        <f t="shared" si="73"/>
        <v>367.64351050410784</v>
      </c>
      <c r="AN70" s="18">
        <f t="shared" si="74"/>
        <v>5.9071137471988289</v>
      </c>
      <c r="AO70" s="20">
        <v>69</v>
      </c>
      <c r="AP70" s="20">
        <f t="shared" si="75"/>
        <v>4.2341065045972597</v>
      </c>
      <c r="AQ70" s="20">
        <v>1</v>
      </c>
      <c r="AR70" s="20">
        <v>0</v>
      </c>
      <c r="AS70" s="20">
        <v>0</v>
      </c>
      <c r="AT70" s="18">
        <v>0</v>
      </c>
      <c r="AU70" s="3">
        <v>0</v>
      </c>
      <c r="AV70" s="3">
        <v>0</v>
      </c>
      <c r="AW70" s="3">
        <f t="shared" si="76"/>
        <v>4.2341065045972597</v>
      </c>
      <c r="AX70" s="3" t="s">
        <v>281</v>
      </c>
      <c r="AY70" s="3" t="s">
        <v>44</v>
      </c>
    </row>
    <row r="71" spans="1:51" ht="19.95" customHeight="1" x14ac:dyDescent="0.3">
      <c r="A71" s="3" t="s">
        <v>181</v>
      </c>
      <c r="B71" s="3" t="s">
        <v>182</v>
      </c>
      <c r="C71" s="3">
        <f>Deflators!C78</f>
        <v>1032</v>
      </c>
      <c r="D71" s="3">
        <f>Deflators!D78</f>
        <v>1.2974806201550388</v>
      </c>
      <c r="E71" s="3">
        <f>Deflators!E78</f>
        <v>1220</v>
      </c>
      <c r="F71" s="3">
        <f>Deflators!F78</f>
        <v>1.2795081967213116</v>
      </c>
      <c r="G71" s="16">
        <v>79331000000</v>
      </c>
      <c r="H71" s="16">
        <v>4970300</v>
      </c>
      <c r="I71" s="17">
        <f t="shared" si="52"/>
        <v>15961.008389835624</v>
      </c>
      <c r="J71" s="17">
        <f t="shared" si="53"/>
        <v>101504664754.09837</v>
      </c>
      <c r="K71" s="17">
        <f t="shared" si="54"/>
        <v>20422.241062732304</v>
      </c>
      <c r="L71" s="18">
        <f t="shared" si="55"/>
        <v>25.343370592540666</v>
      </c>
      <c r="M71" s="18">
        <f t="shared" si="56"/>
        <v>9.9243798341165395</v>
      </c>
      <c r="N71" s="19">
        <v>213.09999999036768</v>
      </c>
      <c r="O71" s="19">
        <f t="shared" si="57"/>
        <v>276.49312014254104</v>
      </c>
      <c r="P71" s="19">
        <f t="shared" si="58"/>
        <v>5.6221859387090349</v>
      </c>
      <c r="Q71" s="19">
        <v>151.09999996506096</v>
      </c>
      <c r="R71" s="19">
        <f t="shared" si="59"/>
        <v>196.04932166009365</v>
      </c>
      <c r="S71" s="19">
        <f t="shared" si="60"/>
        <v>5.2783662686971269</v>
      </c>
      <c r="T71" s="17">
        <v>1644.7482969301275</v>
      </c>
      <c r="U71" s="17">
        <f t="shared" si="61"/>
        <v>8174892460.2318125</v>
      </c>
      <c r="V71" s="18">
        <f t="shared" si="62"/>
        <v>7.4053426405073726</v>
      </c>
      <c r="W71" s="18">
        <f t="shared" si="63"/>
        <v>22.8243333989315</v>
      </c>
      <c r="X71" s="12">
        <v>4.0999999999999996</v>
      </c>
      <c r="Y71" s="12">
        <f t="shared" si="64"/>
        <v>4.0999999999999995E-2</v>
      </c>
      <c r="Z71" s="18">
        <f t="shared" si="65"/>
        <v>-3.1941832122778293</v>
      </c>
      <c r="AA71" s="16">
        <v>211664856.5</v>
      </c>
      <c r="AB71" s="16">
        <v>3076596136</v>
      </c>
      <c r="AC71" s="19">
        <f t="shared" si="66"/>
        <v>68.798388590318382</v>
      </c>
      <c r="AD71" s="19">
        <f t="shared" si="67"/>
        <v>89.264575893833637</v>
      </c>
      <c r="AE71" s="19">
        <f t="shared" si="68"/>
        <v>4.4916047226623226</v>
      </c>
      <c r="AF71" s="19">
        <f t="shared" si="77"/>
        <v>89.884089026652873</v>
      </c>
      <c r="AG71" s="18">
        <f t="shared" si="69"/>
        <v>4.4985209405708222</v>
      </c>
      <c r="AH71" s="16">
        <v>279552393.19999999</v>
      </c>
      <c r="AI71" s="16">
        <v>986591092</v>
      </c>
      <c r="AJ71" s="19">
        <f t="shared" si="70"/>
        <v>283.3518318448389</v>
      </c>
      <c r="AK71" s="19">
        <f t="shared" si="71"/>
        <v>367.64351050410784</v>
      </c>
      <c r="AL71" s="19">
        <f t="shared" si="72"/>
        <v>5.9071137471988289</v>
      </c>
      <c r="AM71" s="19">
        <f t="shared" si="73"/>
        <v>366.21978956511646</v>
      </c>
      <c r="AN71" s="18">
        <f t="shared" si="74"/>
        <v>5.9032336711001001</v>
      </c>
      <c r="AO71" s="20">
        <v>70</v>
      </c>
      <c r="AP71" s="20">
        <f t="shared" si="75"/>
        <v>4.2484952420493594</v>
      </c>
      <c r="AQ71" s="20">
        <v>1</v>
      </c>
      <c r="AR71" s="20">
        <v>0</v>
      </c>
      <c r="AS71" s="20">
        <v>0</v>
      </c>
      <c r="AT71" s="18">
        <v>1</v>
      </c>
      <c r="AU71" s="3">
        <v>0</v>
      </c>
      <c r="AV71" s="3">
        <v>0</v>
      </c>
      <c r="AW71" s="3">
        <f t="shared" si="76"/>
        <v>4.2484952420493594</v>
      </c>
      <c r="AX71" s="3" t="s">
        <v>281</v>
      </c>
      <c r="AY71" s="3" t="s">
        <v>44</v>
      </c>
    </row>
    <row r="72" spans="1:51" ht="19.95" customHeight="1" x14ac:dyDescent="0.3">
      <c r="A72" s="3" t="s">
        <v>183</v>
      </c>
      <c r="B72" s="3" t="s">
        <v>184</v>
      </c>
      <c r="C72" s="3">
        <f>Deflators!C79</f>
        <v>1039</v>
      </c>
      <c r="D72" s="3">
        <f>Deflators!D79</f>
        <v>1.2887391722810395</v>
      </c>
      <c r="E72" s="3">
        <f>Deflators!E79</f>
        <v>1226</v>
      </c>
      <c r="F72" s="3">
        <f>Deflators!F79</f>
        <v>1.2732463295269167</v>
      </c>
      <c r="G72" s="16">
        <v>80380000000</v>
      </c>
      <c r="H72" s="16">
        <v>4995800</v>
      </c>
      <c r="I72" s="17">
        <f t="shared" si="52"/>
        <v>16089.515192761921</v>
      </c>
      <c r="J72" s="17">
        <f t="shared" si="53"/>
        <v>102343539967.37357</v>
      </c>
      <c r="K72" s="17">
        <f t="shared" si="54"/>
        <v>20485.916163051676</v>
      </c>
      <c r="L72" s="18">
        <f t="shared" si="55"/>
        <v>25.351601029986742</v>
      </c>
      <c r="M72" s="18">
        <f t="shared" si="56"/>
        <v>9.9274929125860591</v>
      </c>
      <c r="N72" s="19">
        <v>211.20000006018864</v>
      </c>
      <c r="O72" s="19">
        <f t="shared" si="57"/>
        <v>272.18171326332299</v>
      </c>
      <c r="P72" s="19">
        <f t="shared" si="58"/>
        <v>5.6064699067090356</v>
      </c>
      <c r="Q72" s="19">
        <v>142.19999996246511</v>
      </c>
      <c r="R72" s="19">
        <f t="shared" si="59"/>
        <v>183.25871024999114</v>
      </c>
      <c r="S72" s="19">
        <f t="shared" si="60"/>
        <v>5.2108988716971272</v>
      </c>
      <c r="T72" s="17">
        <v>1616.2718490221559</v>
      </c>
      <c r="U72" s="17">
        <f t="shared" si="61"/>
        <v>8074570903.3448868</v>
      </c>
      <c r="V72" s="18">
        <f t="shared" si="62"/>
        <v>7.3878774483378695</v>
      </c>
      <c r="W72" s="18">
        <f t="shared" si="63"/>
        <v>22.811985565738553</v>
      </c>
      <c r="X72" s="12">
        <v>4.0999999999999996</v>
      </c>
      <c r="Y72" s="12">
        <f t="shared" si="64"/>
        <v>4.0999999999999995E-2</v>
      </c>
      <c r="Z72" s="18">
        <f t="shared" si="65"/>
        <v>-3.1941832122778293</v>
      </c>
      <c r="AA72" s="16">
        <v>205780326.5</v>
      </c>
      <c r="AB72" s="16">
        <v>2839219834</v>
      </c>
      <c r="AC72" s="19">
        <f t="shared" si="66"/>
        <v>72.477771546872063</v>
      </c>
      <c r="AD72" s="19">
        <f t="shared" si="67"/>
        <v>93.404943312090182</v>
      </c>
      <c r="AE72" s="19">
        <f t="shared" si="68"/>
        <v>4.5369442700878944</v>
      </c>
      <c r="AF72" s="19">
        <f t="shared" si="77"/>
        <v>89.264575893833637</v>
      </c>
      <c r="AG72" s="18">
        <f t="shared" si="69"/>
        <v>4.4916047226623226</v>
      </c>
      <c r="AH72" s="16">
        <v>285826555.5</v>
      </c>
      <c r="AI72" s="16">
        <v>1005832806</v>
      </c>
      <c r="AJ72" s="19">
        <f t="shared" si="70"/>
        <v>284.16905254529945</v>
      </c>
      <c r="AK72" s="19">
        <f t="shared" si="71"/>
        <v>366.21978956511646</v>
      </c>
      <c r="AL72" s="19">
        <f t="shared" si="72"/>
        <v>5.9032336711001001</v>
      </c>
      <c r="AM72" s="19">
        <f t="shared" si="73"/>
        <v>381.61698020478434</v>
      </c>
      <c r="AN72" s="18">
        <f t="shared" si="74"/>
        <v>5.9444174359761446</v>
      </c>
      <c r="AO72" s="20">
        <v>71</v>
      </c>
      <c r="AP72" s="20">
        <f t="shared" si="75"/>
        <v>4.2626798770413155</v>
      </c>
      <c r="AQ72" s="20">
        <v>1</v>
      </c>
      <c r="AR72" s="20">
        <v>0</v>
      </c>
      <c r="AS72" s="20">
        <v>0</v>
      </c>
      <c r="AT72" s="18">
        <v>0</v>
      </c>
      <c r="AU72" s="3">
        <v>1</v>
      </c>
      <c r="AV72" s="3">
        <v>0</v>
      </c>
      <c r="AW72" s="3">
        <f t="shared" si="76"/>
        <v>4.2626798770413155</v>
      </c>
      <c r="AX72" s="3" t="s">
        <v>281</v>
      </c>
      <c r="AY72" s="3" t="s">
        <v>44</v>
      </c>
    </row>
    <row r="73" spans="1:51" ht="19.95" customHeight="1" x14ac:dyDescent="0.3">
      <c r="A73" s="3" t="s">
        <v>185</v>
      </c>
      <c r="B73" s="3" t="s">
        <v>186</v>
      </c>
      <c r="C73" s="3">
        <f>Deflators!C80</f>
        <v>1044</v>
      </c>
      <c r="D73" s="3">
        <f>Deflators!D80</f>
        <v>1.2825670498084292</v>
      </c>
      <c r="E73" s="3">
        <f>Deflators!E80</f>
        <v>1240</v>
      </c>
      <c r="F73" s="3">
        <f>Deflators!F80</f>
        <v>1.2588709677419354</v>
      </c>
      <c r="G73" s="16">
        <v>81861000000</v>
      </c>
      <c r="H73" s="16">
        <v>5027100</v>
      </c>
      <c r="I73" s="17">
        <f t="shared" si="52"/>
        <v>16283.941039565554</v>
      </c>
      <c r="J73" s="17">
        <f t="shared" si="53"/>
        <v>103052436290.32257</v>
      </c>
      <c r="K73" s="17">
        <f t="shared" si="54"/>
        <v>20499.380615130507</v>
      </c>
      <c r="L73" s="18">
        <f t="shared" si="55"/>
        <v>25.358503785830901</v>
      </c>
      <c r="M73" s="18">
        <f t="shared" si="56"/>
        <v>9.9281499507739781</v>
      </c>
      <c r="N73" s="19">
        <v>214.00000009385948</v>
      </c>
      <c r="O73" s="19">
        <f t="shared" si="57"/>
        <v>274.46934877938492</v>
      </c>
      <c r="P73" s="19">
        <f t="shared" si="58"/>
        <v>5.6148395927090355</v>
      </c>
      <c r="Q73" s="19">
        <v>141.9999999783135</v>
      </c>
      <c r="R73" s="19">
        <f t="shared" si="59"/>
        <v>182.12452104498254</v>
      </c>
      <c r="S73" s="19">
        <f t="shared" si="60"/>
        <v>5.2046906346971271</v>
      </c>
      <c r="T73" s="17">
        <v>1578.7822651969495</v>
      </c>
      <c r="U73" s="17">
        <f t="shared" si="61"/>
        <v>7936696325.3715849</v>
      </c>
      <c r="V73" s="18">
        <f t="shared" si="62"/>
        <v>7.3644091106352469</v>
      </c>
      <c r="W73" s="18">
        <f t="shared" si="63"/>
        <v>22.79476294569217</v>
      </c>
      <c r="X73" s="12">
        <v>4.0999999999999996</v>
      </c>
      <c r="Y73" s="12">
        <f t="shared" si="64"/>
        <v>4.0999999999999995E-2</v>
      </c>
      <c r="Z73" s="18">
        <f t="shared" si="65"/>
        <v>-3.1941832122778293</v>
      </c>
      <c r="AA73" s="16">
        <v>226165740.59999999</v>
      </c>
      <c r="AB73" s="16">
        <v>3102749444</v>
      </c>
      <c r="AC73" s="19">
        <f t="shared" si="66"/>
        <v>72.892041294972188</v>
      </c>
      <c r="AD73" s="19">
        <f t="shared" si="67"/>
        <v>93.488930358206673</v>
      </c>
      <c r="AE73" s="19">
        <f t="shared" si="68"/>
        <v>4.5378430373949303</v>
      </c>
      <c r="AF73" s="19">
        <f t="shared" si="77"/>
        <v>93.404943312090182</v>
      </c>
      <c r="AG73" s="18">
        <f t="shared" si="69"/>
        <v>4.5369442700878944</v>
      </c>
      <c r="AH73" s="16">
        <v>309644595.5</v>
      </c>
      <c r="AI73" s="16">
        <v>1040676846</v>
      </c>
      <c r="AJ73" s="19">
        <f t="shared" si="70"/>
        <v>297.54154393860705</v>
      </c>
      <c r="AK73" s="19">
        <f t="shared" si="71"/>
        <v>381.61698020478434</v>
      </c>
      <c r="AL73" s="19">
        <f t="shared" si="72"/>
        <v>5.9444174359761446</v>
      </c>
      <c r="AM73" s="19">
        <f t="shared" si="73"/>
        <v>380.65080947512052</v>
      </c>
      <c r="AN73" s="18">
        <f t="shared" si="74"/>
        <v>5.9418824443101093</v>
      </c>
      <c r="AO73" s="20">
        <v>72</v>
      </c>
      <c r="AP73" s="20">
        <f t="shared" si="75"/>
        <v>4.2766661190160553</v>
      </c>
      <c r="AQ73" s="20">
        <v>1</v>
      </c>
      <c r="AR73" s="20">
        <v>0</v>
      </c>
      <c r="AS73" s="20">
        <v>0</v>
      </c>
      <c r="AT73" s="18">
        <v>0</v>
      </c>
      <c r="AU73" s="3">
        <v>0</v>
      </c>
      <c r="AV73" s="3">
        <v>1</v>
      </c>
      <c r="AW73" s="3">
        <f t="shared" si="76"/>
        <v>4.2766661190160553</v>
      </c>
      <c r="AX73" s="3" t="s">
        <v>281</v>
      </c>
      <c r="AY73" s="3" t="s">
        <v>44</v>
      </c>
    </row>
    <row r="74" spans="1:51" ht="19.95" customHeight="1" x14ac:dyDescent="0.3">
      <c r="A74" s="3" t="s">
        <v>187</v>
      </c>
      <c r="B74" s="3" t="s">
        <v>188</v>
      </c>
      <c r="C74" s="3">
        <f>Deflators!C81</f>
        <v>1052</v>
      </c>
      <c r="D74" s="3">
        <f>Deflators!D81</f>
        <v>1.2728136882129277</v>
      </c>
      <c r="E74" s="3">
        <f>Deflators!E81</f>
        <v>1251</v>
      </c>
      <c r="F74" s="3">
        <f>Deflators!F81</f>
        <v>1.2478017585931256</v>
      </c>
      <c r="G74" s="16">
        <v>81939000000</v>
      </c>
      <c r="H74" s="16">
        <v>5067300</v>
      </c>
      <c r="I74" s="17">
        <f t="shared" si="52"/>
        <v>16170.14978390859</v>
      </c>
      <c r="J74" s="17">
        <f t="shared" si="53"/>
        <v>102243628297.36212</v>
      </c>
      <c r="K74" s="17">
        <f t="shared" si="54"/>
        <v>20177.141337075391</v>
      </c>
      <c r="L74" s="18">
        <f t="shared" si="55"/>
        <v>25.350624314987442</v>
      </c>
      <c r="M74" s="18">
        <f t="shared" si="56"/>
        <v>9.9123056256508963</v>
      </c>
      <c r="N74" s="19">
        <v>208.89999994840122</v>
      </c>
      <c r="O74" s="19">
        <f t="shared" si="57"/>
        <v>265.89077940200497</v>
      </c>
      <c r="P74" s="19">
        <f t="shared" si="58"/>
        <v>5.5830856207090349</v>
      </c>
      <c r="Q74" s="19">
        <v>138.19999999585957</v>
      </c>
      <c r="R74" s="19">
        <f t="shared" si="59"/>
        <v>175.9028517057566</v>
      </c>
      <c r="S74" s="19">
        <f t="shared" si="60"/>
        <v>5.1699318636971272</v>
      </c>
      <c r="T74" s="17">
        <v>1506.7858332566739</v>
      </c>
      <c r="U74" s="17">
        <f t="shared" si="61"/>
        <v>7635335852.8615437</v>
      </c>
      <c r="V74" s="18">
        <f t="shared" si="62"/>
        <v>7.317734073899965</v>
      </c>
      <c r="W74" s="18">
        <f t="shared" si="63"/>
        <v>22.756052763236511</v>
      </c>
      <c r="X74" s="12">
        <v>4.2</v>
      </c>
      <c r="Y74" s="12">
        <f t="shared" si="64"/>
        <v>4.2000000000000003E-2</v>
      </c>
      <c r="Z74" s="18">
        <f t="shared" si="65"/>
        <v>-3.1700856606987688</v>
      </c>
      <c r="AA74" s="16">
        <v>205000649.5</v>
      </c>
      <c r="AB74" s="16">
        <v>2812678357</v>
      </c>
      <c r="AC74" s="19">
        <f t="shared" si="66"/>
        <v>72.884497791867489</v>
      </c>
      <c r="AD74" s="19">
        <f t="shared" si="67"/>
        <v>92.768386448013842</v>
      </c>
      <c r="AE74" s="19">
        <f t="shared" si="68"/>
        <v>4.5301059184775267</v>
      </c>
      <c r="AF74" s="19">
        <f t="shared" si="77"/>
        <v>93.488930358206673</v>
      </c>
      <c r="AG74" s="18">
        <f t="shared" si="69"/>
        <v>4.5378430373949303</v>
      </c>
      <c r="AH74" s="16">
        <v>293921190.89999998</v>
      </c>
      <c r="AI74" s="16">
        <v>982808668</v>
      </c>
      <c r="AJ74" s="19">
        <f t="shared" si="70"/>
        <v>299.0624731649192</v>
      </c>
      <c r="AK74" s="19">
        <f t="shared" si="71"/>
        <v>380.65080947512052</v>
      </c>
      <c r="AL74" s="19">
        <f t="shared" si="72"/>
        <v>5.9418824443101093</v>
      </c>
      <c r="AM74" s="19">
        <f t="shared" si="73"/>
        <v>382.53401015415591</v>
      </c>
      <c r="AN74" s="18">
        <f t="shared" si="74"/>
        <v>5.9468175647495496</v>
      </c>
      <c r="AO74" s="20">
        <v>73</v>
      </c>
      <c r="AP74" s="20">
        <f t="shared" si="75"/>
        <v>4.290459441148391</v>
      </c>
      <c r="AQ74" s="20">
        <v>1</v>
      </c>
      <c r="AR74" s="20">
        <v>1</v>
      </c>
      <c r="AS74" s="20">
        <v>0</v>
      </c>
      <c r="AT74" s="18">
        <v>0</v>
      </c>
      <c r="AU74" s="3">
        <v>0</v>
      </c>
      <c r="AV74" s="3">
        <v>0</v>
      </c>
      <c r="AW74" s="3">
        <f t="shared" si="76"/>
        <v>4.290459441148391</v>
      </c>
      <c r="AX74" s="3" t="s">
        <v>281</v>
      </c>
      <c r="AY74" s="3" t="s">
        <v>44</v>
      </c>
    </row>
    <row r="75" spans="1:51" ht="19.95" customHeight="1" x14ac:dyDescent="0.3">
      <c r="A75" s="3" t="s">
        <v>189</v>
      </c>
      <c r="B75" s="3" t="s">
        <v>190</v>
      </c>
      <c r="C75" s="3">
        <f>Deflators!C82</f>
        <v>1047</v>
      </c>
      <c r="D75" s="3">
        <f>Deflators!D82</f>
        <v>1.2788920725883477</v>
      </c>
      <c r="E75" s="3">
        <f>Deflators!E82</f>
        <v>1250</v>
      </c>
      <c r="F75" s="3">
        <f>Deflators!F82</f>
        <v>1.2487999999999999</v>
      </c>
      <c r="G75" s="16">
        <v>73696000000</v>
      </c>
      <c r="H75" s="16">
        <v>5072400</v>
      </c>
      <c r="I75" s="17">
        <f t="shared" si="52"/>
        <v>14528.822648056146</v>
      </c>
      <c r="J75" s="17">
        <f t="shared" si="53"/>
        <v>92031564800</v>
      </c>
      <c r="K75" s="17">
        <f t="shared" si="54"/>
        <v>18143.593722892518</v>
      </c>
      <c r="L75" s="18">
        <f t="shared" si="55"/>
        <v>25.245397450803772</v>
      </c>
      <c r="M75" s="18">
        <f t="shared" si="56"/>
        <v>9.8060728144608902</v>
      </c>
      <c r="N75" s="19">
        <v>183.00000000859706</v>
      </c>
      <c r="O75" s="19">
        <f t="shared" si="57"/>
        <v>234.03724929466233</v>
      </c>
      <c r="P75" s="19">
        <f t="shared" si="58"/>
        <v>5.4554802877090349</v>
      </c>
      <c r="Q75" s="19">
        <v>116.20000005329874</v>
      </c>
      <c r="R75" s="19">
        <f t="shared" si="59"/>
        <v>148.60725890292935</v>
      </c>
      <c r="S75" s="19">
        <f t="shared" si="60"/>
        <v>5.0013069796971275</v>
      </c>
      <c r="T75" s="17">
        <v>1476.9731528047046</v>
      </c>
      <c r="U75" s="17">
        <f t="shared" si="61"/>
        <v>7491798620.2865839</v>
      </c>
      <c r="V75" s="18">
        <f t="shared" si="62"/>
        <v>7.2977501055244085</v>
      </c>
      <c r="W75" s="18">
        <f t="shared" si="63"/>
        <v>22.737074741867289</v>
      </c>
      <c r="X75" s="12">
        <v>4.0999999999999996</v>
      </c>
      <c r="Y75" s="12">
        <f t="shared" si="64"/>
        <v>4.0999999999999995E-2</v>
      </c>
      <c r="Z75" s="18">
        <f t="shared" si="65"/>
        <v>-3.1941832122778293</v>
      </c>
      <c r="AA75" s="16">
        <v>191574900.30000001</v>
      </c>
      <c r="AB75" s="16">
        <v>2631289175</v>
      </c>
      <c r="AC75" s="19">
        <f t="shared" si="66"/>
        <v>72.806479090235314</v>
      </c>
      <c r="AD75" s="19">
        <f t="shared" si="67"/>
        <v>93.11162894157124</v>
      </c>
      <c r="AE75" s="19">
        <f t="shared" si="68"/>
        <v>4.5337990845553886</v>
      </c>
      <c r="AF75" s="19">
        <f t="shared" si="77"/>
        <v>92.768386448013842</v>
      </c>
      <c r="AG75" s="18">
        <f t="shared" si="69"/>
        <v>4.5301059184775267</v>
      </c>
      <c r="AH75" s="16">
        <v>250716752.80000001</v>
      </c>
      <c r="AI75" s="16">
        <v>838199112</v>
      </c>
      <c r="AJ75" s="19">
        <f t="shared" si="70"/>
        <v>299.11359867916445</v>
      </c>
      <c r="AK75" s="19">
        <f t="shared" si="71"/>
        <v>382.53401015415591</v>
      </c>
      <c r="AL75" s="19">
        <f t="shared" si="72"/>
        <v>5.9468175647495496</v>
      </c>
      <c r="AM75" s="19">
        <f t="shared" si="73"/>
        <v>384.88161836876446</v>
      </c>
      <c r="AN75" s="18">
        <f t="shared" si="74"/>
        <v>5.9529358022481977</v>
      </c>
      <c r="AO75" s="20">
        <v>74</v>
      </c>
      <c r="AP75" s="20">
        <f t="shared" si="75"/>
        <v>4.3040650932041702</v>
      </c>
      <c r="AQ75" s="20">
        <v>1</v>
      </c>
      <c r="AR75" s="20">
        <v>1</v>
      </c>
      <c r="AS75" s="20">
        <v>0</v>
      </c>
      <c r="AT75" s="18">
        <v>1</v>
      </c>
      <c r="AU75" s="3">
        <v>0</v>
      </c>
      <c r="AV75" s="3">
        <v>0</v>
      </c>
      <c r="AW75" s="3">
        <f t="shared" si="76"/>
        <v>4.3040650932041702</v>
      </c>
      <c r="AX75" s="3" t="s">
        <v>281</v>
      </c>
      <c r="AY75" s="3" t="s">
        <v>44</v>
      </c>
    </row>
    <row r="76" spans="1:51" ht="19.95" customHeight="1" x14ac:dyDescent="0.3">
      <c r="A76" s="3" t="s">
        <v>191</v>
      </c>
      <c r="B76" s="3" t="s">
        <v>192</v>
      </c>
      <c r="C76" s="3">
        <f>Deflators!C83</f>
        <v>1054</v>
      </c>
      <c r="D76" s="3">
        <f>Deflators!D83</f>
        <v>1.2703984819734346</v>
      </c>
      <c r="E76" s="3">
        <f>Deflators!E83</f>
        <v>1250</v>
      </c>
      <c r="F76" s="3">
        <f>Deflators!F83</f>
        <v>1.2487999999999999</v>
      </c>
      <c r="G76" s="16">
        <v>84045000000</v>
      </c>
      <c r="H76" s="16">
        <v>5078700</v>
      </c>
      <c r="I76" s="17">
        <f t="shared" si="52"/>
        <v>16548.526197649004</v>
      </c>
      <c r="J76" s="17">
        <f t="shared" si="53"/>
        <v>104955396000</v>
      </c>
      <c r="K76" s="17">
        <f t="shared" si="54"/>
        <v>20665.799515624076</v>
      </c>
      <c r="L76" s="18">
        <f t="shared" si="55"/>
        <v>25.376801296850854</v>
      </c>
      <c r="M76" s="18">
        <f t="shared" si="56"/>
        <v>9.9362354155574035</v>
      </c>
      <c r="N76" s="19">
        <v>186.39999997533559</v>
      </c>
      <c r="O76" s="19">
        <f t="shared" si="57"/>
        <v>236.80227700851458</v>
      </c>
      <c r="P76" s="19">
        <f t="shared" si="58"/>
        <v>5.4672255187090357</v>
      </c>
      <c r="Q76" s="19">
        <v>114.3000000350327</v>
      </c>
      <c r="R76" s="19">
        <f t="shared" si="59"/>
        <v>145.20654653406905</v>
      </c>
      <c r="S76" s="19">
        <f t="shared" si="60"/>
        <v>4.9781571876971276</v>
      </c>
      <c r="T76" s="17">
        <v>1518.7948311969797</v>
      </c>
      <c r="U76" s="17">
        <f t="shared" si="61"/>
        <v>7713503309.2001009</v>
      </c>
      <c r="V76" s="18">
        <f t="shared" si="62"/>
        <v>7.3256724251368048</v>
      </c>
      <c r="W76" s="18">
        <f t="shared" si="63"/>
        <v>22.766238306430257</v>
      </c>
      <c r="X76" s="12">
        <v>5.2</v>
      </c>
      <c r="Y76" s="12">
        <f t="shared" si="64"/>
        <v>5.2000000000000005E-2</v>
      </c>
      <c r="Z76" s="18">
        <f t="shared" si="65"/>
        <v>-2.9565115604007097</v>
      </c>
      <c r="AA76" s="16">
        <v>212541056.69999999</v>
      </c>
      <c r="AB76" s="16">
        <v>2778045013</v>
      </c>
      <c r="AC76" s="19">
        <f t="shared" si="66"/>
        <v>76.507420040137418</v>
      </c>
      <c r="AD76" s="19">
        <f t="shared" si="67"/>
        <v>97.194910278694508</v>
      </c>
      <c r="AE76" s="19">
        <f t="shared" si="68"/>
        <v>4.5767183467074668</v>
      </c>
      <c r="AF76" s="19">
        <f t="shared" si="77"/>
        <v>93.11162894157124</v>
      </c>
      <c r="AG76" s="18">
        <f t="shared" si="69"/>
        <v>4.5337990845553886</v>
      </c>
      <c r="AH76" s="16">
        <v>307169857.69999999</v>
      </c>
      <c r="AI76" s="16">
        <v>1013891291</v>
      </c>
      <c r="AJ76" s="19">
        <f t="shared" si="70"/>
        <v>302.96133365248522</v>
      </c>
      <c r="AK76" s="19">
        <f t="shared" si="71"/>
        <v>384.88161836876446</v>
      </c>
      <c r="AL76" s="19">
        <f t="shared" si="72"/>
        <v>5.9529358022481977</v>
      </c>
      <c r="AM76" s="19">
        <f t="shared" si="73"/>
        <v>398.07341060870971</v>
      </c>
      <c r="AN76" s="18">
        <f t="shared" si="74"/>
        <v>5.986636437041458</v>
      </c>
      <c r="AO76" s="20">
        <v>75</v>
      </c>
      <c r="AP76" s="20">
        <f t="shared" si="75"/>
        <v>4.3174881135363101</v>
      </c>
      <c r="AQ76" s="20">
        <v>1</v>
      </c>
      <c r="AR76" s="20">
        <v>1</v>
      </c>
      <c r="AS76" s="20">
        <v>0</v>
      </c>
      <c r="AT76" s="18">
        <v>0</v>
      </c>
      <c r="AU76" s="3">
        <v>1</v>
      </c>
      <c r="AV76" s="3">
        <v>0</v>
      </c>
      <c r="AW76" s="3">
        <f t="shared" si="76"/>
        <v>4.3174881135363101</v>
      </c>
      <c r="AX76" s="3" t="s">
        <v>281</v>
      </c>
      <c r="AY76" s="3" t="s">
        <v>44</v>
      </c>
    </row>
    <row r="77" spans="1:51" ht="19.95" customHeight="1" x14ac:dyDescent="0.3">
      <c r="A77" s="3" t="s">
        <v>193</v>
      </c>
      <c r="B77" s="3" t="s">
        <v>194</v>
      </c>
      <c r="C77" s="3">
        <f>Deflators!C84</f>
        <v>1059</v>
      </c>
      <c r="D77" s="3">
        <f>Deflators!D84</f>
        <v>1.2644003777148254</v>
      </c>
      <c r="E77" s="3">
        <f>Deflators!E84</f>
        <v>1252</v>
      </c>
      <c r="F77" s="3">
        <f>Deflators!F84</f>
        <v>1.2468051118210863</v>
      </c>
      <c r="G77" s="16">
        <v>84539000000</v>
      </c>
      <c r="H77" s="16">
        <v>5081400</v>
      </c>
      <c r="I77" s="17">
        <f t="shared" si="52"/>
        <v>16636.950446727278</v>
      </c>
      <c r="J77" s="17">
        <f t="shared" si="53"/>
        <v>105403657348.24281</v>
      </c>
      <c r="K77" s="17">
        <f t="shared" si="54"/>
        <v>20743.034862093678</v>
      </c>
      <c r="L77" s="18">
        <f t="shared" si="55"/>
        <v>25.381063172150352</v>
      </c>
      <c r="M77" s="18">
        <f t="shared" si="56"/>
        <v>9.9399658000126063</v>
      </c>
      <c r="N77" s="19">
        <v>186.79999996722162</v>
      </c>
      <c r="O77" s="19">
        <f t="shared" si="57"/>
        <v>236.1899905156844</v>
      </c>
      <c r="P77" s="19">
        <f t="shared" si="58"/>
        <v>5.464636525709035</v>
      </c>
      <c r="Q77" s="19">
        <v>113.69999998304404</v>
      </c>
      <c r="R77" s="19">
        <f t="shared" si="59"/>
        <v>143.76232292473651</v>
      </c>
      <c r="S77" s="19">
        <f t="shared" si="60"/>
        <v>4.9681614006971273</v>
      </c>
      <c r="T77" s="17">
        <v>1541.7142427336294</v>
      </c>
      <c r="U77" s="17">
        <f t="shared" si="61"/>
        <v>7834066753.0266638</v>
      </c>
      <c r="V77" s="18">
        <f t="shared" si="62"/>
        <v>7.3406502209537949</v>
      </c>
      <c r="W77" s="18">
        <f t="shared" si="63"/>
        <v>22.781747593091541</v>
      </c>
      <c r="X77" s="12">
        <v>4.9000000000000004</v>
      </c>
      <c r="Y77" s="12">
        <f t="shared" si="64"/>
        <v>4.9000000000000002E-2</v>
      </c>
      <c r="Z77" s="18">
        <f t="shared" si="65"/>
        <v>-3.0159349808715104</v>
      </c>
      <c r="AA77" s="16">
        <v>238134190.30000001</v>
      </c>
      <c r="AB77" s="16">
        <v>3098962585</v>
      </c>
      <c r="AC77" s="19">
        <f t="shared" si="66"/>
        <v>76.843196317583164</v>
      </c>
      <c r="AD77" s="19">
        <f t="shared" si="67"/>
        <v>97.16056644876663</v>
      </c>
      <c r="AE77" s="19">
        <f t="shared" si="68"/>
        <v>4.576364934178387</v>
      </c>
      <c r="AF77" s="19">
        <f t="shared" si="77"/>
        <v>97.194910278694508</v>
      </c>
      <c r="AG77" s="18">
        <f t="shared" si="69"/>
        <v>4.5767183467074668</v>
      </c>
      <c r="AH77" s="16">
        <v>336117526</v>
      </c>
      <c r="AI77" s="16">
        <v>1067609932</v>
      </c>
      <c r="AJ77" s="19">
        <f t="shared" si="70"/>
        <v>314.83177134773979</v>
      </c>
      <c r="AK77" s="19">
        <f t="shared" si="71"/>
        <v>398.07341060870971</v>
      </c>
      <c r="AL77" s="19">
        <f t="shared" si="72"/>
        <v>5.986636437041458</v>
      </c>
      <c r="AM77" s="19">
        <f t="shared" si="73"/>
        <v>395.71221568473607</v>
      </c>
      <c r="AN77" s="18">
        <f t="shared" si="74"/>
        <v>5.9806872189907825</v>
      </c>
      <c r="AO77" s="20">
        <v>76</v>
      </c>
      <c r="AP77" s="20">
        <f t="shared" si="75"/>
        <v>4.3307333402863311</v>
      </c>
      <c r="AQ77" s="20">
        <v>1</v>
      </c>
      <c r="AR77" s="20">
        <v>1</v>
      </c>
      <c r="AS77" s="20">
        <v>0</v>
      </c>
      <c r="AT77" s="18">
        <v>0</v>
      </c>
      <c r="AU77" s="3">
        <v>0</v>
      </c>
      <c r="AV77" s="3">
        <v>1</v>
      </c>
      <c r="AW77" s="3">
        <f t="shared" si="76"/>
        <v>4.3307333402863311</v>
      </c>
      <c r="AX77" s="3" t="s">
        <v>281</v>
      </c>
      <c r="AY77" s="3" t="s">
        <v>44</v>
      </c>
    </row>
    <row r="78" spans="1:51" ht="19.95" customHeight="1" x14ac:dyDescent="0.3">
      <c r="A78" s="3" t="s">
        <v>195</v>
      </c>
      <c r="B78" s="3" t="s">
        <v>196</v>
      </c>
      <c r="C78" s="3">
        <f>Deflators!C85</f>
        <v>1068</v>
      </c>
      <c r="D78" s="3">
        <f>Deflators!D85</f>
        <v>1.2537453183520599</v>
      </c>
      <c r="E78" s="3">
        <f>Deflators!E85</f>
        <v>1258</v>
      </c>
      <c r="F78" s="3">
        <f>Deflators!F85</f>
        <v>1.2408585055643879</v>
      </c>
      <c r="G78" s="16">
        <v>86716000000</v>
      </c>
      <c r="H78" s="16">
        <v>5083400</v>
      </c>
      <c r="I78" s="17">
        <f t="shared" si="52"/>
        <v>17058.661525750482</v>
      </c>
      <c r="J78" s="17">
        <f t="shared" si="53"/>
        <v>107602286168.52147</v>
      </c>
      <c r="K78" s="17">
        <f t="shared" si="54"/>
        <v>21167.385247771464</v>
      </c>
      <c r="L78" s="18">
        <f t="shared" si="55"/>
        <v>25.401707731367726</v>
      </c>
      <c r="M78" s="18">
        <f t="shared" si="56"/>
        <v>9.9602168443500414</v>
      </c>
      <c r="N78" s="19">
        <v>200.29999997320598</v>
      </c>
      <c r="O78" s="19">
        <f t="shared" si="57"/>
        <v>251.12518723232472</v>
      </c>
      <c r="P78" s="19">
        <f t="shared" si="58"/>
        <v>5.5259515687090355</v>
      </c>
      <c r="Q78" s="19">
        <v>127.99999994962913</v>
      </c>
      <c r="R78" s="19">
        <f t="shared" si="59"/>
        <v>160.47940068591143</v>
      </c>
      <c r="S78" s="19">
        <f t="shared" si="60"/>
        <v>5.0781655896971269</v>
      </c>
      <c r="T78" s="17">
        <v>1517.525141584026</v>
      </c>
      <c r="U78" s="17">
        <f t="shared" si="61"/>
        <v>7714187304.7282372</v>
      </c>
      <c r="V78" s="18">
        <f t="shared" si="62"/>
        <v>7.3248360905618304</v>
      </c>
      <c r="W78" s="18">
        <f t="shared" si="63"/>
        <v>22.766326977579517</v>
      </c>
      <c r="X78" s="12">
        <v>4.5999999999999996</v>
      </c>
      <c r="Y78" s="12">
        <f t="shared" si="64"/>
        <v>4.5999999999999999E-2</v>
      </c>
      <c r="Z78" s="18">
        <f t="shared" si="65"/>
        <v>-3.0791138824930422</v>
      </c>
      <c r="AA78" s="16">
        <v>235198247.09999999</v>
      </c>
      <c r="AB78" s="16">
        <v>3057690721</v>
      </c>
      <c r="AC78" s="19">
        <f t="shared" si="66"/>
        <v>76.920221356815247</v>
      </c>
      <c r="AD78" s="19">
        <f t="shared" si="67"/>
        <v>96.438367412711258</v>
      </c>
      <c r="AE78" s="19">
        <f t="shared" si="68"/>
        <v>4.568904124641179</v>
      </c>
      <c r="AF78" s="19">
        <f t="shared" si="77"/>
        <v>97.16056644876663</v>
      </c>
      <c r="AG78" s="18">
        <f t="shared" si="69"/>
        <v>4.576364934178387</v>
      </c>
      <c r="AH78" s="16">
        <v>327233381.30000001</v>
      </c>
      <c r="AI78" s="16">
        <v>1036782044</v>
      </c>
      <c r="AJ78" s="19">
        <f t="shared" si="70"/>
        <v>315.62408241321742</v>
      </c>
      <c r="AK78" s="19">
        <f t="shared" si="71"/>
        <v>395.71221568473607</v>
      </c>
      <c r="AL78" s="19">
        <f t="shared" si="72"/>
        <v>5.9806872189907825</v>
      </c>
      <c r="AM78" s="19">
        <f t="shared" si="73"/>
        <v>393.40072908592475</v>
      </c>
      <c r="AN78" s="18">
        <f t="shared" si="74"/>
        <v>5.9748287592474068</v>
      </c>
      <c r="AO78" s="20">
        <v>77</v>
      </c>
      <c r="AP78" s="20">
        <f t="shared" si="75"/>
        <v>4.3438054218536841</v>
      </c>
      <c r="AQ78" s="20">
        <v>1</v>
      </c>
      <c r="AR78" s="20">
        <v>0</v>
      </c>
      <c r="AS78" s="20">
        <v>1</v>
      </c>
      <c r="AT78" s="18">
        <v>0</v>
      </c>
      <c r="AU78" s="3">
        <v>0</v>
      </c>
      <c r="AV78" s="3">
        <v>0</v>
      </c>
      <c r="AW78" s="3">
        <f t="shared" si="76"/>
        <v>4.3438054218536841</v>
      </c>
      <c r="AX78" s="3" t="s">
        <v>281</v>
      </c>
      <c r="AY78" s="3" t="s">
        <v>44</v>
      </c>
    </row>
    <row r="79" spans="1:51" ht="19.95" customHeight="1" x14ac:dyDescent="0.3">
      <c r="A79" s="3" t="s">
        <v>197</v>
      </c>
      <c r="B79" s="3" t="s">
        <v>198</v>
      </c>
      <c r="C79" s="3">
        <f>Deflators!C86</f>
        <v>1082</v>
      </c>
      <c r="D79" s="3">
        <f>Deflators!D86</f>
        <v>1.2375231053604436</v>
      </c>
      <c r="E79" s="3">
        <f>Deflators!E86</f>
        <v>1273</v>
      </c>
      <c r="F79" s="3">
        <f>Deflators!F86</f>
        <v>1.2262372348782404</v>
      </c>
      <c r="G79" s="16">
        <v>88442000000</v>
      </c>
      <c r="H79" s="16">
        <v>5084600</v>
      </c>
      <c r="I79" s="17">
        <f t="shared" si="52"/>
        <v>17394.091963969633</v>
      </c>
      <c r="J79" s="17">
        <f t="shared" si="53"/>
        <v>108450873527.10133</v>
      </c>
      <c r="K79" s="17">
        <f t="shared" si="54"/>
        <v>21329.283233115944</v>
      </c>
      <c r="L79" s="18">
        <f t="shared" si="55"/>
        <v>25.409563128839704</v>
      </c>
      <c r="M79" s="18">
        <f t="shared" si="56"/>
        <v>9.9678362072025113</v>
      </c>
      <c r="N79" s="19">
        <v>212.89999989884188</v>
      </c>
      <c r="O79" s="19">
        <f t="shared" si="57"/>
        <v>263.46866900605295</v>
      </c>
      <c r="P79" s="19">
        <f t="shared" si="58"/>
        <v>5.5739344577090355</v>
      </c>
      <c r="Q79" s="19">
        <v>139.60000001174171</v>
      </c>
      <c r="R79" s="19">
        <f t="shared" si="59"/>
        <v>172.75822552284856</v>
      </c>
      <c r="S79" s="19">
        <f t="shared" si="60"/>
        <v>5.1518930766971271</v>
      </c>
      <c r="T79" s="17">
        <v>1521.0163063402231</v>
      </c>
      <c r="U79" s="17">
        <f t="shared" si="61"/>
        <v>7733759511.2174978</v>
      </c>
      <c r="V79" s="18">
        <f t="shared" si="62"/>
        <v>7.3271340130040761</v>
      </c>
      <c r="W79" s="18">
        <f t="shared" si="63"/>
        <v>22.768860934641268</v>
      </c>
      <c r="X79" s="12">
        <v>4</v>
      </c>
      <c r="Y79" s="12">
        <f t="shared" si="64"/>
        <v>0.04</v>
      </c>
      <c r="Z79" s="18">
        <f t="shared" si="65"/>
        <v>-3.2188758248682006</v>
      </c>
      <c r="AA79" s="16">
        <v>235527731.59999999</v>
      </c>
      <c r="AB79" s="16">
        <v>3063464694</v>
      </c>
      <c r="AC79" s="19">
        <f t="shared" si="66"/>
        <v>76.882796156031034</v>
      </c>
      <c r="AD79" s="19">
        <f t="shared" si="67"/>
        <v>95.144236647805499</v>
      </c>
      <c r="AE79" s="19">
        <f t="shared" si="68"/>
        <v>4.5553940206812209</v>
      </c>
      <c r="AF79" s="19">
        <f t="shared" si="77"/>
        <v>96.438367412711258</v>
      </c>
      <c r="AG79" s="18">
        <f t="shared" si="69"/>
        <v>4.568904124641179</v>
      </c>
      <c r="AH79" s="16">
        <v>325190013.60000002</v>
      </c>
      <c r="AI79" s="16">
        <v>1022952236</v>
      </c>
      <c r="AJ79" s="19">
        <f t="shared" si="70"/>
        <v>317.89364366764045</v>
      </c>
      <c r="AK79" s="19">
        <f t="shared" si="71"/>
        <v>393.40072908592475</v>
      </c>
      <c r="AL79" s="19">
        <f t="shared" si="72"/>
        <v>5.9748287592474068</v>
      </c>
      <c r="AM79" s="19">
        <f t="shared" si="73"/>
        <v>382.25254987461398</v>
      </c>
      <c r="AN79" s="18">
        <f t="shared" si="74"/>
        <v>5.9460815154857167</v>
      </c>
      <c r="AO79" s="20">
        <v>78</v>
      </c>
      <c r="AP79" s="20">
        <f t="shared" si="75"/>
        <v>4.3567088266895917</v>
      </c>
      <c r="AQ79" s="20">
        <v>1</v>
      </c>
      <c r="AR79" s="20">
        <v>0</v>
      </c>
      <c r="AS79" s="20">
        <v>1</v>
      </c>
      <c r="AT79" s="18">
        <v>1</v>
      </c>
      <c r="AU79" s="3">
        <v>0</v>
      </c>
      <c r="AV79" s="3">
        <v>0</v>
      </c>
      <c r="AW79" s="3">
        <f t="shared" si="76"/>
        <v>4.3567088266895917</v>
      </c>
      <c r="AX79" s="3" t="s">
        <v>281</v>
      </c>
      <c r="AY79" s="3" t="s">
        <v>44</v>
      </c>
    </row>
    <row r="80" spans="1:51" ht="19.95" customHeight="1" x14ac:dyDescent="0.3">
      <c r="A80" s="3" t="s">
        <v>199</v>
      </c>
      <c r="B80" s="3" t="s">
        <v>200</v>
      </c>
      <c r="C80" s="3">
        <f>Deflators!C87</f>
        <v>1106</v>
      </c>
      <c r="D80" s="3">
        <f>Deflators!D87</f>
        <v>1.2106690777576854</v>
      </c>
      <c r="E80" s="3">
        <f>Deflators!E87</f>
        <v>1302</v>
      </c>
      <c r="F80" s="3">
        <f>Deflators!F87</f>
        <v>1.1989247311827957</v>
      </c>
      <c r="G80" s="16">
        <v>86465000000</v>
      </c>
      <c r="H80" s="16">
        <v>5086100</v>
      </c>
      <c r="I80" s="17">
        <f t="shared" si="52"/>
        <v>17000.255598592241</v>
      </c>
      <c r="J80" s="17">
        <f t="shared" si="53"/>
        <v>103665026881.72043</v>
      </c>
      <c r="K80" s="17">
        <f t="shared" si="54"/>
        <v>20382.02687358102</v>
      </c>
      <c r="L80" s="18">
        <f t="shared" si="55"/>
        <v>25.364430642471213</v>
      </c>
      <c r="M80" s="18">
        <f t="shared" si="56"/>
        <v>9.9224087558835521</v>
      </c>
      <c r="N80" s="19">
        <v>227.39999995081513</v>
      </c>
      <c r="O80" s="19">
        <f t="shared" si="57"/>
        <v>275.30614822255103</v>
      </c>
      <c r="P80" s="19">
        <f t="shared" si="58"/>
        <v>5.6178837447090357</v>
      </c>
      <c r="Q80" s="19">
        <v>152.19999994835089</v>
      </c>
      <c r="R80" s="19">
        <f t="shared" si="59"/>
        <v>184.26383357218975</v>
      </c>
      <c r="S80" s="19">
        <f t="shared" si="60"/>
        <v>5.2163686086971275</v>
      </c>
      <c r="T80" s="17">
        <v>1489.1106467848222</v>
      </c>
      <c r="U80" s="17">
        <f t="shared" si="61"/>
        <v>7573765660.6122837</v>
      </c>
      <c r="V80" s="18">
        <f t="shared" si="62"/>
        <v>7.3059343393824472</v>
      </c>
      <c r="W80" s="18">
        <f t="shared" si="63"/>
        <v>22.74795622597011</v>
      </c>
      <c r="X80" s="12">
        <v>3.3</v>
      </c>
      <c r="Y80" s="12">
        <f t="shared" si="64"/>
        <v>3.3000000000000002E-2</v>
      </c>
      <c r="Z80" s="18">
        <f t="shared" si="65"/>
        <v>-3.4112477175156566</v>
      </c>
      <c r="AA80" s="16">
        <v>201332032.59999999</v>
      </c>
      <c r="AB80" s="16">
        <v>2623042829</v>
      </c>
      <c r="AC80" s="19">
        <f t="shared" si="66"/>
        <v>76.755144969079723</v>
      </c>
      <c r="AD80" s="19">
        <f t="shared" si="67"/>
        <v>92.925080572873199</v>
      </c>
      <c r="AE80" s="19">
        <f t="shared" si="68"/>
        <v>4.5317935832571736</v>
      </c>
      <c r="AF80" s="19">
        <f t="shared" si="77"/>
        <v>95.144236647805499</v>
      </c>
      <c r="AG80" s="18">
        <f t="shared" si="69"/>
        <v>4.5553940206812209</v>
      </c>
      <c r="AH80" s="16">
        <v>300945828.60000002</v>
      </c>
      <c r="AI80" s="16">
        <v>953154685</v>
      </c>
      <c r="AJ80" s="19">
        <f t="shared" si="70"/>
        <v>315.73660953048773</v>
      </c>
      <c r="AK80" s="19">
        <f t="shared" si="71"/>
        <v>382.25254987461398</v>
      </c>
      <c r="AL80" s="19">
        <f t="shared" si="72"/>
        <v>5.9460815154857167</v>
      </c>
      <c r="AM80" s="19">
        <f t="shared" si="73"/>
        <v>379.14541303145751</v>
      </c>
      <c r="AN80" s="18">
        <f t="shared" si="74"/>
        <v>5.9379198070425288</v>
      </c>
      <c r="AO80" s="20">
        <v>79</v>
      </c>
      <c r="AP80" s="20">
        <f t="shared" si="75"/>
        <v>4.3694478524670215</v>
      </c>
      <c r="AQ80" s="20">
        <v>1</v>
      </c>
      <c r="AR80" s="20">
        <v>0</v>
      </c>
      <c r="AS80" s="20">
        <v>1</v>
      </c>
      <c r="AT80" s="18">
        <v>0</v>
      </c>
      <c r="AU80" s="3">
        <v>1</v>
      </c>
      <c r="AV80" s="3">
        <v>0</v>
      </c>
      <c r="AW80" s="3">
        <f t="shared" si="76"/>
        <v>4.3694478524670215</v>
      </c>
      <c r="AX80" s="3" t="s">
        <v>281</v>
      </c>
      <c r="AY80" s="3" t="s">
        <v>44</v>
      </c>
    </row>
    <row r="81" spans="1:51" ht="19.95" customHeight="1" x14ac:dyDescent="0.3">
      <c r="A81" s="3" t="s">
        <v>201</v>
      </c>
      <c r="B81" s="3" t="s">
        <v>202</v>
      </c>
      <c r="C81" s="3">
        <f>Deflators!C88</f>
        <v>1122</v>
      </c>
      <c r="D81" s="3">
        <f>Deflators!D88</f>
        <v>1.1934046345811051</v>
      </c>
      <c r="E81" s="3">
        <f>Deflators!E88</f>
        <v>1320</v>
      </c>
      <c r="F81" s="3">
        <f>Deflators!F88</f>
        <v>1.1825757575757576</v>
      </c>
      <c r="G81" s="16">
        <v>91173000000</v>
      </c>
      <c r="H81" s="16">
        <v>5085400</v>
      </c>
      <c r="I81" s="17">
        <f t="shared" si="52"/>
        <v>17928.383214693044</v>
      </c>
      <c r="J81" s="17">
        <f t="shared" si="53"/>
        <v>107818979545.45454</v>
      </c>
      <c r="K81" s="17">
        <f t="shared" si="54"/>
        <v>21201.671362224122</v>
      </c>
      <c r="L81" s="18">
        <f t="shared" si="55"/>
        <v>25.403719542497903</v>
      </c>
      <c r="M81" s="18">
        <f t="shared" si="56"/>
        <v>9.9618352953933247</v>
      </c>
      <c r="N81" s="19">
        <v>245.39999995673443</v>
      </c>
      <c r="O81" s="19">
        <f t="shared" si="57"/>
        <v>292.86149727456984</v>
      </c>
      <c r="P81" s="19">
        <f t="shared" si="58"/>
        <v>5.6796997917090355</v>
      </c>
      <c r="Q81" s="19">
        <v>170.50000006223667</v>
      </c>
      <c r="R81" s="19">
        <f t="shared" si="59"/>
        <v>203.47549027035194</v>
      </c>
      <c r="S81" s="19">
        <f t="shared" si="60"/>
        <v>5.3155455566971268</v>
      </c>
      <c r="T81" s="17">
        <v>1475.7690225316271</v>
      </c>
      <c r="U81" s="17">
        <f t="shared" si="61"/>
        <v>7504875787.1823368</v>
      </c>
      <c r="V81" s="18">
        <f t="shared" si="62"/>
        <v>7.2969345041150575</v>
      </c>
      <c r="W81" s="18">
        <f t="shared" si="63"/>
        <v>22.738818751219632</v>
      </c>
      <c r="X81" s="12">
        <v>3.2</v>
      </c>
      <c r="Y81" s="12">
        <f t="shared" si="64"/>
        <v>3.2000000000000001E-2</v>
      </c>
      <c r="Z81" s="18">
        <f t="shared" si="65"/>
        <v>-3.4420193761824103</v>
      </c>
      <c r="AA81" s="16">
        <v>223598889.30000001</v>
      </c>
      <c r="AB81" s="16">
        <v>2915860475</v>
      </c>
      <c r="AC81" s="19">
        <f t="shared" si="66"/>
        <v>76.683672355756315</v>
      </c>
      <c r="AD81" s="19">
        <f t="shared" si="67"/>
        <v>91.514649986058558</v>
      </c>
      <c r="AE81" s="19">
        <f t="shared" si="68"/>
        <v>4.5164990686026281</v>
      </c>
      <c r="AF81" s="19">
        <f t="shared" si="77"/>
        <v>92.925080572873199</v>
      </c>
      <c r="AG81" s="18">
        <f t="shared" si="69"/>
        <v>4.5317935832571736</v>
      </c>
      <c r="AH81" s="16">
        <v>340356594.80000001</v>
      </c>
      <c r="AI81" s="16">
        <v>1071312282</v>
      </c>
      <c r="AJ81" s="19">
        <f t="shared" si="70"/>
        <v>317.70063735720339</v>
      </c>
      <c r="AK81" s="19">
        <f t="shared" si="71"/>
        <v>379.14541303145751</v>
      </c>
      <c r="AL81" s="19">
        <f t="shared" si="72"/>
        <v>5.9379198070425288</v>
      </c>
      <c r="AM81" s="19">
        <f t="shared" si="73"/>
        <v>370.43343129193909</v>
      </c>
      <c r="AN81" s="18">
        <f t="shared" si="74"/>
        <v>5.9146737559667359</v>
      </c>
      <c r="AO81" s="20">
        <v>80</v>
      </c>
      <c r="AP81" s="20">
        <f t="shared" si="75"/>
        <v>4.3820266346738812</v>
      </c>
      <c r="AQ81" s="20">
        <v>1</v>
      </c>
      <c r="AR81" s="20">
        <v>0</v>
      </c>
      <c r="AS81" s="20">
        <v>1</v>
      </c>
      <c r="AT81" s="18">
        <v>0</v>
      </c>
      <c r="AU81" s="3">
        <v>0</v>
      </c>
      <c r="AV81" s="3">
        <v>1</v>
      </c>
      <c r="AW81" s="3">
        <f t="shared" si="76"/>
        <v>4.3820266346738812</v>
      </c>
      <c r="AX81" s="3" t="s">
        <v>281</v>
      </c>
      <c r="AY81" s="3" t="s">
        <v>44</v>
      </c>
    </row>
    <row r="82" spans="1:51" ht="19.95" customHeight="1" x14ac:dyDescent="0.3">
      <c r="A82" s="3" t="s">
        <v>203</v>
      </c>
      <c r="B82" s="3" t="s">
        <v>204</v>
      </c>
      <c r="C82" s="3">
        <f>Deflators!C89</f>
        <v>1142</v>
      </c>
      <c r="D82" s="3">
        <f>Deflators!D89</f>
        <v>1.1725043782837128</v>
      </c>
      <c r="E82" s="3">
        <f>Deflators!E89</f>
        <v>1339</v>
      </c>
      <c r="F82" s="3">
        <f>Deflators!F89</f>
        <v>1.1657953696788648</v>
      </c>
      <c r="G82" s="16">
        <v>92559000000</v>
      </c>
      <c r="H82" s="16">
        <v>5081800</v>
      </c>
      <c r="I82" s="17">
        <f t="shared" si="52"/>
        <v>18213.821874139085</v>
      </c>
      <c r="J82" s="17">
        <f t="shared" si="53"/>
        <v>107904853622.10605</v>
      </c>
      <c r="K82" s="17">
        <f t="shared" si="54"/>
        <v>21233.589205026969</v>
      </c>
      <c r="L82" s="18">
        <f t="shared" si="55"/>
        <v>25.404515690794792</v>
      </c>
      <c r="M82" s="18">
        <f t="shared" si="56"/>
        <v>9.9633396032917663</v>
      </c>
      <c r="N82" s="19">
        <v>266.80000005131899</v>
      </c>
      <c r="O82" s="19">
        <f t="shared" si="57"/>
        <v>312.82416818626632</v>
      </c>
      <c r="P82" s="19">
        <f t="shared" si="58"/>
        <v>5.7456412697090355</v>
      </c>
      <c r="Q82" s="19">
        <v>198.40000007363369</v>
      </c>
      <c r="R82" s="19">
        <f t="shared" si="59"/>
        <v>232.62486873782444</v>
      </c>
      <c r="S82" s="19">
        <f t="shared" si="60"/>
        <v>5.4494271506971268</v>
      </c>
      <c r="T82" s="17">
        <v>1455.9408190336771</v>
      </c>
      <c r="U82" s="17">
        <f t="shared" si="61"/>
        <v>7398800054.1653404</v>
      </c>
      <c r="V82" s="18">
        <f t="shared" si="62"/>
        <v>7.2834075816624706</v>
      </c>
      <c r="W82" s="18">
        <f t="shared" si="63"/>
        <v>22.724583669165497</v>
      </c>
      <c r="X82" s="12">
        <v>3.3</v>
      </c>
      <c r="Y82" s="12">
        <f t="shared" si="64"/>
        <v>3.3000000000000002E-2</v>
      </c>
      <c r="Z82" s="18">
        <f t="shared" si="65"/>
        <v>-3.4112477175156566</v>
      </c>
      <c r="AA82" s="16">
        <v>223660744.30000001</v>
      </c>
      <c r="AB82" s="16">
        <v>2912022134</v>
      </c>
      <c r="AC82" s="19">
        <f t="shared" si="66"/>
        <v>76.805990479466601</v>
      </c>
      <c r="AD82" s="19">
        <f t="shared" si="67"/>
        <v>90.055360115591753</v>
      </c>
      <c r="AE82" s="19">
        <f t="shared" si="68"/>
        <v>4.5004245936216423</v>
      </c>
      <c r="AF82" s="19">
        <f t="shared" si="77"/>
        <v>91.514649986058558</v>
      </c>
      <c r="AG82" s="18">
        <f t="shared" si="69"/>
        <v>4.5164990686026281</v>
      </c>
      <c r="AH82" s="16">
        <v>326548053.60000002</v>
      </c>
      <c r="AI82" s="16">
        <v>1033597376</v>
      </c>
      <c r="AJ82" s="19">
        <f t="shared" si="70"/>
        <v>315.93351645660528</v>
      </c>
      <c r="AK82" s="19">
        <f t="shared" si="71"/>
        <v>370.43343129193909</v>
      </c>
      <c r="AL82" s="19">
        <f t="shared" si="72"/>
        <v>5.9146737559667359</v>
      </c>
      <c r="AM82" s="19">
        <f t="shared" si="73"/>
        <v>238.22214672628758</v>
      </c>
      <c r="AN82" s="18">
        <f t="shared" si="74"/>
        <v>5.4732036279405181</v>
      </c>
      <c r="AO82" s="20">
        <v>81</v>
      </c>
      <c r="AP82" s="20">
        <f t="shared" si="75"/>
        <v>4.3944491546724391</v>
      </c>
      <c r="AQ82" s="20">
        <v>1</v>
      </c>
      <c r="AR82" s="20">
        <v>0</v>
      </c>
      <c r="AS82" s="20">
        <v>1</v>
      </c>
      <c r="AT82" s="18">
        <v>0</v>
      </c>
      <c r="AU82" s="3">
        <v>0</v>
      </c>
      <c r="AV82" s="3">
        <v>0</v>
      </c>
      <c r="AW82" s="3">
        <f t="shared" si="76"/>
        <v>4.3944491546724391</v>
      </c>
      <c r="AX82" s="3" t="s">
        <v>281</v>
      </c>
      <c r="AY82" s="3" t="s">
        <v>44</v>
      </c>
    </row>
    <row r="83" spans="1:51" ht="19.95" customHeight="1" x14ac:dyDescent="0.3">
      <c r="A83" s="3" t="s">
        <v>205</v>
      </c>
      <c r="B83" s="3" t="s">
        <v>206</v>
      </c>
      <c r="C83" s="3">
        <f>Deflators!C90</f>
        <v>1161</v>
      </c>
      <c r="D83" s="3">
        <f>Deflators!D90</f>
        <v>1.1533161068044788</v>
      </c>
      <c r="E83" s="3">
        <f>Deflators!E90</f>
        <v>1358</v>
      </c>
      <c r="F83" s="3">
        <f>Deflators!F90</f>
        <v>1.1494845360824741</v>
      </c>
      <c r="G83" s="16">
        <v>95107000000</v>
      </c>
      <c r="H83" s="16">
        <v>5081700</v>
      </c>
      <c r="I83" s="17">
        <f t="shared" si="52"/>
        <v>18715.587303461441</v>
      </c>
      <c r="J83" s="17">
        <f t="shared" si="53"/>
        <v>109324025773.19586</v>
      </c>
      <c r="K83" s="17">
        <f t="shared" si="54"/>
        <v>21513.278189030414</v>
      </c>
      <c r="L83" s="18">
        <f t="shared" si="55"/>
        <v>25.417582022915461</v>
      </c>
      <c r="M83" s="18">
        <f t="shared" si="56"/>
        <v>9.9764256136728786</v>
      </c>
      <c r="N83" s="19">
        <v>283.6999999718991</v>
      </c>
      <c r="O83" s="19">
        <f t="shared" si="57"/>
        <v>327.19577946802144</v>
      </c>
      <c r="P83" s="19">
        <f t="shared" si="58"/>
        <v>5.7905587057090351</v>
      </c>
      <c r="Q83" s="19">
        <v>257.20000008754619</v>
      </c>
      <c r="R83" s="19">
        <f t="shared" si="59"/>
        <v>296.63290277108035</v>
      </c>
      <c r="S83" s="19">
        <f t="shared" si="60"/>
        <v>5.692495356697127</v>
      </c>
      <c r="T83" s="17">
        <v>1488.8600080881081</v>
      </c>
      <c r="U83" s="17">
        <f t="shared" si="61"/>
        <v>7565939903.1013393</v>
      </c>
      <c r="V83" s="18">
        <f t="shared" si="62"/>
        <v>7.3057660108618849</v>
      </c>
      <c r="W83" s="18">
        <f t="shared" si="63"/>
        <v>22.746922420104468</v>
      </c>
      <c r="X83" s="12">
        <v>3.3</v>
      </c>
      <c r="Y83" s="12">
        <f t="shared" si="64"/>
        <v>3.3000000000000002E-2</v>
      </c>
      <c r="Z83" s="18">
        <f t="shared" si="65"/>
        <v>-3.4112477175156566</v>
      </c>
      <c r="AA83" s="16">
        <v>217349024.19999999</v>
      </c>
      <c r="AB83" s="16">
        <v>4193282770</v>
      </c>
      <c r="AC83" s="19">
        <f t="shared" si="66"/>
        <v>51.832665746984667</v>
      </c>
      <c r="AD83" s="19">
        <f t="shared" si="67"/>
        <v>59.779448264610217</v>
      </c>
      <c r="AE83" s="19">
        <f t="shared" si="68"/>
        <v>4.090661927382123</v>
      </c>
      <c r="AF83" s="19">
        <f t="shared" si="77"/>
        <v>90.055360115591753</v>
      </c>
      <c r="AG83" s="18">
        <f t="shared" si="69"/>
        <v>4.5004245936216423</v>
      </c>
      <c r="AH83" s="16">
        <v>229866717.40000001</v>
      </c>
      <c r="AI83" s="16">
        <v>1112864573</v>
      </c>
      <c r="AJ83" s="19">
        <f t="shared" si="70"/>
        <v>206.55407942436139</v>
      </c>
      <c r="AK83" s="19">
        <f t="shared" si="71"/>
        <v>238.22214672628758</v>
      </c>
      <c r="AL83" s="19">
        <f t="shared" si="72"/>
        <v>5.4732036279405181</v>
      </c>
      <c r="AM83" s="19">
        <f t="shared" si="73"/>
        <v>228.97259982752277</v>
      </c>
      <c r="AN83" s="18">
        <f t="shared" si="74"/>
        <v>5.433602344987241</v>
      </c>
      <c r="AO83" s="20">
        <v>82</v>
      </c>
      <c r="AP83" s="20">
        <f t="shared" si="75"/>
        <v>4.4067192472642533</v>
      </c>
      <c r="AQ83" s="20">
        <v>1</v>
      </c>
      <c r="AR83" s="20">
        <v>0</v>
      </c>
      <c r="AS83" s="20">
        <v>1</v>
      </c>
      <c r="AT83" s="18">
        <v>1</v>
      </c>
      <c r="AU83" s="3">
        <v>0</v>
      </c>
      <c r="AV83" s="3">
        <v>0</v>
      </c>
      <c r="AW83" s="3">
        <f t="shared" si="76"/>
        <v>4.4067192472642533</v>
      </c>
      <c r="AX83" s="3" t="s">
        <v>281</v>
      </c>
      <c r="AY83" s="3" t="s">
        <v>44</v>
      </c>
    </row>
    <row r="84" spans="1:51" ht="19.95" customHeight="1" x14ac:dyDescent="0.3">
      <c r="A84" s="3" t="s">
        <v>207</v>
      </c>
      <c r="B84" s="3" t="s">
        <v>208</v>
      </c>
      <c r="C84" s="3">
        <f>Deflators!C91</f>
        <v>1186</v>
      </c>
      <c r="D84" s="3">
        <f>Deflators!D91</f>
        <v>1.1290050590219225</v>
      </c>
      <c r="E84" s="3">
        <f>Deflators!E91</f>
        <v>1364</v>
      </c>
      <c r="F84" s="3">
        <f>Deflators!F91</f>
        <v>1.1444281524926687</v>
      </c>
      <c r="G84" s="16">
        <v>97704000000</v>
      </c>
      <c r="H84" s="16">
        <v>5093700</v>
      </c>
      <c r="I84" s="17">
        <f t="shared" si="52"/>
        <v>19181.341657341422</v>
      </c>
      <c r="J84" s="17">
        <f t="shared" si="53"/>
        <v>111815208211.14371</v>
      </c>
      <c r="K84" s="17">
        <f t="shared" si="54"/>
        <v>21951.667395241908</v>
      </c>
      <c r="L84" s="18">
        <f t="shared" si="55"/>
        <v>25.440113418927222</v>
      </c>
      <c r="M84" s="18">
        <f t="shared" si="56"/>
        <v>9.9965983789550101</v>
      </c>
      <c r="N84" s="19">
        <v>271.89999998289994</v>
      </c>
      <c r="O84" s="19">
        <f t="shared" si="57"/>
        <v>306.97647552875469</v>
      </c>
      <c r="P84" s="19">
        <f t="shared" si="58"/>
        <v>5.7267711177090357</v>
      </c>
      <c r="Q84" s="19">
        <v>263.59999998293802</v>
      </c>
      <c r="R84" s="19">
        <f t="shared" si="59"/>
        <v>297.60573353891573</v>
      </c>
      <c r="S84" s="19">
        <f t="shared" si="60"/>
        <v>5.695769568697127</v>
      </c>
      <c r="T84" s="17">
        <v>1524.7505981978798</v>
      </c>
      <c r="U84" s="17">
        <f t="shared" si="61"/>
        <v>7766622122.0405397</v>
      </c>
      <c r="V84" s="18">
        <f t="shared" si="62"/>
        <v>7.3295861335017092</v>
      </c>
      <c r="W84" s="18">
        <f t="shared" si="63"/>
        <v>22.773101173473922</v>
      </c>
      <c r="X84" s="12">
        <v>3.3</v>
      </c>
      <c r="Y84" s="12">
        <f t="shared" si="64"/>
        <v>3.3000000000000002E-2</v>
      </c>
      <c r="Z84" s="18">
        <f t="shared" si="65"/>
        <v>-3.4112477175156566</v>
      </c>
      <c r="AA84" s="16">
        <v>143279019.90000001</v>
      </c>
      <c r="AB84" s="16">
        <v>2905714827</v>
      </c>
      <c r="AC84" s="19">
        <f t="shared" si="66"/>
        <v>49.309388026879489</v>
      </c>
      <c r="AD84" s="19">
        <f t="shared" si="67"/>
        <v>55.670548539621954</v>
      </c>
      <c r="AE84" s="19">
        <f t="shared" si="68"/>
        <v>4.0194512555620321</v>
      </c>
      <c r="AF84" s="19">
        <f t="shared" si="77"/>
        <v>59.779448264610217</v>
      </c>
      <c r="AG84" s="18">
        <f t="shared" si="69"/>
        <v>4.090661927382123</v>
      </c>
      <c r="AH84" s="16">
        <v>204777287.80000001</v>
      </c>
      <c r="AI84" s="16">
        <v>1009704192</v>
      </c>
      <c r="AJ84" s="19">
        <f t="shared" si="70"/>
        <v>202.80918849547572</v>
      </c>
      <c r="AK84" s="19">
        <f t="shared" si="71"/>
        <v>228.97259982752277</v>
      </c>
      <c r="AL84" s="19">
        <f t="shared" si="72"/>
        <v>5.433602344987241</v>
      </c>
      <c r="AM84" s="19">
        <f t="shared" si="73"/>
        <v>226.91245450540151</v>
      </c>
      <c r="AN84" s="18">
        <f t="shared" si="74"/>
        <v>5.4245642801225129</v>
      </c>
      <c r="AO84" s="20">
        <v>83</v>
      </c>
      <c r="AP84" s="20">
        <f t="shared" si="75"/>
        <v>4.4188406077965983</v>
      </c>
      <c r="AQ84" s="20">
        <v>1</v>
      </c>
      <c r="AR84" s="20">
        <v>0</v>
      </c>
      <c r="AS84" s="20">
        <v>1</v>
      </c>
      <c r="AT84" s="18">
        <v>0</v>
      </c>
      <c r="AU84" s="3">
        <v>1</v>
      </c>
      <c r="AV84" s="3">
        <v>0</v>
      </c>
      <c r="AW84" s="3">
        <f t="shared" si="76"/>
        <v>4.4188406077965983</v>
      </c>
      <c r="AX84" s="3" t="s">
        <v>281</v>
      </c>
      <c r="AY84" s="3" t="s">
        <v>44</v>
      </c>
    </row>
    <row r="85" spans="1:51" ht="19.95" customHeight="1" x14ac:dyDescent="0.3">
      <c r="A85" s="3" t="s">
        <v>209</v>
      </c>
      <c r="B85" s="3" t="s">
        <v>210</v>
      </c>
      <c r="C85" s="3">
        <f>Deflators!C92</f>
        <v>1203</v>
      </c>
      <c r="D85" s="3">
        <f>Deflators!D92</f>
        <v>1.113050706566916</v>
      </c>
      <c r="E85" s="3">
        <f>Deflators!E92</f>
        <v>1392</v>
      </c>
      <c r="F85" s="3">
        <f>Deflators!F92</f>
        <v>1.1214080459770115</v>
      </c>
      <c r="G85" s="16">
        <v>99981000000</v>
      </c>
      <c r="H85" s="16">
        <v>5120700</v>
      </c>
      <c r="I85" s="17">
        <f t="shared" si="52"/>
        <v>19524.869646727988</v>
      </c>
      <c r="J85" s="17">
        <f t="shared" si="53"/>
        <v>112119497844.82759</v>
      </c>
      <c r="K85" s="17">
        <f t="shared" si="54"/>
        <v>21895.345918493094</v>
      </c>
      <c r="L85" s="18">
        <f t="shared" si="55"/>
        <v>25.442831084503283</v>
      </c>
      <c r="M85" s="18">
        <f t="shared" si="56"/>
        <v>9.9940293780827485</v>
      </c>
      <c r="N85" s="19">
        <v>252.09999994924408</v>
      </c>
      <c r="O85" s="19">
        <f t="shared" si="57"/>
        <v>280.60008306902557</v>
      </c>
      <c r="P85" s="19">
        <f t="shared" si="58"/>
        <v>5.6369304637090352</v>
      </c>
      <c r="Q85" s="19">
        <v>252.69999989550479</v>
      </c>
      <c r="R85" s="19">
        <f t="shared" si="59"/>
        <v>281.26791343315119</v>
      </c>
      <c r="S85" s="19">
        <f t="shared" si="60"/>
        <v>5.6393076436971272</v>
      </c>
      <c r="T85" s="17">
        <v>1549.0269452327714</v>
      </c>
      <c r="U85" s="17">
        <f t="shared" si="61"/>
        <v>7932102278.4534521</v>
      </c>
      <c r="V85" s="18">
        <f t="shared" si="62"/>
        <v>7.3453822355094536</v>
      </c>
      <c r="W85" s="18">
        <f t="shared" si="63"/>
        <v>22.794183941929987</v>
      </c>
      <c r="X85" s="12">
        <v>3.4</v>
      </c>
      <c r="Y85" s="12">
        <f t="shared" si="64"/>
        <v>3.4000000000000002E-2</v>
      </c>
      <c r="Z85" s="18">
        <f t="shared" si="65"/>
        <v>-3.3813947543659757</v>
      </c>
      <c r="AA85" s="16">
        <v>152687391.90000001</v>
      </c>
      <c r="AB85" s="16">
        <v>3081592238</v>
      </c>
      <c r="AC85" s="19">
        <f t="shared" si="66"/>
        <v>49.54821407490838</v>
      </c>
      <c r="AD85" s="19">
        <f t="shared" si="67"/>
        <v>55.149674685205582</v>
      </c>
      <c r="AE85" s="19">
        <f t="shared" si="68"/>
        <v>4.0100508469551075</v>
      </c>
      <c r="AF85" s="19">
        <f t="shared" si="77"/>
        <v>55.670548539621954</v>
      </c>
      <c r="AG85" s="18">
        <f t="shared" si="69"/>
        <v>4.0194512555620321</v>
      </c>
      <c r="AH85" s="16">
        <v>216679653.90000001</v>
      </c>
      <c r="AI85" s="16">
        <v>1062856785</v>
      </c>
      <c r="AJ85" s="19">
        <f t="shared" si="70"/>
        <v>203.86533440627187</v>
      </c>
      <c r="AK85" s="19">
        <f t="shared" si="71"/>
        <v>226.91245450540151</v>
      </c>
      <c r="AL85" s="19">
        <f t="shared" si="72"/>
        <v>5.4245642801225129</v>
      </c>
      <c r="AM85" s="19">
        <f t="shared" si="73"/>
        <v>252.75024058895997</v>
      </c>
      <c r="AN85" s="18">
        <f t="shared" si="74"/>
        <v>5.5324018097852319</v>
      </c>
      <c r="AO85" s="20">
        <v>84</v>
      </c>
      <c r="AP85" s="20">
        <f t="shared" si="75"/>
        <v>4.4308167988433134</v>
      </c>
      <c r="AQ85" s="20">
        <v>1</v>
      </c>
      <c r="AR85" s="20">
        <v>0</v>
      </c>
      <c r="AS85" s="20">
        <v>1</v>
      </c>
      <c r="AT85" s="18">
        <v>0</v>
      </c>
      <c r="AU85" s="3">
        <v>0</v>
      </c>
      <c r="AV85" s="3">
        <v>1</v>
      </c>
      <c r="AW85" s="3">
        <f t="shared" si="76"/>
        <v>4.4308167988433134</v>
      </c>
      <c r="AX85" s="3" t="s">
        <v>281</v>
      </c>
      <c r="AY85" s="3" t="s">
        <v>44</v>
      </c>
    </row>
    <row r="86" spans="1:51" ht="19.95" customHeight="1" x14ac:dyDescent="0.3">
      <c r="A86" s="3" t="s">
        <v>211</v>
      </c>
      <c r="B86" s="3" t="s">
        <v>212</v>
      </c>
      <c r="C86" s="3">
        <f>Deflators!C93</f>
        <v>1218</v>
      </c>
      <c r="D86" s="3">
        <f>Deflators!D93</f>
        <v>1.0993431855500821</v>
      </c>
      <c r="E86" s="3">
        <f>Deflators!E93</f>
        <v>1409</v>
      </c>
      <c r="F86" s="3">
        <f>Deflators!F93</f>
        <v>1.1078779276082329</v>
      </c>
      <c r="G86" s="16">
        <v>100996000000</v>
      </c>
      <c r="H86" s="16">
        <v>5165900</v>
      </c>
      <c r="I86" s="17">
        <f t="shared" si="52"/>
        <v>19550.51394723088</v>
      </c>
      <c r="J86" s="17">
        <f t="shared" si="53"/>
        <v>111891239176.72108</v>
      </c>
      <c r="K86" s="17">
        <f t="shared" si="54"/>
        <v>21659.582875533997</v>
      </c>
      <c r="L86" s="18">
        <f t="shared" si="55"/>
        <v>25.440793157659769</v>
      </c>
      <c r="M86" s="18">
        <f t="shared" si="56"/>
        <v>9.9832032625456328</v>
      </c>
      <c r="N86" s="19">
        <v>245.09999993961685</v>
      </c>
      <c r="O86" s="19">
        <f t="shared" si="57"/>
        <v>269.44901471194333</v>
      </c>
      <c r="P86" s="19">
        <f t="shared" si="58"/>
        <v>5.5963791877090356</v>
      </c>
      <c r="Q86" s="19">
        <v>224.10000010508412</v>
      </c>
      <c r="R86" s="19">
        <f t="shared" si="59"/>
        <v>246.36280799729693</v>
      </c>
      <c r="S86" s="19">
        <f t="shared" si="60"/>
        <v>5.5068052786971275</v>
      </c>
      <c r="T86" s="17">
        <v>1521.7618781648694</v>
      </c>
      <c r="U86" s="17">
        <f t="shared" si="61"/>
        <v>7861269686.4118986</v>
      </c>
      <c r="V86" s="18">
        <f t="shared" si="62"/>
        <v>7.3276240729390159</v>
      </c>
      <c r="W86" s="18">
        <f t="shared" si="63"/>
        <v>22.785213968053153</v>
      </c>
      <c r="X86" s="12">
        <v>3.5</v>
      </c>
      <c r="Y86" s="12">
        <f t="shared" si="64"/>
        <v>3.5000000000000003E-2</v>
      </c>
      <c r="Z86" s="18">
        <f t="shared" si="65"/>
        <v>-3.3524072174927233</v>
      </c>
      <c r="AA86" s="16">
        <v>191371543.90000001</v>
      </c>
      <c r="AB86" s="16">
        <v>3576861558</v>
      </c>
      <c r="AC86" s="19">
        <f t="shared" si="66"/>
        <v>53.502642133850237</v>
      </c>
      <c r="AD86" s="19">
        <f t="shared" si="67"/>
        <v>58.817765038772961</v>
      </c>
      <c r="AE86" s="19">
        <f t="shared" si="68"/>
        <v>4.074443935783302</v>
      </c>
      <c r="AF86" s="19">
        <f t="shared" si="77"/>
        <v>55.149674685205582</v>
      </c>
      <c r="AG86" s="18">
        <f t="shared" si="69"/>
        <v>4.0100508469551075</v>
      </c>
      <c r="AH86" s="16">
        <v>235388524.19999999</v>
      </c>
      <c r="AI86" s="16">
        <v>1023827987</v>
      </c>
      <c r="AJ86" s="19">
        <f t="shared" si="70"/>
        <v>229.91022631617119</v>
      </c>
      <c r="AK86" s="19">
        <f t="shared" si="71"/>
        <v>252.75024058895997</v>
      </c>
      <c r="AL86" s="19">
        <f t="shared" si="72"/>
        <v>5.5324018097852319</v>
      </c>
      <c r="AM86" s="19">
        <f t="shared" si="73"/>
        <v>220.41541980139655</v>
      </c>
      <c r="AN86" s="18">
        <f t="shared" si="74"/>
        <v>5.395514037632732</v>
      </c>
      <c r="AO86" s="20">
        <v>85</v>
      </c>
      <c r="AP86" s="20">
        <f t="shared" si="75"/>
        <v>4.4426512564903167</v>
      </c>
      <c r="AQ86" s="20">
        <v>1</v>
      </c>
      <c r="AR86" s="20">
        <v>0</v>
      </c>
      <c r="AS86" s="20">
        <v>1</v>
      </c>
      <c r="AT86" s="18">
        <v>0</v>
      </c>
      <c r="AU86" s="3">
        <v>0</v>
      </c>
      <c r="AV86" s="3">
        <v>0</v>
      </c>
      <c r="AW86" s="3">
        <f t="shared" si="76"/>
        <v>4.4426512564903167</v>
      </c>
      <c r="AX86" s="3" t="s">
        <v>281</v>
      </c>
      <c r="AY86" s="3" t="s">
        <v>44</v>
      </c>
    </row>
    <row r="87" spans="1:51" ht="19.95" customHeight="1" x14ac:dyDescent="0.3">
      <c r="A87" s="3" t="s">
        <v>213</v>
      </c>
      <c r="B87" s="3" t="s">
        <v>214</v>
      </c>
      <c r="C87" s="3">
        <f>Deflators!C94</f>
        <v>1231</v>
      </c>
      <c r="D87" s="3">
        <f>Deflators!D94</f>
        <v>1.0877335499593825</v>
      </c>
      <c r="E87" s="3">
        <f>Deflators!E94</f>
        <v>1429</v>
      </c>
      <c r="F87" s="3">
        <f>Deflators!F94</f>
        <v>1.0923722883135059</v>
      </c>
      <c r="G87" s="16">
        <v>103162000000</v>
      </c>
      <c r="H87" s="16">
        <v>5200000</v>
      </c>
      <c r="I87" s="17">
        <f t="shared" si="52"/>
        <v>19838.846153846152</v>
      </c>
      <c r="J87" s="17">
        <f t="shared" si="53"/>
        <v>112691310006.99789</v>
      </c>
      <c r="K87" s="17">
        <f t="shared" si="54"/>
        <v>21671.405770576519</v>
      </c>
      <c r="L87" s="18">
        <f t="shared" si="55"/>
        <v>25.447918147716628</v>
      </c>
      <c r="M87" s="18">
        <f t="shared" si="56"/>
        <v>9.9837489641649739</v>
      </c>
      <c r="N87" s="19">
        <v>241.89999989993441</v>
      </c>
      <c r="O87" s="19">
        <f t="shared" si="57"/>
        <v>263.12274562632996</v>
      </c>
      <c r="P87" s="19">
        <f t="shared" si="58"/>
        <v>5.5726206367090354</v>
      </c>
      <c r="Q87" s="19">
        <v>196.60000009384538</v>
      </c>
      <c r="R87" s="19">
        <f t="shared" si="59"/>
        <v>213.84841602409338</v>
      </c>
      <c r="S87" s="19">
        <f t="shared" si="60"/>
        <v>5.3652674276971268</v>
      </c>
      <c r="T87" s="17">
        <v>1532.8575398021367</v>
      </c>
      <c r="U87" s="17">
        <f t="shared" si="61"/>
        <v>7970859206.9711103</v>
      </c>
      <c r="V87" s="18">
        <f t="shared" si="62"/>
        <v>7.3348889455269886</v>
      </c>
      <c r="W87" s="18">
        <f t="shared" si="63"/>
        <v>22.799058129078645</v>
      </c>
      <c r="X87" s="12">
        <v>3.7</v>
      </c>
      <c r="Y87" s="12">
        <f t="shared" si="64"/>
        <v>3.7000000000000005E-2</v>
      </c>
      <c r="Z87" s="18">
        <f t="shared" si="65"/>
        <v>-3.2968373663379125</v>
      </c>
      <c r="AA87" s="16">
        <v>197770887.80000001</v>
      </c>
      <c r="AB87" s="16">
        <v>3989118992</v>
      </c>
      <c r="AC87" s="19">
        <f t="shared" si="66"/>
        <v>49.577585476046387</v>
      </c>
      <c r="AD87" s="19">
        <f t="shared" si="67"/>
        <v>53.927203048274663</v>
      </c>
      <c r="AE87" s="19">
        <f t="shared" si="68"/>
        <v>3.9876350453725644</v>
      </c>
      <c r="AF87" s="19">
        <f t="shared" si="77"/>
        <v>58.817765038772961</v>
      </c>
      <c r="AG87" s="18">
        <f t="shared" si="69"/>
        <v>4.074443935783302</v>
      </c>
      <c r="AH87" s="16">
        <v>214057554.30000001</v>
      </c>
      <c r="AI87" s="16">
        <v>1056357961</v>
      </c>
      <c r="AJ87" s="19">
        <f t="shared" si="70"/>
        <v>202.63732768896131</v>
      </c>
      <c r="AK87" s="19">
        <f t="shared" si="71"/>
        <v>220.41541980139655</v>
      </c>
      <c r="AL87" s="19">
        <f t="shared" si="72"/>
        <v>5.395514037632732</v>
      </c>
      <c r="AM87" s="19">
        <f t="shared" si="73"/>
        <v>332.08786193204418</v>
      </c>
      <c r="AN87" s="18">
        <f t="shared" si="74"/>
        <v>5.8053995782779708</v>
      </c>
      <c r="AO87" s="20">
        <v>86</v>
      </c>
      <c r="AP87" s="20">
        <f t="shared" si="75"/>
        <v>4.4543472962535073</v>
      </c>
      <c r="AQ87" s="20">
        <v>1</v>
      </c>
      <c r="AR87" s="20">
        <v>0</v>
      </c>
      <c r="AS87" s="20">
        <v>1</v>
      </c>
      <c r="AT87" s="18">
        <v>1</v>
      </c>
      <c r="AU87" s="3">
        <v>0</v>
      </c>
      <c r="AV87" s="3">
        <v>0</v>
      </c>
      <c r="AW87" s="3">
        <f t="shared" si="76"/>
        <v>4.4543472962535073</v>
      </c>
      <c r="AX87" s="3" t="s">
        <v>281</v>
      </c>
      <c r="AY87" s="3" t="s">
        <v>44</v>
      </c>
    </row>
    <row r="88" spans="1:51" ht="19.95" customHeight="1" x14ac:dyDescent="0.3">
      <c r="A88" s="3" t="s">
        <v>215</v>
      </c>
      <c r="B88" s="3" t="s">
        <v>216</v>
      </c>
      <c r="C88" s="3">
        <f>Deflators!C95</f>
        <v>1253</v>
      </c>
      <c r="D88" s="3">
        <f>Deflators!D95</f>
        <v>1.0686352753391859</v>
      </c>
      <c r="E88" s="3">
        <f>Deflators!E95</f>
        <v>1448</v>
      </c>
      <c r="F88" s="3">
        <f>Deflators!F95</f>
        <v>1.0780386740331491</v>
      </c>
      <c r="G88" s="16">
        <v>104531000000</v>
      </c>
      <c r="H88" s="16">
        <v>5238700</v>
      </c>
      <c r="I88" s="17">
        <f t="shared" si="52"/>
        <v>19953.614446332107</v>
      </c>
      <c r="J88" s="17">
        <f t="shared" si="53"/>
        <v>112688460635.35912</v>
      </c>
      <c r="K88" s="17">
        <f t="shared" si="54"/>
        <v>21510.768059892554</v>
      </c>
      <c r="L88" s="18">
        <f t="shared" si="55"/>
        <v>25.447892862646626</v>
      </c>
      <c r="M88" s="18">
        <f t="shared" si="56"/>
        <v>9.9763089287322675</v>
      </c>
      <c r="N88" s="19">
        <v>282.79999996932003</v>
      </c>
      <c r="O88" s="19">
        <f t="shared" si="57"/>
        <v>302.2100558331361</v>
      </c>
      <c r="P88" s="19">
        <f t="shared" si="58"/>
        <v>5.7111223247090352</v>
      </c>
      <c r="Q88" s="19">
        <v>211.79999994381302</v>
      </c>
      <c r="R88" s="19">
        <f t="shared" si="59"/>
        <v>226.3369512567962</v>
      </c>
      <c r="S88" s="19">
        <f t="shared" si="60"/>
        <v>5.4220248236971269</v>
      </c>
      <c r="T88" s="17">
        <v>1531.4092323893383</v>
      </c>
      <c r="U88" s="17">
        <f t="shared" si="61"/>
        <v>8022593545.7180262</v>
      </c>
      <c r="V88" s="18">
        <f t="shared" si="62"/>
        <v>7.3339436573857677</v>
      </c>
      <c r="W88" s="18">
        <f t="shared" si="63"/>
        <v>22.805527591300127</v>
      </c>
      <c r="X88" s="12">
        <v>4</v>
      </c>
      <c r="Y88" s="12">
        <f t="shared" si="64"/>
        <v>0.04</v>
      </c>
      <c r="Z88" s="18">
        <f t="shared" si="65"/>
        <v>-3.2188758248682006</v>
      </c>
      <c r="AA88" s="16">
        <v>158799181.40000001</v>
      </c>
      <c r="AB88" s="16">
        <v>2110673004</v>
      </c>
      <c r="AC88" s="19">
        <f t="shared" si="66"/>
        <v>75.236278238767866</v>
      </c>
      <c r="AD88" s="19">
        <f t="shared" si="67"/>
        <v>80.400140911181296</v>
      </c>
      <c r="AE88" s="19">
        <f t="shared" si="68"/>
        <v>4.3870159288100181</v>
      </c>
      <c r="AF88" s="19">
        <f t="shared" si="77"/>
        <v>53.927203048274663</v>
      </c>
      <c r="AG88" s="18">
        <f t="shared" si="69"/>
        <v>3.9876350453725644</v>
      </c>
      <c r="AH88" s="16">
        <v>291700566.10000002</v>
      </c>
      <c r="AI88" s="16">
        <v>938671811</v>
      </c>
      <c r="AJ88" s="19">
        <f t="shared" si="70"/>
        <v>310.75884316717804</v>
      </c>
      <c r="AK88" s="19">
        <f t="shared" si="71"/>
        <v>332.08786193204418</v>
      </c>
      <c r="AL88" s="19">
        <f t="shared" si="72"/>
        <v>5.8053995782779708</v>
      </c>
      <c r="AM88" s="19">
        <f t="shared" si="73"/>
        <v>340.31770429585572</v>
      </c>
      <c r="AN88" s="18">
        <f t="shared" si="74"/>
        <v>5.8298796057070765</v>
      </c>
      <c r="AO88" s="20">
        <v>87</v>
      </c>
      <c r="AP88" s="20">
        <f t="shared" si="75"/>
        <v>4.4659081186545837</v>
      </c>
      <c r="AQ88" s="20">
        <v>1</v>
      </c>
      <c r="AR88" s="20">
        <v>0</v>
      </c>
      <c r="AS88" s="20">
        <v>1</v>
      </c>
      <c r="AT88" s="18">
        <v>0</v>
      </c>
      <c r="AU88" s="3">
        <v>1</v>
      </c>
      <c r="AV88" s="3">
        <v>0</v>
      </c>
      <c r="AW88" s="3">
        <f t="shared" si="76"/>
        <v>4.4659081186545837</v>
      </c>
      <c r="AX88" s="3" t="s">
        <v>281</v>
      </c>
      <c r="AY88" s="3" t="s">
        <v>44</v>
      </c>
    </row>
    <row r="89" spans="1:51" ht="19.95" customHeight="1" x14ac:dyDescent="0.3">
      <c r="A89" s="3" t="s">
        <v>217</v>
      </c>
      <c r="B89" s="3" t="s">
        <v>218</v>
      </c>
      <c r="C89" s="3">
        <f>Deflators!C96</f>
        <v>1259</v>
      </c>
      <c r="D89" s="3">
        <f>Deflators!D96</f>
        <v>1.0635424940428913</v>
      </c>
      <c r="E89" s="3">
        <f>Deflators!E96</f>
        <v>1435</v>
      </c>
      <c r="F89" s="3">
        <f>Deflators!F96</f>
        <v>1.0878048780487806</v>
      </c>
      <c r="G89" s="16">
        <v>103942000000</v>
      </c>
      <c r="H89" s="16">
        <v>5263100</v>
      </c>
      <c r="I89" s="17">
        <f t="shared" si="52"/>
        <v>19749.197241169652</v>
      </c>
      <c r="J89" s="17">
        <f t="shared" si="53"/>
        <v>113068614634.14635</v>
      </c>
      <c r="K89" s="17">
        <f t="shared" si="54"/>
        <v>21483.273096491866</v>
      </c>
      <c r="L89" s="18">
        <f t="shared" si="55"/>
        <v>25.451260680533604</v>
      </c>
      <c r="M89" s="18">
        <f t="shared" si="56"/>
        <v>9.9750299158081805</v>
      </c>
      <c r="N89" s="19">
        <v>280.99999992369857</v>
      </c>
      <c r="O89" s="19">
        <f t="shared" si="57"/>
        <v>298.85544074490264</v>
      </c>
      <c r="P89" s="19">
        <f t="shared" si="58"/>
        <v>5.6999599807090355</v>
      </c>
      <c r="Q89" s="19">
        <v>222.39999992746974</v>
      </c>
      <c r="R89" s="19">
        <f t="shared" si="59"/>
        <v>236.53185059800001</v>
      </c>
      <c r="S89" s="19">
        <f t="shared" si="60"/>
        <v>5.4660828736971272</v>
      </c>
      <c r="T89" s="17">
        <v>1537.9692201421399</v>
      </c>
      <c r="U89" s="17">
        <f t="shared" si="61"/>
        <v>8094485802.5300961</v>
      </c>
      <c r="V89" s="18">
        <f t="shared" si="62"/>
        <v>7.3382181369538459</v>
      </c>
      <c r="W89" s="18">
        <f t="shared" si="63"/>
        <v>22.81444890167927</v>
      </c>
      <c r="X89" s="12">
        <v>4</v>
      </c>
      <c r="Y89" s="12">
        <f t="shared" si="64"/>
        <v>0.04</v>
      </c>
      <c r="Z89" s="18">
        <f t="shared" si="65"/>
        <v>-3.2188758248682006</v>
      </c>
      <c r="AA89" s="16">
        <v>200687353.80000001</v>
      </c>
      <c r="AB89" s="16">
        <v>2578310413</v>
      </c>
      <c r="AC89" s="19">
        <f t="shared" si="66"/>
        <v>77.836769687669104</v>
      </c>
      <c r="AD89" s="19">
        <f t="shared" si="67"/>
        <v>82.782712161865717</v>
      </c>
      <c r="AE89" s="19">
        <f t="shared" si="68"/>
        <v>4.4162192492758505</v>
      </c>
      <c r="AF89" s="19">
        <f t="shared" si="77"/>
        <v>80.400140911181296</v>
      </c>
      <c r="AG89" s="18">
        <f t="shared" si="69"/>
        <v>4.3870159288100181</v>
      </c>
      <c r="AH89" s="16">
        <v>326753259.69999999</v>
      </c>
      <c r="AI89" s="16">
        <v>1021151625</v>
      </c>
      <c r="AJ89" s="19">
        <f t="shared" si="70"/>
        <v>319.98505579423625</v>
      </c>
      <c r="AK89" s="19">
        <f t="shared" si="71"/>
        <v>340.31770429585572</v>
      </c>
      <c r="AL89" s="19">
        <f t="shared" si="72"/>
        <v>5.8298796057070765</v>
      </c>
      <c r="AM89" s="19">
        <f t="shared" si="73"/>
        <v>338.66999555948178</v>
      </c>
      <c r="AN89" s="18">
        <f t="shared" si="74"/>
        <v>5.8250261688299281</v>
      </c>
      <c r="AO89" s="20">
        <v>88</v>
      </c>
      <c r="AP89" s="20">
        <f t="shared" si="75"/>
        <v>4.4773368144782069</v>
      </c>
      <c r="AQ89" s="20">
        <v>1</v>
      </c>
      <c r="AR89" s="20">
        <v>0</v>
      </c>
      <c r="AS89" s="20">
        <v>1</v>
      </c>
      <c r="AT89" s="18">
        <v>0</v>
      </c>
      <c r="AU89" s="3">
        <v>0</v>
      </c>
      <c r="AV89" s="3">
        <v>1</v>
      </c>
      <c r="AW89" s="3">
        <f t="shared" si="76"/>
        <v>4.4773368144782069</v>
      </c>
      <c r="AX89" s="3" t="s">
        <v>281</v>
      </c>
      <c r="AY89" s="3" t="s">
        <v>44</v>
      </c>
    </row>
    <row r="90" spans="1:51" ht="19.95" customHeight="1" x14ac:dyDescent="0.3">
      <c r="A90" s="3" t="s">
        <v>219</v>
      </c>
      <c r="B90" s="3" t="s">
        <v>220</v>
      </c>
      <c r="C90" s="3">
        <f>Deflators!C97</f>
        <v>1267</v>
      </c>
      <c r="D90" s="3">
        <f>Deflators!D97</f>
        <v>1.0568271507498026</v>
      </c>
      <c r="E90" s="3">
        <f>Deflators!E97</f>
        <v>1460</v>
      </c>
      <c r="F90" s="3">
        <f>Deflators!F97</f>
        <v>1.0691780821917809</v>
      </c>
      <c r="G90" s="16">
        <v>105841000000</v>
      </c>
      <c r="H90" s="16">
        <v>5283100</v>
      </c>
      <c r="I90" s="17">
        <f t="shared" si="52"/>
        <v>20033.881622532226</v>
      </c>
      <c r="J90" s="17">
        <f t="shared" si="53"/>
        <v>113162877397.26028</v>
      </c>
      <c r="K90" s="17">
        <f t="shared" si="54"/>
        <v>21419.78713203617</v>
      </c>
      <c r="L90" s="18">
        <f t="shared" si="55"/>
        <v>25.45209401074526</v>
      </c>
      <c r="M90" s="18">
        <f t="shared" si="56"/>
        <v>9.972070406138922</v>
      </c>
      <c r="N90" s="19">
        <v>274.50000010689484</v>
      </c>
      <c r="O90" s="19">
        <f t="shared" si="57"/>
        <v>290.09905299379017</v>
      </c>
      <c r="P90" s="19">
        <f t="shared" si="58"/>
        <v>5.6702224267090351</v>
      </c>
      <c r="Q90" s="19">
        <v>213.20000000754823</v>
      </c>
      <c r="R90" s="19">
        <f t="shared" si="59"/>
        <v>225.31554854783508</v>
      </c>
      <c r="S90" s="19">
        <f t="shared" si="60"/>
        <v>5.4175018576971272</v>
      </c>
      <c r="T90" s="17">
        <v>1520.2757620778643</v>
      </c>
      <c r="U90" s="17">
        <f t="shared" si="61"/>
        <v>8031768878.6335649</v>
      </c>
      <c r="V90" s="18">
        <f t="shared" si="62"/>
        <v>7.3266470198049127</v>
      </c>
      <c r="W90" s="18">
        <f t="shared" si="63"/>
        <v>22.80667062441125</v>
      </c>
      <c r="X90" s="12">
        <v>4.4000000000000004</v>
      </c>
      <c r="Y90" s="12">
        <f t="shared" si="64"/>
        <v>4.4000000000000004E-2</v>
      </c>
      <c r="Z90" s="18">
        <f t="shared" si="65"/>
        <v>-3.1235656450638758</v>
      </c>
      <c r="AA90" s="16">
        <v>219125576</v>
      </c>
      <c r="AB90" s="16">
        <v>2812615108</v>
      </c>
      <c r="AC90" s="19">
        <f t="shared" si="66"/>
        <v>77.908127342676565</v>
      </c>
      <c r="AD90" s="19">
        <f t="shared" si="67"/>
        <v>82.335424239813662</v>
      </c>
      <c r="AE90" s="19">
        <f t="shared" si="68"/>
        <v>4.4108014432626712</v>
      </c>
      <c r="AF90" s="19">
        <f t="shared" si="77"/>
        <v>82.782712161865717</v>
      </c>
      <c r="AG90" s="18">
        <f t="shared" si="69"/>
        <v>4.4162192492758505</v>
      </c>
      <c r="AH90" s="16">
        <v>316837492.5</v>
      </c>
      <c r="AI90" s="16">
        <v>988698346</v>
      </c>
      <c r="AJ90" s="19">
        <f t="shared" si="70"/>
        <v>320.45921163096597</v>
      </c>
      <c r="AK90" s="19">
        <f t="shared" si="71"/>
        <v>338.66999555948178</v>
      </c>
      <c r="AL90" s="19">
        <f t="shared" si="72"/>
        <v>5.8250261688299281</v>
      </c>
      <c r="AM90" s="19">
        <f t="shared" si="73"/>
        <v>336.10179774198713</v>
      </c>
      <c r="AN90" s="18">
        <f t="shared" si="74"/>
        <v>5.8174140835474217</v>
      </c>
      <c r="AO90" s="20">
        <v>89</v>
      </c>
      <c r="AP90" s="20">
        <f t="shared" si="75"/>
        <v>4.4886363697321396</v>
      </c>
      <c r="AQ90" s="20">
        <v>1</v>
      </c>
      <c r="AR90" s="20">
        <v>0</v>
      </c>
      <c r="AS90" s="20">
        <v>1</v>
      </c>
      <c r="AT90" s="18">
        <v>0</v>
      </c>
      <c r="AU90" s="3">
        <v>0</v>
      </c>
      <c r="AV90" s="3">
        <v>0</v>
      </c>
      <c r="AW90" s="3">
        <f t="shared" si="76"/>
        <v>4.4886363697321396</v>
      </c>
      <c r="AX90" s="3" t="s">
        <v>281</v>
      </c>
      <c r="AY90" s="3" t="s">
        <v>44</v>
      </c>
    </row>
    <row r="91" spans="1:51" ht="19.95" customHeight="1" x14ac:dyDescent="0.3">
      <c r="A91" s="3" t="s">
        <v>221</v>
      </c>
      <c r="B91" s="3" t="s">
        <v>222</v>
      </c>
      <c r="C91" s="3">
        <f>Deflators!C98</f>
        <v>1272</v>
      </c>
      <c r="D91" s="3">
        <f>Deflators!D98</f>
        <v>1.0526729559748427</v>
      </c>
      <c r="E91" s="3">
        <f>Deflators!E98</f>
        <v>1475</v>
      </c>
      <c r="F91" s="3">
        <f>Deflators!F98</f>
        <v>1.0583050847457627</v>
      </c>
      <c r="G91" s="16">
        <v>106539000000</v>
      </c>
      <c r="H91" s="16">
        <v>5289900</v>
      </c>
      <c r="I91" s="17">
        <f t="shared" si="52"/>
        <v>20140.078262349005</v>
      </c>
      <c r="J91" s="17">
        <f t="shared" si="53"/>
        <v>112750765423.72881</v>
      </c>
      <c r="K91" s="17">
        <f t="shared" si="54"/>
        <v>21314.347232221557</v>
      </c>
      <c r="L91" s="18">
        <f t="shared" si="55"/>
        <v>25.448445603986677</v>
      </c>
      <c r="M91" s="18">
        <f t="shared" si="56"/>
        <v>9.967135703922553</v>
      </c>
      <c r="N91" s="19">
        <v>276.40000000674854</v>
      </c>
      <c r="O91" s="19">
        <f t="shared" si="57"/>
        <v>290.95880503855051</v>
      </c>
      <c r="P91" s="19">
        <f t="shared" si="58"/>
        <v>5.6731816937090356</v>
      </c>
      <c r="Q91" s="19">
        <v>209.30000009503638</v>
      </c>
      <c r="R91" s="19">
        <f t="shared" si="59"/>
        <v>220.3244497855768</v>
      </c>
      <c r="S91" s="19">
        <f t="shared" si="60"/>
        <v>5.3951012316971267</v>
      </c>
      <c r="T91" s="17">
        <v>1507.4384642146947</v>
      </c>
      <c r="U91" s="17">
        <f t="shared" si="61"/>
        <v>7974198731.8493137</v>
      </c>
      <c r="V91" s="18">
        <f t="shared" si="62"/>
        <v>7.3181671080101118</v>
      </c>
      <c r="W91" s="18">
        <f t="shared" si="63"/>
        <v>22.799477008074238</v>
      </c>
      <c r="X91" s="12">
        <v>4.7</v>
      </c>
      <c r="Y91" s="12">
        <f t="shared" si="64"/>
        <v>4.7E-2</v>
      </c>
      <c r="Z91" s="18">
        <f t="shared" si="65"/>
        <v>-3.0576076772720784</v>
      </c>
      <c r="AA91" s="16">
        <v>222191355.09999999</v>
      </c>
      <c r="AB91" s="16">
        <v>2853952134</v>
      </c>
      <c r="AC91" s="19">
        <f t="shared" si="66"/>
        <v>77.853917889149841</v>
      </c>
      <c r="AD91" s="19">
        <f t="shared" si="67"/>
        <v>81.954713878594049</v>
      </c>
      <c r="AE91" s="19">
        <f t="shared" si="68"/>
        <v>4.4061668249338872</v>
      </c>
      <c r="AF91" s="19">
        <f t="shared" si="77"/>
        <v>82.335424239813662</v>
      </c>
      <c r="AG91" s="18">
        <f t="shared" si="69"/>
        <v>4.4108014432626712</v>
      </c>
      <c r="AH91" s="16">
        <v>305024921.80000001</v>
      </c>
      <c r="AI91" s="16">
        <v>955339984</v>
      </c>
      <c r="AJ91" s="19">
        <f t="shared" si="70"/>
        <v>319.28415737700351</v>
      </c>
      <c r="AK91" s="19">
        <f t="shared" si="71"/>
        <v>336.10179774198713</v>
      </c>
      <c r="AL91" s="19">
        <f t="shared" si="72"/>
        <v>5.8174140835474217</v>
      </c>
      <c r="AM91" s="19">
        <f t="shared" si="73"/>
        <v>333.9356879663888</v>
      </c>
      <c r="AN91" s="18">
        <f t="shared" si="74"/>
        <v>5.8109484234375408</v>
      </c>
      <c r="AO91" s="20">
        <v>90</v>
      </c>
      <c r="AP91" s="20">
        <f t="shared" si="75"/>
        <v>4.499809670330265</v>
      </c>
      <c r="AQ91" s="20">
        <v>1</v>
      </c>
      <c r="AR91" s="20">
        <v>0</v>
      </c>
      <c r="AS91" s="20">
        <v>1</v>
      </c>
      <c r="AT91" s="18">
        <v>1</v>
      </c>
      <c r="AU91" s="3">
        <v>0</v>
      </c>
      <c r="AV91" s="3">
        <v>0</v>
      </c>
      <c r="AW91" s="3">
        <f t="shared" si="76"/>
        <v>4.499809670330265</v>
      </c>
      <c r="AX91" s="3" t="s">
        <v>281</v>
      </c>
      <c r="AY91" s="3" t="s">
        <v>44</v>
      </c>
    </row>
    <row r="92" spans="1:51" ht="19.95" customHeight="1" x14ac:dyDescent="0.3">
      <c r="A92" s="3" t="s">
        <v>223</v>
      </c>
      <c r="B92" s="3" t="s">
        <v>224</v>
      </c>
      <c r="C92" s="3">
        <f>Deflators!C99</f>
        <v>1280</v>
      </c>
      <c r="D92" s="3">
        <f>Deflators!D99</f>
        <v>1.04609375</v>
      </c>
      <c r="E92" s="3">
        <f>Deflators!E99</f>
        <v>1497</v>
      </c>
      <c r="F92" s="3">
        <f>Deflators!F99</f>
        <v>1.042752171008684</v>
      </c>
      <c r="G92" s="16">
        <v>106858000000</v>
      </c>
      <c r="H92" s="16">
        <v>5301000</v>
      </c>
      <c r="I92" s="17">
        <f t="shared" si="52"/>
        <v>20158.083380494245</v>
      </c>
      <c r="J92" s="17">
        <f t="shared" si="53"/>
        <v>111426411489.64595</v>
      </c>
      <c r="K92" s="17">
        <f t="shared" si="54"/>
        <v>21019.885208384447</v>
      </c>
      <c r="L92" s="18">
        <f t="shared" si="55"/>
        <v>25.436630223319582</v>
      </c>
      <c r="M92" s="18">
        <f t="shared" si="56"/>
        <v>9.9532241833496382</v>
      </c>
      <c r="N92" s="19">
        <v>258.29999995601958</v>
      </c>
      <c r="O92" s="19">
        <f t="shared" si="57"/>
        <v>270.20601557899238</v>
      </c>
      <c r="P92" s="19">
        <f t="shared" si="58"/>
        <v>5.5991846887090357</v>
      </c>
      <c r="Q92" s="19">
        <v>191.20000005780295</v>
      </c>
      <c r="R92" s="19">
        <f t="shared" si="59"/>
        <v>200.0131250604673</v>
      </c>
      <c r="S92" s="19">
        <f t="shared" si="60"/>
        <v>5.2983829896971271</v>
      </c>
      <c r="T92" s="17">
        <v>1490.9243707378405</v>
      </c>
      <c r="U92" s="17">
        <f t="shared" si="61"/>
        <v>7903390089.2812929</v>
      </c>
      <c r="V92" s="18">
        <f t="shared" si="62"/>
        <v>7.3071515896270265</v>
      </c>
      <c r="W92" s="18">
        <f t="shared" si="63"/>
        <v>22.790557629596972</v>
      </c>
      <c r="X92" s="12">
        <v>4.9000000000000004</v>
      </c>
      <c r="Y92" s="12">
        <f t="shared" si="64"/>
        <v>4.9000000000000002E-2</v>
      </c>
      <c r="Z92" s="18">
        <f t="shared" si="65"/>
        <v>-3.0159349808715104</v>
      </c>
      <c r="AA92" s="16">
        <v>229135898.80000001</v>
      </c>
      <c r="AB92" s="16">
        <v>2946968636</v>
      </c>
      <c r="AC92" s="19">
        <f t="shared" si="66"/>
        <v>77.753083626642308</v>
      </c>
      <c r="AD92" s="19">
        <f t="shared" si="67"/>
        <v>81.33701482505785</v>
      </c>
      <c r="AE92" s="19">
        <f t="shared" si="68"/>
        <v>4.3986011998432115</v>
      </c>
      <c r="AF92" s="19">
        <f t="shared" si="77"/>
        <v>81.954713878594049</v>
      </c>
      <c r="AG92" s="18">
        <f t="shared" si="69"/>
        <v>4.4061668249338872</v>
      </c>
      <c r="AH92" s="16">
        <v>308147165.39999998</v>
      </c>
      <c r="AI92" s="16">
        <v>965308098</v>
      </c>
      <c r="AJ92" s="19">
        <f t="shared" si="70"/>
        <v>319.22156878041648</v>
      </c>
      <c r="AK92" s="19">
        <f t="shared" si="71"/>
        <v>333.9356879663888</v>
      </c>
      <c r="AL92" s="19">
        <f t="shared" si="72"/>
        <v>5.8109484234375408</v>
      </c>
      <c r="AM92" s="19">
        <f t="shared" si="73"/>
        <v>332.65076329681619</v>
      </c>
      <c r="AN92" s="18">
        <f t="shared" si="74"/>
        <v>5.8070931807796313</v>
      </c>
      <c r="AO92" s="20">
        <v>91</v>
      </c>
      <c r="AP92" s="20">
        <f t="shared" si="75"/>
        <v>4.5108595065168497</v>
      </c>
      <c r="AQ92" s="20">
        <v>1</v>
      </c>
      <c r="AR92" s="20">
        <v>0</v>
      </c>
      <c r="AS92" s="20">
        <v>1</v>
      </c>
      <c r="AT92" s="18">
        <v>0</v>
      </c>
      <c r="AU92" s="3">
        <v>1</v>
      </c>
      <c r="AV92" s="3">
        <v>0</v>
      </c>
      <c r="AW92" s="3">
        <f t="shared" si="76"/>
        <v>4.5108595065168497</v>
      </c>
      <c r="AX92" s="3" t="s">
        <v>281</v>
      </c>
      <c r="AY92" s="3" t="s">
        <v>44</v>
      </c>
    </row>
    <row r="93" spans="1:51" ht="19.95" customHeight="1" x14ac:dyDescent="0.3">
      <c r="A93" s="3" t="s">
        <v>225</v>
      </c>
      <c r="B93" s="3" t="s">
        <v>226</v>
      </c>
      <c r="C93" s="3">
        <f>Deflators!C100</f>
        <v>1287</v>
      </c>
      <c r="D93" s="3">
        <f>Deflators!D100</f>
        <v>1.0404040404040404</v>
      </c>
      <c r="E93" s="3">
        <f>Deflators!E100</f>
        <v>1512</v>
      </c>
      <c r="F93" s="3">
        <f>Deflators!F100</f>
        <v>1.0324074074074074</v>
      </c>
      <c r="G93" s="16">
        <v>108067000000</v>
      </c>
      <c r="H93" s="16">
        <v>5307800</v>
      </c>
      <c r="I93" s="17">
        <f t="shared" si="52"/>
        <v>20360.036173179094</v>
      </c>
      <c r="J93" s="17">
        <f t="shared" si="53"/>
        <v>111569171296.2963</v>
      </c>
      <c r="K93" s="17">
        <f t="shared" si="54"/>
        <v>21019.852160272862</v>
      </c>
      <c r="L93" s="18">
        <f t="shared" si="55"/>
        <v>25.437910605866804</v>
      </c>
      <c r="M93" s="18">
        <f t="shared" si="56"/>
        <v>9.9532226111175728</v>
      </c>
      <c r="N93" s="19">
        <v>254.69999990539881</v>
      </c>
      <c r="O93" s="19">
        <f t="shared" si="57"/>
        <v>264.99090899248563</v>
      </c>
      <c r="P93" s="19">
        <f t="shared" si="58"/>
        <v>5.579695519709035</v>
      </c>
      <c r="Q93" s="19">
        <v>183.70000006999001</v>
      </c>
      <c r="R93" s="19">
        <f t="shared" si="59"/>
        <v>191.12222229504013</v>
      </c>
      <c r="S93" s="19">
        <f t="shared" si="60"/>
        <v>5.2529131306971273</v>
      </c>
      <c r="T93" s="17">
        <v>1502.0182743465325</v>
      </c>
      <c r="U93" s="17">
        <f t="shared" si="61"/>
        <v>7972412596.5765257</v>
      </c>
      <c r="V93" s="18">
        <f t="shared" si="62"/>
        <v>7.3145649989255208</v>
      </c>
      <c r="W93" s="18">
        <f t="shared" si="63"/>
        <v>22.799252993674752</v>
      </c>
      <c r="X93" s="12">
        <v>5.0999999999999996</v>
      </c>
      <c r="Y93" s="12">
        <f t="shared" si="64"/>
        <v>5.0999999999999997E-2</v>
      </c>
      <c r="Z93" s="18">
        <f t="shared" si="65"/>
        <v>-2.9759296462578115</v>
      </c>
      <c r="AA93" s="16">
        <v>248478544.80000001</v>
      </c>
      <c r="AB93" s="16">
        <v>3191938877</v>
      </c>
      <c r="AC93" s="19">
        <f t="shared" si="66"/>
        <v>77.845646290550818</v>
      </c>
      <c r="AD93" s="19">
        <f t="shared" si="67"/>
        <v>80.990924928552872</v>
      </c>
      <c r="AE93" s="19">
        <f t="shared" si="68"/>
        <v>4.3943371104766218</v>
      </c>
      <c r="AF93" s="19">
        <f t="shared" si="77"/>
        <v>81.33701482505785</v>
      </c>
      <c r="AG93" s="18">
        <f t="shared" si="69"/>
        <v>4.3986011998432115</v>
      </c>
      <c r="AH93" s="16">
        <v>333830225.19999999</v>
      </c>
      <c r="AI93" s="16">
        <v>1044092945</v>
      </c>
      <c r="AJ93" s="19">
        <f t="shared" si="70"/>
        <v>319.73228705227962</v>
      </c>
      <c r="AK93" s="19">
        <f t="shared" si="71"/>
        <v>332.65076329681619</v>
      </c>
      <c r="AL93" s="19">
        <f t="shared" si="72"/>
        <v>5.8070931807796313</v>
      </c>
      <c r="AM93" s="19">
        <f t="shared" si="73"/>
        <v>331.35172757472748</v>
      </c>
      <c r="AN93" s="18">
        <f t="shared" si="74"/>
        <v>5.8031804322666156</v>
      </c>
      <c r="AO93" s="20">
        <v>92</v>
      </c>
      <c r="AP93" s="20">
        <f t="shared" si="75"/>
        <v>4.5217885770490405</v>
      </c>
      <c r="AQ93" s="20">
        <v>1</v>
      </c>
      <c r="AR93" s="20">
        <v>0</v>
      </c>
      <c r="AS93" s="20">
        <v>1</v>
      </c>
      <c r="AT93" s="18">
        <v>0</v>
      </c>
      <c r="AU93" s="3">
        <v>0</v>
      </c>
      <c r="AV93" s="3">
        <v>1</v>
      </c>
      <c r="AW93" s="3">
        <f t="shared" si="76"/>
        <v>4.5217885770490405</v>
      </c>
      <c r="AX93" s="3" t="s">
        <v>281</v>
      </c>
      <c r="AY93" s="3" t="s">
        <v>44</v>
      </c>
    </row>
    <row r="94" spans="1:51" ht="19.95" customHeight="1" x14ac:dyDescent="0.3">
      <c r="A94" s="3" t="s">
        <v>227</v>
      </c>
      <c r="B94" s="3" t="s">
        <v>228</v>
      </c>
      <c r="C94" s="3">
        <f>Deflators!C101</f>
        <v>1299</v>
      </c>
      <c r="D94" s="3">
        <f>Deflators!D101</f>
        <v>1.0307929176289454</v>
      </c>
      <c r="E94" s="3">
        <f>Deflators!E101</f>
        <v>1521</v>
      </c>
      <c r="F94" s="3">
        <f>Deflators!F101</f>
        <v>1.0262984878369494</v>
      </c>
      <c r="G94" s="16">
        <v>109906000000</v>
      </c>
      <c r="H94" s="16">
        <v>5317200</v>
      </c>
      <c r="I94" s="17">
        <f t="shared" si="52"/>
        <v>20669.901451891972</v>
      </c>
      <c r="J94" s="17">
        <f t="shared" si="53"/>
        <v>112796361604.20776</v>
      </c>
      <c r="K94" s="17">
        <f t="shared" si="54"/>
        <v>21213.488603815498</v>
      </c>
      <c r="L94" s="18">
        <f t="shared" si="55"/>
        <v>25.44884992020831</v>
      </c>
      <c r="M94" s="18">
        <f t="shared" si="56"/>
        <v>9.9623925132327305</v>
      </c>
      <c r="N94" s="19">
        <v>266.69999986678164</v>
      </c>
      <c r="O94" s="19">
        <f t="shared" si="57"/>
        <v>274.91247099431922</v>
      </c>
      <c r="P94" s="19">
        <f t="shared" si="58"/>
        <v>5.616452759709035</v>
      </c>
      <c r="Q94" s="19">
        <v>197.09999990497417</v>
      </c>
      <c r="R94" s="19">
        <f t="shared" si="59"/>
        <v>203.16928396671318</v>
      </c>
      <c r="S94" s="19">
        <f t="shared" si="60"/>
        <v>5.3140395426971274</v>
      </c>
      <c r="T94" s="17">
        <v>1499.78577995301</v>
      </c>
      <c r="U94" s="17">
        <f t="shared" si="61"/>
        <v>7974660949.1661444</v>
      </c>
      <c r="V94" s="18">
        <f t="shared" si="62"/>
        <v>7.3130775635268419</v>
      </c>
      <c r="W94" s="18">
        <f t="shared" si="63"/>
        <v>22.799534970502425</v>
      </c>
      <c r="X94" s="12">
        <v>5.0999999999999996</v>
      </c>
      <c r="Y94" s="12">
        <f t="shared" si="64"/>
        <v>5.0999999999999997E-2</v>
      </c>
      <c r="Z94" s="18">
        <f t="shared" si="65"/>
        <v>-2.9759296462578115</v>
      </c>
      <c r="AA94" s="16">
        <v>243141467.40000001</v>
      </c>
      <c r="AB94" s="16">
        <v>3118762564</v>
      </c>
      <c r="AC94" s="19">
        <f t="shared" si="66"/>
        <v>77.960877883616931</v>
      </c>
      <c r="AD94" s="19">
        <f t="shared" si="67"/>
        <v>80.361520774567424</v>
      </c>
      <c r="AE94" s="19">
        <f t="shared" si="68"/>
        <v>4.3865354642894125</v>
      </c>
      <c r="AF94" s="19">
        <f t="shared" si="77"/>
        <v>80.990924928552872</v>
      </c>
      <c r="AG94" s="18">
        <f t="shared" si="69"/>
        <v>4.3943371104766218</v>
      </c>
      <c r="AH94" s="16">
        <v>328578945.30000001</v>
      </c>
      <c r="AI94" s="16">
        <v>1022167146</v>
      </c>
      <c r="AJ94" s="19">
        <f t="shared" si="70"/>
        <v>321.45324430139726</v>
      </c>
      <c r="AK94" s="19">
        <f t="shared" si="71"/>
        <v>331.35172757472748</v>
      </c>
      <c r="AL94" s="19">
        <f t="shared" si="72"/>
        <v>5.8031804322666156</v>
      </c>
      <c r="AM94" s="19">
        <f t="shared" si="73"/>
        <v>330.01564849731994</v>
      </c>
      <c r="AN94" s="18">
        <f t="shared" si="74"/>
        <v>5.7991400730250966</v>
      </c>
      <c r="AO94" s="20">
        <v>93</v>
      </c>
      <c r="AP94" s="20">
        <f t="shared" si="75"/>
        <v>4.5325994931532563</v>
      </c>
      <c r="AQ94" s="20">
        <v>1</v>
      </c>
      <c r="AR94" s="20">
        <v>0</v>
      </c>
      <c r="AS94" s="20">
        <v>1</v>
      </c>
      <c r="AT94" s="18">
        <v>0</v>
      </c>
      <c r="AU94" s="3">
        <v>0</v>
      </c>
      <c r="AV94" s="3">
        <v>0</v>
      </c>
      <c r="AW94" s="3">
        <f t="shared" si="76"/>
        <v>4.5325994931532563</v>
      </c>
      <c r="AX94" s="3" t="s">
        <v>281</v>
      </c>
      <c r="AY94" s="3" t="s">
        <v>44</v>
      </c>
    </row>
    <row r="95" spans="1:51" ht="19.95" customHeight="1" x14ac:dyDescent="0.3">
      <c r="A95" s="3" t="s">
        <v>229</v>
      </c>
      <c r="B95" s="3" t="s">
        <v>230</v>
      </c>
      <c r="C95" s="3">
        <f>Deflators!C102</f>
        <v>1306</v>
      </c>
      <c r="D95" s="3">
        <f>Deflators!D102</f>
        <v>1.0252679938744258</v>
      </c>
      <c r="E95" s="3">
        <f>Deflators!E102</f>
        <v>1535</v>
      </c>
      <c r="F95" s="3">
        <f>Deflators!F102</f>
        <v>1.0169381107491857</v>
      </c>
      <c r="G95" s="16">
        <v>110143000000</v>
      </c>
      <c r="H95" s="16">
        <v>5320600</v>
      </c>
      <c r="I95" s="17">
        <f t="shared" si="52"/>
        <v>20701.236702627524</v>
      </c>
      <c r="J95" s="17">
        <f t="shared" si="53"/>
        <v>112008614332.24756</v>
      </c>
      <c r="K95" s="17">
        <f t="shared" si="54"/>
        <v>21051.876542541737</v>
      </c>
      <c r="L95" s="18">
        <f t="shared" si="55"/>
        <v>25.441841618964581</v>
      </c>
      <c r="M95" s="18">
        <f t="shared" si="56"/>
        <v>9.9547449820512739</v>
      </c>
      <c r="N95" s="19">
        <v>253.60000007384028</v>
      </c>
      <c r="O95" s="19">
        <f t="shared" si="57"/>
        <v>260.00796332226048</v>
      </c>
      <c r="P95" s="19">
        <f t="shared" si="58"/>
        <v>5.5607122587090352</v>
      </c>
      <c r="Q95" s="19">
        <v>183.90000004267498</v>
      </c>
      <c r="R95" s="19">
        <f t="shared" si="59"/>
        <v>188.54678411726019</v>
      </c>
      <c r="S95" s="19">
        <f t="shared" si="60"/>
        <v>5.2393461676971267</v>
      </c>
      <c r="T95" s="17">
        <v>1476.2931862205082</v>
      </c>
      <c r="U95" s="17">
        <f t="shared" si="61"/>
        <v>7854765526.6048365</v>
      </c>
      <c r="V95" s="18">
        <f t="shared" si="62"/>
        <v>7.2972896210857199</v>
      </c>
      <c r="W95" s="18">
        <f t="shared" si="63"/>
        <v>22.784386257999028</v>
      </c>
      <c r="X95" s="12">
        <v>5.2</v>
      </c>
      <c r="Y95" s="12">
        <f t="shared" si="64"/>
        <v>5.2000000000000005E-2</v>
      </c>
      <c r="Z95" s="18">
        <f t="shared" si="65"/>
        <v>-2.9565115604007097</v>
      </c>
      <c r="AA95" s="16">
        <v>234864710.19999999</v>
      </c>
      <c r="AB95" s="16">
        <v>3016313795</v>
      </c>
      <c r="AC95" s="19">
        <f t="shared" si="66"/>
        <v>77.864813199914423</v>
      </c>
      <c r="AD95" s="19">
        <f t="shared" si="67"/>
        <v>79.83230082288317</v>
      </c>
      <c r="AE95" s="19">
        <f t="shared" si="68"/>
        <v>4.3799281947741697</v>
      </c>
      <c r="AF95" s="19">
        <f t="shared" si="77"/>
        <v>80.361520774567424</v>
      </c>
      <c r="AG95" s="18">
        <f t="shared" si="69"/>
        <v>4.3865354642894125</v>
      </c>
      <c r="AH95" s="16">
        <v>305886466</v>
      </c>
      <c r="AI95" s="16">
        <v>950305250</v>
      </c>
      <c r="AJ95" s="19">
        <f t="shared" si="70"/>
        <v>321.88232780993263</v>
      </c>
      <c r="AK95" s="19">
        <f t="shared" si="71"/>
        <v>330.01564849731994</v>
      </c>
      <c r="AL95" s="19">
        <f t="shared" si="72"/>
        <v>5.7991400730250966</v>
      </c>
      <c r="AM95" s="19">
        <f t="shared" si="73"/>
        <v>326.53073889551649</v>
      </c>
      <c r="AN95" s="18">
        <f t="shared" si="74"/>
        <v>5.7885240909787354</v>
      </c>
      <c r="AO95" s="20">
        <v>94</v>
      </c>
      <c r="AP95" s="20">
        <f t="shared" si="75"/>
        <v>4.5432947822700038</v>
      </c>
      <c r="AQ95" s="20">
        <v>1</v>
      </c>
      <c r="AR95" s="20">
        <v>0</v>
      </c>
      <c r="AS95" s="20">
        <v>1</v>
      </c>
      <c r="AT95" s="18">
        <v>1</v>
      </c>
      <c r="AU95" s="3">
        <v>0</v>
      </c>
      <c r="AV95" s="3">
        <v>0</v>
      </c>
      <c r="AW95" s="3">
        <f t="shared" si="76"/>
        <v>4.5432947822700038</v>
      </c>
      <c r="AX95" s="3" t="s">
        <v>281</v>
      </c>
      <c r="AY95" s="3" t="s">
        <v>44</v>
      </c>
    </row>
    <row r="96" spans="1:51" ht="19.95" customHeight="1" x14ac:dyDescent="0.3">
      <c r="A96" s="3" t="s">
        <v>231</v>
      </c>
      <c r="B96" s="3" t="s">
        <v>232</v>
      </c>
      <c r="C96" s="3">
        <f>Deflators!C103</f>
        <v>1319</v>
      </c>
      <c r="D96" s="3">
        <f>Deflators!D103</f>
        <v>1.0151630022744504</v>
      </c>
      <c r="E96" s="3">
        <f>Deflators!E103</f>
        <v>1542</v>
      </c>
      <c r="F96" s="3">
        <f>Deflators!F103</f>
        <v>1.0123216601815823</v>
      </c>
      <c r="G96" s="16">
        <v>111669000000</v>
      </c>
      <c r="H96" s="16">
        <v>5331100</v>
      </c>
      <c r="I96" s="17">
        <f t="shared" si="52"/>
        <v>20946.708934366266</v>
      </c>
      <c r="J96" s="17">
        <f t="shared" si="53"/>
        <v>113044947470.81711</v>
      </c>
      <c r="K96" s="17">
        <f t="shared" si="54"/>
        <v>21204.807163778041</v>
      </c>
      <c r="L96" s="18">
        <f t="shared" si="55"/>
        <v>25.451051341799605</v>
      </c>
      <c r="M96" s="18">
        <f t="shared" si="56"/>
        <v>9.9619831879639236</v>
      </c>
      <c r="N96" s="19">
        <v>253.99999992802674</v>
      </c>
      <c r="O96" s="19">
        <f t="shared" si="57"/>
        <v>257.85140250464582</v>
      </c>
      <c r="P96" s="19">
        <f t="shared" si="58"/>
        <v>5.5523834597090351</v>
      </c>
      <c r="Q96" s="19">
        <v>185.39999992426687</v>
      </c>
      <c r="R96" s="19">
        <f t="shared" si="59"/>
        <v>188.21122054480165</v>
      </c>
      <c r="S96" s="19">
        <f t="shared" si="60"/>
        <v>5.2375648456971273</v>
      </c>
      <c r="T96" s="17">
        <v>1544.6797387351803</v>
      </c>
      <c r="U96" s="17">
        <f t="shared" si="61"/>
        <v>8234842155.1711197</v>
      </c>
      <c r="V96" s="18">
        <f t="shared" si="62"/>
        <v>7.3425718790000003</v>
      </c>
      <c r="W96" s="18">
        <f t="shared" si="63"/>
        <v>22.831640032835679</v>
      </c>
      <c r="X96" s="12">
        <v>5.3</v>
      </c>
      <c r="Y96" s="12">
        <f t="shared" si="64"/>
        <v>5.2999999999999999E-2</v>
      </c>
      <c r="Z96" s="18">
        <f t="shared" si="65"/>
        <v>-2.9374633654300153</v>
      </c>
      <c r="AA96" s="16">
        <v>243178366.90000001</v>
      </c>
      <c r="AB96" s="16">
        <v>3122958703</v>
      </c>
      <c r="AC96" s="19">
        <f t="shared" si="66"/>
        <v>77.867941918795196</v>
      </c>
      <c r="AD96" s="19">
        <f t="shared" si="67"/>
        <v>79.048653699216658</v>
      </c>
      <c r="AE96" s="19">
        <f t="shared" si="68"/>
        <v>4.3700635325075003</v>
      </c>
      <c r="AF96" s="19">
        <f t="shared" si="77"/>
        <v>79.83230082288317</v>
      </c>
      <c r="AG96" s="18">
        <f t="shared" si="69"/>
        <v>4.3799281947741697</v>
      </c>
      <c r="AH96" s="16">
        <v>314896898.5</v>
      </c>
      <c r="AI96" s="16">
        <v>978994143</v>
      </c>
      <c r="AJ96" s="19">
        <f t="shared" si="70"/>
        <v>321.65350605167004</v>
      </c>
      <c r="AK96" s="19">
        <f t="shared" si="71"/>
        <v>326.53073889551649</v>
      </c>
      <c r="AL96" s="19">
        <f t="shared" si="72"/>
        <v>5.7885240909787354</v>
      </c>
      <c r="AM96" s="19">
        <f t="shared" si="73"/>
        <v>323.77497585052299</v>
      </c>
      <c r="AN96" s="18">
        <f t="shared" si="74"/>
        <v>5.7800487555224285</v>
      </c>
      <c r="AO96" s="20">
        <v>95</v>
      </c>
      <c r="AP96" s="20">
        <f t="shared" si="75"/>
        <v>4.5538768916005408</v>
      </c>
      <c r="AQ96" s="20">
        <v>1</v>
      </c>
      <c r="AR96" s="20">
        <v>0</v>
      </c>
      <c r="AS96" s="20">
        <v>1</v>
      </c>
      <c r="AT96" s="18">
        <v>0</v>
      </c>
      <c r="AU96" s="3">
        <v>1</v>
      </c>
      <c r="AV96" s="3">
        <v>0</v>
      </c>
      <c r="AW96" s="3">
        <f t="shared" si="76"/>
        <v>4.5538768916005408</v>
      </c>
      <c r="AX96" s="3" t="s">
        <v>281</v>
      </c>
      <c r="AY96" s="3" t="s">
        <v>44</v>
      </c>
    </row>
    <row r="97" spans="1:51" ht="19.95" customHeight="1" x14ac:dyDescent="0.3">
      <c r="A97" s="3" t="s">
        <v>29</v>
      </c>
      <c r="B97" s="3" t="s">
        <v>233</v>
      </c>
      <c r="C97" s="3">
        <f>Deflators!C104</f>
        <v>1327</v>
      </c>
      <c r="D97" s="3">
        <f>Deflators!D104</f>
        <v>1.0090429540316503</v>
      </c>
      <c r="E97" s="3">
        <f>Deflators!E104</f>
        <v>1561</v>
      </c>
      <c r="F97" s="3">
        <f>Deflators!F104</f>
        <v>1</v>
      </c>
      <c r="G97" s="16">
        <v>113094000000</v>
      </c>
      <c r="H97" s="16">
        <v>5342000</v>
      </c>
      <c r="I97" s="17">
        <f t="shared" si="52"/>
        <v>21170.722575814303</v>
      </c>
      <c r="J97" s="17">
        <f t="shared" si="53"/>
        <v>113094000000</v>
      </c>
      <c r="K97" s="17">
        <f t="shared" si="54"/>
        <v>21170.722575814303</v>
      </c>
      <c r="L97" s="18">
        <f t="shared" si="55"/>
        <v>25.451485168263385</v>
      </c>
      <c r="M97" s="18">
        <f t="shared" si="56"/>
        <v>9.960374495611342</v>
      </c>
      <c r="N97" s="19">
        <v>260.60000000000002</v>
      </c>
      <c r="O97" s="19">
        <f t="shared" si="57"/>
        <v>262.9565938206481</v>
      </c>
      <c r="P97" s="19">
        <f t="shared" si="58"/>
        <v>5.5719889760497097</v>
      </c>
      <c r="Q97" s="19">
        <v>192.8</v>
      </c>
      <c r="R97" s="19">
        <f t="shared" si="59"/>
        <v>194.5434815373022</v>
      </c>
      <c r="S97" s="19">
        <f t="shared" si="60"/>
        <v>5.2706556935354101</v>
      </c>
      <c r="T97" s="17">
        <v>1565.5435343949114</v>
      </c>
      <c r="U97" s="17">
        <f t="shared" si="61"/>
        <v>8363133560.7376165</v>
      </c>
      <c r="V97" s="18">
        <f t="shared" si="62"/>
        <v>7.3559883490000004</v>
      </c>
      <c r="W97" s="18">
        <f t="shared" si="63"/>
        <v>22.847099021652042</v>
      </c>
      <c r="X97" s="12">
        <v>5.4</v>
      </c>
      <c r="Y97" s="12">
        <f t="shared" si="64"/>
        <v>5.4000000000000006E-2</v>
      </c>
      <c r="Z97" s="18">
        <f t="shared" si="65"/>
        <v>-2.9187712324178627</v>
      </c>
      <c r="AA97" s="16">
        <v>257740144.59999999</v>
      </c>
      <c r="AB97" s="16">
        <v>3307965543</v>
      </c>
      <c r="AC97" s="19">
        <f t="shared" si="66"/>
        <v>77.915002816581634</v>
      </c>
      <c r="AD97" s="19">
        <f t="shared" si="67"/>
        <v>78.619584605427889</v>
      </c>
      <c r="AE97" s="19">
        <f t="shared" si="68"/>
        <v>4.3646208364059564</v>
      </c>
      <c r="AF97" s="19">
        <f t="shared" si="77"/>
        <v>79.048653699216658</v>
      </c>
      <c r="AG97" s="18">
        <f t="shared" si="69"/>
        <v>4.3700635325075003</v>
      </c>
      <c r="AH97" s="16">
        <v>341533880.19999999</v>
      </c>
      <c r="AI97" s="16">
        <v>1064388483</v>
      </c>
      <c r="AJ97" s="19">
        <f t="shared" si="70"/>
        <v>320.87333304977147</v>
      </c>
      <c r="AK97" s="19">
        <f t="shared" si="71"/>
        <v>323.77497585052299</v>
      </c>
      <c r="AL97" s="19">
        <f t="shared" si="72"/>
        <v>5.7800487555224285</v>
      </c>
      <c r="AM97" s="19">
        <f t="shared" si="73"/>
        <v>0</v>
      </c>
      <c r="AN97" s="18">
        <f t="shared" si="74"/>
        <v>0</v>
      </c>
      <c r="AO97" s="20">
        <v>96</v>
      </c>
      <c r="AP97" s="20">
        <f t="shared" si="75"/>
        <v>4.5643481914678361</v>
      </c>
      <c r="AQ97" s="20">
        <v>1</v>
      </c>
      <c r="AR97" s="20">
        <v>0</v>
      </c>
      <c r="AS97" s="20">
        <v>1</v>
      </c>
      <c r="AT97" s="18">
        <v>0</v>
      </c>
      <c r="AU97" s="3">
        <v>0</v>
      </c>
      <c r="AV97" s="3">
        <v>1</v>
      </c>
      <c r="AW97" s="3">
        <f t="shared" si="76"/>
        <v>4.5643481914678361</v>
      </c>
      <c r="AX97" s="3" t="s">
        <v>281</v>
      </c>
      <c r="AY97" s="3" t="s">
        <v>282</v>
      </c>
    </row>
    <row r="98" spans="1:51" ht="19.95" customHeight="1" x14ac:dyDescent="0.3">
      <c r="A98" s="3" t="s">
        <v>26</v>
      </c>
      <c r="B98" s="3" t="s">
        <v>235</v>
      </c>
      <c r="C98" s="3">
        <f>Deflators!C105</f>
        <v>1339</v>
      </c>
      <c r="D98" s="3">
        <f>Deflators!D105</f>
        <v>1</v>
      </c>
      <c r="E98" s="3">
        <f>Deflators!E105</f>
        <v>0</v>
      </c>
      <c r="F98" s="3">
        <f>Deflators!F105</f>
        <v>0</v>
      </c>
      <c r="G98" s="16">
        <v>0</v>
      </c>
      <c r="H98" s="16">
        <v>0</v>
      </c>
      <c r="I98" s="17">
        <f t="shared" ref="I98" si="78">IFERROR(G98/H98,0)</f>
        <v>0</v>
      </c>
      <c r="J98" s="17">
        <f t="shared" si="53"/>
        <v>0</v>
      </c>
      <c r="K98" s="17">
        <f t="shared" ref="K98" si="79">IFERROR(J98/H98,0)</f>
        <v>0</v>
      </c>
      <c r="L98" s="18">
        <f t="shared" si="55"/>
        <v>0</v>
      </c>
      <c r="M98" s="18">
        <f t="shared" si="56"/>
        <v>0</v>
      </c>
      <c r="N98" s="19">
        <v>269.8</v>
      </c>
      <c r="O98" s="19">
        <f t="shared" ref="O98" si="80">N98*D98</f>
        <v>269.8</v>
      </c>
      <c r="P98" s="19">
        <f t="shared" ref="P98" si="81">IFERROR(LN(O98),0)</f>
        <v>5.5976809437736552</v>
      </c>
      <c r="Q98" s="19">
        <v>214.6</v>
      </c>
      <c r="R98" s="19">
        <f t="shared" ref="R98" si="82">Q98*D98</f>
        <v>214.6</v>
      </c>
      <c r="S98" s="19">
        <f t="shared" ref="S98" si="83">IFERROR(LN(R98),0)</f>
        <v>5.368775830196598</v>
      </c>
      <c r="T98" s="17">
        <v>0</v>
      </c>
      <c r="U98" s="17">
        <f t="shared" ref="U98" si="84">T98*H98</f>
        <v>0</v>
      </c>
      <c r="V98" s="18">
        <f t="shared" si="62"/>
        <v>0</v>
      </c>
      <c r="W98" s="18">
        <f t="shared" si="63"/>
        <v>0</v>
      </c>
      <c r="X98" s="12">
        <v>0</v>
      </c>
      <c r="Y98" s="12">
        <f t="shared" ref="Y98" si="85">X98/100</f>
        <v>0</v>
      </c>
      <c r="Z98" s="18">
        <f t="shared" ref="Z98" si="86">IFERROR(LN(Y98),0)</f>
        <v>0</v>
      </c>
      <c r="AA98" s="16">
        <v>0</v>
      </c>
      <c r="AB98" s="16">
        <v>0</v>
      </c>
      <c r="AC98" s="19">
        <f t="shared" ref="AC98" si="87">IFERROR(AA98/AB98*1000,0)</f>
        <v>0</v>
      </c>
      <c r="AD98" s="19">
        <f t="shared" ref="AD98" si="88">AC98*D98</f>
        <v>0</v>
      </c>
      <c r="AE98" s="19">
        <f t="shared" ref="AE98" si="89">IFERROR(LN(AD98),0)</f>
        <v>0</v>
      </c>
      <c r="AF98" s="19">
        <f t="shared" si="77"/>
        <v>78.619584605427889</v>
      </c>
      <c r="AG98" s="18">
        <f t="shared" ref="AG98" si="90">IFERROR(LN(AF98),0)</f>
        <v>4.3646208364059564</v>
      </c>
      <c r="AH98" s="16">
        <v>0</v>
      </c>
      <c r="AI98" s="16">
        <v>0</v>
      </c>
      <c r="AJ98" s="19">
        <f t="shared" ref="AJ98" si="91">IFERROR(AH98/AI98*1000,0)</f>
        <v>0</v>
      </c>
      <c r="AK98" s="19">
        <f t="shared" ref="AK98" si="92">AJ98*D98</f>
        <v>0</v>
      </c>
      <c r="AL98" s="19">
        <f t="shared" ref="AL98" si="93">IFERROR(LN(AK98),0)</f>
        <v>0</v>
      </c>
      <c r="AM98" s="19">
        <v>0</v>
      </c>
      <c r="AN98" s="18">
        <f t="shared" ref="AN98" si="94">IFERROR(LN(AM98),0)</f>
        <v>0</v>
      </c>
      <c r="AO98" s="20">
        <v>97</v>
      </c>
      <c r="AP98" s="20">
        <f t="shared" ref="AP98" si="95">LN(AO98)</f>
        <v>4.5747109785033828</v>
      </c>
      <c r="AQ98" s="20">
        <v>1</v>
      </c>
      <c r="AR98" s="20">
        <v>0</v>
      </c>
      <c r="AS98" s="20">
        <v>1</v>
      </c>
      <c r="AT98" s="18">
        <v>0</v>
      </c>
      <c r="AU98" s="3">
        <v>0</v>
      </c>
      <c r="AV98" s="3">
        <v>0</v>
      </c>
      <c r="AW98" s="3">
        <f t="shared" si="76"/>
        <v>4.5747109785033828</v>
      </c>
      <c r="AX98" s="3" t="s">
        <v>283</v>
      </c>
      <c r="AY98" s="3" t="s">
        <v>284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98"/>
  <sheetViews>
    <sheetView showGridLines="0" tabSelected="1" topLeftCell="A70" workbookViewId="0">
      <selection activeCell="P2" sqref="P2:P98"/>
    </sheetView>
  </sheetViews>
  <sheetFormatPr defaultRowHeight="14.4" x14ac:dyDescent="0.3"/>
  <cols>
    <col min="1" max="1" width="10" customWidth="1"/>
    <col min="2" max="2" width="12" customWidth="1"/>
    <col min="3" max="22" width="16" customWidth="1"/>
    <col min="23" max="29" width="12" customWidth="1"/>
    <col min="30" max="30" width="26" customWidth="1"/>
    <col min="31" max="31" width="24" customWidth="1"/>
  </cols>
  <sheetData>
    <row r="1" spans="1:31" ht="48" customHeight="1" x14ac:dyDescent="0.3">
      <c r="A1" s="21" t="s">
        <v>33</v>
      </c>
      <c r="B1" s="22" t="s">
        <v>34</v>
      </c>
      <c r="C1" s="22" t="s">
        <v>238</v>
      </c>
      <c r="D1" s="22" t="s">
        <v>239</v>
      </c>
      <c r="E1" s="22" t="s">
        <v>240</v>
      </c>
      <c r="F1" s="22" t="s">
        <v>37</v>
      </c>
      <c r="G1" s="22" t="s">
        <v>38</v>
      </c>
      <c r="H1" s="22" t="s">
        <v>242</v>
      </c>
      <c r="I1" s="22" t="s">
        <v>244</v>
      </c>
      <c r="J1" s="22" t="s">
        <v>245</v>
      </c>
      <c r="K1" s="22" t="s">
        <v>36</v>
      </c>
      <c r="L1" s="22" t="s">
        <v>246</v>
      </c>
      <c r="M1" s="22" t="s">
        <v>247</v>
      </c>
      <c r="N1" s="22" t="s">
        <v>251</v>
      </c>
      <c r="O1" s="22" t="s">
        <v>252</v>
      </c>
      <c r="P1" s="22" t="s">
        <v>253</v>
      </c>
      <c r="Q1" s="22" t="s">
        <v>254</v>
      </c>
      <c r="R1" s="22" t="s">
        <v>255</v>
      </c>
      <c r="S1" s="22" t="s">
        <v>256</v>
      </c>
      <c r="T1" s="22" t="s">
        <v>257</v>
      </c>
      <c r="U1" s="22" t="s">
        <v>272</v>
      </c>
      <c r="V1" s="22" t="s">
        <v>273</v>
      </c>
      <c r="W1" s="22" t="s">
        <v>274</v>
      </c>
      <c r="X1" s="22" t="s">
        <v>275</v>
      </c>
      <c r="Y1" s="22" t="s">
        <v>276</v>
      </c>
      <c r="Z1" s="22" t="s">
        <v>277</v>
      </c>
      <c r="AA1" s="22" t="s">
        <v>278</v>
      </c>
      <c r="AB1" s="22" t="s">
        <v>279</v>
      </c>
      <c r="AC1" s="22" t="s">
        <v>280</v>
      </c>
      <c r="AD1" s="22" t="s">
        <v>39</v>
      </c>
      <c r="AE1" s="23" t="s">
        <v>40</v>
      </c>
    </row>
    <row r="2" spans="1:31" ht="19.95" customHeight="1" x14ac:dyDescent="0.3">
      <c r="A2" s="3" t="str">
        <f>'Stage 1 Inputs'!A2</f>
        <v>2002Q1</v>
      </c>
      <c r="B2" s="3" t="str">
        <f>'Stage 1 Inputs'!B2</f>
        <v>Mar 2002</v>
      </c>
      <c r="C2" s="17">
        <f>'Stage 1 Inputs'!G2</f>
        <v>32976000000</v>
      </c>
      <c r="D2" s="17">
        <f>'Stage 1 Inputs'!H2</f>
        <v>3935700</v>
      </c>
      <c r="E2" s="17">
        <f>'Stage 1 Inputs'!I2</f>
        <v>8378.687399954264</v>
      </c>
      <c r="F2" s="17">
        <f>'Stage 1 Inputs'!E2</f>
        <v>835</v>
      </c>
      <c r="G2" s="17">
        <f>'Stage 1 Inputs'!F2</f>
        <v>1.8694610778443115</v>
      </c>
      <c r="H2" s="17">
        <f>'Stage 1 Inputs'!K2</f>
        <v>15663.629977639052</v>
      </c>
      <c r="I2" s="18">
        <f>'Stage 1 Inputs'!M2</f>
        <v>9.659096742021859</v>
      </c>
      <c r="J2" s="19">
        <f>'Stage 1 Inputs'!N2</f>
        <v>97.000000004655959</v>
      </c>
      <c r="K2" s="19">
        <f>'Stage 1 Inputs'!D2</f>
        <v>1.8418156808803301</v>
      </c>
      <c r="L2" s="19">
        <f>'Stage 1 Inputs'!O2</f>
        <v>178.65612105396744</v>
      </c>
      <c r="M2" s="18">
        <f>'Stage 1 Inputs'!P2</f>
        <v>5.1854628467090356</v>
      </c>
      <c r="N2" s="3">
        <f>'Stage 1 Inputs'!T2</f>
        <v>1864.0903271673669</v>
      </c>
      <c r="O2" s="3">
        <f>'Stage 1 Inputs'!U2</f>
        <v>7336500300.6326056</v>
      </c>
      <c r="P2" s="3">
        <f>'Stage 1 Inputs'!V2</f>
        <v>7.5305284528522236</v>
      </c>
      <c r="Q2" s="3">
        <f>'Stage 1 Inputs'!W2</f>
        <v>22.716127767589455</v>
      </c>
      <c r="R2" s="3">
        <f>'Stage 1 Inputs'!X2</f>
        <v>5.3</v>
      </c>
      <c r="S2" s="3">
        <f>'Stage 1 Inputs'!Y2</f>
        <v>5.2999999999999999E-2</v>
      </c>
      <c r="T2" s="3">
        <f>'Stage 1 Inputs'!Z2</f>
        <v>-2.9374633654300153</v>
      </c>
      <c r="U2" s="3">
        <f>'Stage 1 Inputs'!AO2</f>
        <v>1</v>
      </c>
      <c r="V2" s="3">
        <f>'Stage 1 Inputs'!AP2</f>
        <v>0</v>
      </c>
      <c r="W2" s="3">
        <f>'Stage 1 Inputs'!AQ2</f>
        <v>0</v>
      </c>
      <c r="X2" s="3">
        <f>'Stage 1 Inputs'!AR2</f>
        <v>0</v>
      </c>
      <c r="Y2" s="3">
        <f>'Stage 1 Inputs'!AS2</f>
        <v>0</v>
      </c>
      <c r="Z2" s="3">
        <f>'Stage 1 Inputs'!AT2</f>
        <v>0</v>
      </c>
      <c r="AA2" s="3">
        <f>'Stage 1 Inputs'!AU2</f>
        <v>0</v>
      </c>
      <c r="AB2" s="3">
        <f>'Stage 1 Inputs'!AV2</f>
        <v>0</v>
      </c>
      <c r="AC2" s="3">
        <f>'Stage 1 Inputs'!AW2</f>
        <v>0</v>
      </c>
      <c r="AD2" s="3" t="str">
        <f>'Stage 1 Inputs'!AX2</f>
        <v>Historical official/source data</v>
      </c>
      <c r="AE2" s="3" t="str">
        <f>'Stage 1 Inputs'!AY2</f>
        <v>No special note</v>
      </c>
    </row>
    <row r="3" spans="1:31" ht="19.95" customHeight="1" x14ac:dyDescent="0.3">
      <c r="A3" s="3" t="str">
        <f>'Stage 1 Inputs'!A3</f>
        <v>2002Q2</v>
      </c>
      <c r="B3" s="3" t="str">
        <f>'Stage 1 Inputs'!B3</f>
        <v>Jun 2002</v>
      </c>
      <c r="C3" s="17">
        <f>'Stage 1 Inputs'!G3</f>
        <v>32897000000</v>
      </c>
      <c r="D3" s="17">
        <f>'Stage 1 Inputs'!H3</f>
        <v>3948500</v>
      </c>
      <c r="E3" s="17">
        <f>'Stage 1 Inputs'!I3</f>
        <v>8331.5182980878817</v>
      </c>
      <c r="F3" s="17">
        <f>'Stage 1 Inputs'!E3</f>
        <v>825</v>
      </c>
      <c r="G3" s="17">
        <f>'Stage 1 Inputs'!F3</f>
        <v>1.8921212121212121</v>
      </c>
      <c r="H3" s="17">
        <f>'Stage 1 Inputs'!K3</f>
        <v>15764.242500988099</v>
      </c>
      <c r="I3" s="18">
        <f>'Stage 1 Inputs'!M3</f>
        <v>9.6654995214107391</v>
      </c>
      <c r="J3" s="19">
        <f>'Stage 1 Inputs'!N3</f>
        <v>106.80000001135113</v>
      </c>
      <c r="K3" s="19">
        <f>'Stage 1 Inputs'!D3</f>
        <v>1.8242506811989101</v>
      </c>
      <c r="L3" s="19">
        <f>'Stage 1 Inputs'!O3</f>
        <v>194.82997277275089</v>
      </c>
      <c r="M3" s="18">
        <f>'Stage 1 Inputs'!P3</f>
        <v>5.2721272437090354</v>
      </c>
      <c r="N3" s="3">
        <f>'Stage 1 Inputs'!T3</f>
        <v>1854.8369606135454</v>
      </c>
      <c r="O3" s="3">
        <f>'Stage 1 Inputs'!U3</f>
        <v>7323823738.982584</v>
      </c>
      <c r="P3" s="3">
        <f>'Stage 1 Inputs'!V3</f>
        <v>7.5255520793262844</v>
      </c>
      <c r="Q3" s="3">
        <f>'Stage 1 Inputs'!W3</f>
        <v>22.714398397246057</v>
      </c>
      <c r="R3" s="3">
        <f>'Stage 1 Inputs'!X3</f>
        <v>5.3</v>
      </c>
      <c r="S3" s="3">
        <f>'Stage 1 Inputs'!Y3</f>
        <v>5.2999999999999999E-2</v>
      </c>
      <c r="T3" s="3">
        <f>'Stage 1 Inputs'!Z3</f>
        <v>-2.9374633654300153</v>
      </c>
      <c r="U3" s="3">
        <f>'Stage 1 Inputs'!AO3</f>
        <v>2</v>
      </c>
      <c r="V3" s="3">
        <f>'Stage 1 Inputs'!AP3</f>
        <v>0.69314718055994529</v>
      </c>
      <c r="W3" s="3">
        <f>'Stage 1 Inputs'!AQ3</f>
        <v>0</v>
      </c>
      <c r="X3" s="3">
        <f>'Stage 1 Inputs'!AR3</f>
        <v>0</v>
      </c>
      <c r="Y3" s="3">
        <f>'Stage 1 Inputs'!AS3</f>
        <v>0</v>
      </c>
      <c r="Z3" s="3">
        <f>'Stage 1 Inputs'!AT3</f>
        <v>1</v>
      </c>
      <c r="AA3" s="3">
        <f>'Stage 1 Inputs'!AU3</f>
        <v>0</v>
      </c>
      <c r="AB3" s="3">
        <f>'Stage 1 Inputs'!AV3</f>
        <v>0</v>
      </c>
      <c r="AC3" s="3">
        <f>'Stage 1 Inputs'!AW3</f>
        <v>0</v>
      </c>
      <c r="AD3" s="3" t="str">
        <f>'Stage 1 Inputs'!AX3</f>
        <v>Historical official/source data</v>
      </c>
      <c r="AE3" s="3" t="str">
        <f>'Stage 1 Inputs'!AY3</f>
        <v>No special note</v>
      </c>
    </row>
    <row r="4" spans="1:31" ht="19.95" customHeight="1" x14ac:dyDescent="0.3">
      <c r="A4" s="3" t="str">
        <f>'Stage 1 Inputs'!A4</f>
        <v>2002Q3</v>
      </c>
      <c r="B4" s="3" t="str">
        <f>'Stage 1 Inputs'!B4</f>
        <v>Sep 2002</v>
      </c>
      <c r="C4" s="17">
        <f>'Stage 1 Inputs'!G4</f>
        <v>33866000000</v>
      </c>
      <c r="D4" s="17">
        <f>'Stage 1 Inputs'!H4</f>
        <v>3967600</v>
      </c>
      <c r="E4" s="17">
        <f>'Stage 1 Inputs'!I4</f>
        <v>8535.638673253352</v>
      </c>
      <c r="F4" s="17">
        <f>'Stage 1 Inputs'!E4</f>
        <v>832</v>
      </c>
      <c r="G4" s="17">
        <f>'Stage 1 Inputs'!F4</f>
        <v>1.8762019230769231</v>
      </c>
      <c r="H4" s="17">
        <f>'Stage 1 Inputs'!K4</f>
        <v>16014.581693447697</v>
      </c>
      <c r="I4" s="18">
        <f>'Stage 1 Inputs'!M4</f>
        <v>9.681254942029808</v>
      </c>
      <c r="J4" s="19">
        <f>'Stage 1 Inputs'!N4</f>
        <v>104.20000003116299</v>
      </c>
      <c r="K4" s="19">
        <f>'Stage 1 Inputs'!D4</f>
        <v>1.8143631436314362</v>
      </c>
      <c r="L4" s="19">
        <f>'Stage 1 Inputs'!O4</f>
        <v>189.05663962293664</v>
      </c>
      <c r="M4" s="18">
        <f>'Stage 1 Inputs'!P4</f>
        <v>5.2420466507090353</v>
      </c>
      <c r="N4" s="3">
        <f>'Stage 1 Inputs'!T4</f>
        <v>1862.6786036124977</v>
      </c>
      <c r="O4" s="3">
        <f>'Stage 1 Inputs'!U4</f>
        <v>7390363627.6929455</v>
      </c>
      <c r="P4" s="3">
        <f>'Stage 1 Inputs'!V4</f>
        <v>7.5297708402131711</v>
      </c>
      <c r="Q4" s="3">
        <f>'Stage 1 Inputs'!W4</f>
        <v>22.723442776067145</v>
      </c>
      <c r="R4" s="3">
        <f>'Stage 1 Inputs'!X4</f>
        <v>5.5</v>
      </c>
      <c r="S4" s="3">
        <f>'Stage 1 Inputs'!Y4</f>
        <v>5.5E-2</v>
      </c>
      <c r="T4" s="3">
        <f>'Stage 1 Inputs'!Z4</f>
        <v>-2.9004220937496661</v>
      </c>
      <c r="U4" s="3">
        <f>'Stage 1 Inputs'!AO4</f>
        <v>3</v>
      </c>
      <c r="V4" s="3">
        <f>'Stage 1 Inputs'!AP4</f>
        <v>1.0986122886681098</v>
      </c>
      <c r="W4" s="3">
        <f>'Stage 1 Inputs'!AQ4</f>
        <v>0</v>
      </c>
      <c r="X4" s="3">
        <f>'Stage 1 Inputs'!AR4</f>
        <v>0</v>
      </c>
      <c r="Y4" s="3">
        <f>'Stage 1 Inputs'!AS4</f>
        <v>0</v>
      </c>
      <c r="Z4" s="3">
        <f>'Stage 1 Inputs'!AT4</f>
        <v>0</v>
      </c>
      <c r="AA4" s="3">
        <f>'Stage 1 Inputs'!AU4</f>
        <v>1</v>
      </c>
      <c r="AB4" s="3">
        <f>'Stage 1 Inputs'!AV4</f>
        <v>0</v>
      </c>
      <c r="AC4" s="3">
        <f>'Stage 1 Inputs'!AW4</f>
        <v>0</v>
      </c>
      <c r="AD4" s="3" t="str">
        <f>'Stage 1 Inputs'!AX4</f>
        <v>Historical official/source data</v>
      </c>
      <c r="AE4" s="3" t="str">
        <f>'Stage 1 Inputs'!AY4</f>
        <v>No special note</v>
      </c>
    </row>
    <row r="5" spans="1:31" ht="19.95" customHeight="1" x14ac:dyDescent="0.3">
      <c r="A5" s="3" t="str">
        <f>'Stage 1 Inputs'!A5</f>
        <v>2002Q4</v>
      </c>
      <c r="B5" s="3" t="str">
        <f>'Stage 1 Inputs'!B5</f>
        <v>Dec 2002</v>
      </c>
      <c r="C5" s="17">
        <f>'Stage 1 Inputs'!G5</f>
        <v>33950000000</v>
      </c>
      <c r="D5" s="17">
        <f>'Stage 1 Inputs'!H5</f>
        <v>3989500</v>
      </c>
      <c r="E5" s="17">
        <f>'Stage 1 Inputs'!I5</f>
        <v>8509.8383256047127</v>
      </c>
      <c r="F5" s="17">
        <f>'Stage 1 Inputs'!E5</f>
        <v>820</v>
      </c>
      <c r="G5" s="17">
        <f>'Stage 1 Inputs'!F5</f>
        <v>1.9036585365853658</v>
      </c>
      <c r="H5" s="17">
        <f>'Stage 1 Inputs'!K5</f>
        <v>16199.826373498725</v>
      </c>
      <c r="I5" s="18">
        <f>'Stage 1 Inputs'!M5</f>
        <v>9.6927558034777768</v>
      </c>
      <c r="J5" s="19">
        <f>'Stage 1 Inputs'!N5</f>
        <v>103.6000000372816</v>
      </c>
      <c r="K5" s="19">
        <f>'Stage 1 Inputs'!D5</f>
        <v>1.8045822102425877</v>
      </c>
      <c r="L5" s="19">
        <f>'Stage 1 Inputs'!O5</f>
        <v>186.9547170484098</v>
      </c>
      <c r="M5" s="18">
        <f>'Stage 1 Inputs'!P5</f>
        <v>5.2308664327090355</v>
      </c>
      <c r="N5" s="3">
        <f>'Stage 1 Inputs'!T5</f>
        <v>1899.2888291481611</v>
      </c>
      <c r="O5" s="3">
        <f>'Stage 1 Inputs'!U5</f>
        <v>7577212783.8865891</v>
      </c>
      <c r="P5" s="3">
        <f>'Stage 1 Inputs'!V5</f>
        <v>7.5492347946382976</v>
      </c>
      <c r="Q5" s="3">
        <f>'Stage 1 Inputs'!W5</f>
        <v>22.748411262368769</v>
      </c>
      <c r="R5" s="3">
        <f>'Stage 1 Inputs'!X5</f>
        <v>5.0999999999999996</v>
      </c>
      <c r="S5" s="3">
        <f>'Stage 1 Inputs'!Y5</f>
        <v>5.0999999999999997E-2</v>
      </c>
      <c r="T5" s="3">
        <f>'Stage 1 Inputs'!Z5</f>
        <v>-2.9759296462578115</v>
      </c>
      <c r="U5" s="3">
        <f>'Stage 1 Inputs'!AO5</f>
        <v>4</v>
      </c>
      <c r="V5" s="3">
        <f>'Stage 1 Inputs'!AP5</f>
        <v>1.3862943611198906</v>
      </c>
      <c r="W5" s="3">
        <f>'Stage 1 Inputs'!AQ5</f>
        <v>0</v>
      </c>
      <c r="X5" s="3">
        <f>'Stage 1 Inputs'!AR5</f>
        <v>0</v>
      </c>
      <c r="Y5" s="3">
        <f>'Stage 1 Inputs'!AS5</f>
        <v>0</v>
      </c>
      <c r="Z5" s="3">
        <f>'Stage 1 Inputs'!AT5</f>
        <v>0</v>
      </c>
      <c r="AA5" s="3">
        <f>'Stage 1 Inputs'!AU5</f>
        <v>0</v>
      </c>
      <c r="AB5" s="3">
        <f>'Stage 1 Inputs'!AV5</f>
        <v>1</v>
      </c>
      <c r="AC5" s="3">
        <f>'Stage 1 Inputs'!AW5</f>
        <v>0</v>
      </c>
      <c r="AD5" s="3" t="str">
        <f>'Stage 1 Inputs'!AX5</f>
        <v>Historical official/source data</v>
      </c>
      <c r="AE5" s="3" t="str">
        <f>'Stage 1 Inputs'!AY5</f>
        <v>No special note</v>
      </c>
    </row>
    <row r="6" spans="1:31" ht="19.95" customHeight="1" x14ac:dyDescent="0.3">
      <c r="A6" s="3" t="str">
        <f>'Stage 1 Inputs'!A6</f>
        <v>2003Q1</v>
      </c>
      <c r="B6" s="3" t="str">
        <f>'Stage 1 Inputs'!B6</f>
        <v>Mar 2003</v>
      </c>
      <c r="C6" s="17">
        <f>'Stage 1 Inputs'!G6</f>
        <v>34462000000</v>
      </c>
      <c r="D6" s="17">
        <f>'Stage 1 Inputs'!H6</f>
        <v>4013300</v>
      </c>
      <c r="E6" s="17">
        <f>'Stage 1 Inputs'!I6</f>
        <v>8586.948396581367</v>
      </c>
      <c r="F6" s="17">
        <f>'Stage 1 Inputs'!E6</f>
        <v>828</v>
      </c>
      <c r="G6" s="17">
        <f>'Stage 1 Inputs'!F6</f>
        <v>1.8852657004830917</v>
      </c>
      <c r="H6" s="17">
        <f>'Stage 1 Inputs'!K6</f>
        <v>16188.679283893132</v>
      </c>
      <c r="I6" s="18">
        <f>'Stage 1 Inputs'!M6</f>
        <v>9.6920674673029836</v>
      </c>
      <c r="J6" s="19">
        <f>'Stage 1 Inputs'!N6</f>
        <v>110.19999996458262</v>
      </c>
      <c r="K6" s="19">
        <f>'Stage 1 Inputs'!D6</f>
        <v>1.7973154362416108</v>
      </c>
      <c r="L6" s="19">
        <f>'Stage 1 Inputs'!O6</f>
        <v>198.0641610101693</v>
      </c>
      <c r="M6" s="18">
        <f>'Stage 1 Inputs'!P6</f>
        <v>5.288591023709035</v>
      </c>
      <c r="N6" s="3">
        <f>'Stage 1 Inputs'!T6</f>
        <v>1869.6778960790102</v>
      </c>
      <c r="O6" s="3">
        <f>'Stage 1 Inputs'!U6</f>
        <v>7503578300.3338919</v>
      </c>
      <c r="P6" s="3">
        <f>'Stage 1 Inputs'!V6</f>
        <v>7.5335214469261365</v>
      </c>
      <c r="Q6" s="3">
        <f>'Stage 1 Inputs'!W6</f>
        <v>22.738645850420642</v>
      </c>
      <c r="R6" s="3">
        <f>'Stage 1 Inputs'!X6</f>
        <v>5</v>
      </c>
      <c r="S6" s="3">
        <f>'Stage 1 Inputs'!Y6</f>
        <v>0.05</v>
      </c>
      <c r="T6" s="3">
        <f>'Stage 1 Inputs'!Z6</f>
        <v>-2.9957322735539909</v>
      </c>
      <c r="U6" s="3">
        <f>'Stage 1 Inputs'!AO6</f>
        <v>5</v>
      </c>
      <c r="V6" s="3">
        <f>'Stage 1 Inputs'!AP6</f>
        <v>1.6094379124341003</v>
      </c>
      <c r="W6" s="3">
        <f>'Stage 1 Inputs'!AQ6</f>
        <v>0</v>
      </c>
      <c r="X6" s="3">
        <f>'Stage 1 Inputs'!AR6</f>
        <v>0</v>
      </c>
      <c r="Y6" s="3">
        <f>'Stage 1 Inputs'!AS6</f>
        <v>0</v>
      </c>
      <c r="Z6" s="3">
        <f>'Stage 1 Inputs'!AT6</f>
        <v>0</v>
      </c>
      <c r="AA6" s="3">
        <f>'Stage 1 Inputs'!AU6</f>
        <v>0</v>
      </c>
      <c r="AB6" s="3">
        <f>'Stage 1 Inputs'!AV6</f>
        <v>0</v>
      </c>
      <c r="AC6" s="3">
        <f>'Stage 1 Inputs'!AW6</f>
        <v>0</v>
      </c>
      <c r="AD6" s="3" t="str">
        <f>'Stage 1 Inputs'!AX6</f>
        <v>Historical official/source data</v>
      </c>
      <c r="AE6" s="3" t="str">
        <f>'Stage 1 Inputs'!AY6</f>
        <v>No special note</v>
      </c>
    </row>
    <row r="7" spans="1:31" ht="19.95" customHeight="1" x14ac:dyDescent="0.3">
      <c r="A7" s="3" t="str">
        <f>'Stage 1 Inputs'!A7</f>
        <v>2003Q2</v>
      </c>
      <c r="B7" s="3" t="str">
        <f>'Stage 1 Inputs'!B7</f>
        <v>Jun 2003</v>
      </c>
      <c r="C7" s="17">
        <f>'Stage 1 Inputs'!G7</f>
        <v>34938000000</v>
      </c>
      <c r="D7" s="17">
        <f>'Stage 1 Inputs'!H7</f>
        <v>4027200</v>
      </c>
      <c r="E7" s="17">
        <f>'Stage 1 Inputs'!I7</f>
        <v>8675.5065554231223</v>
      </c>
      <c r="F7" s="17">
        <f>'Stage 1 Inputs'!E7</f>
        <v>836</v>
      </c>
      <c r="G7" s="17">
        <f>'Stage 1 Inputs'!F7</f>
        <v>1.8672248803827751</v>
      </c>
      <c r="H7" s="17">
        <f>'Stage 1 Inputs'!K7</f>
        <v>16199.121690209922</v>
      </c>
      <c r="I7" s="18">
        <f>'Stage 1 Inputs'!M7</f>
        <v>9.6927123030969913</v>
      </c>
      <c r="J7" s="19">
        <f>'Stage 1 Inputs'!N7</f>
        <v>99.300000034387196</v>
      </c>
      <c r="K7" s="19">
        <f>'Stage 1 Inputs'!D7</f>
        <v>1.7973154362416108</v>
      </c>
      <c r="L7" s="19">
        <f>'Stage 1 Inputs'!O7</f>
        <v>178.47342288059659</v>
      </c>
      <c r="M7" s="18">
        <f>'Stage 1 Inputs'!P7</f>
        <v>5.1844396987090358</v>
      </c>
      <c r="N7" s="3">
        <f>'Stage 1 Inputs'!T7</f>
        <v>1857.8788758456431</v>
      </c>
      <c r="O7" s="3">
        <f>'Stage 1 Inputs'!U7</f>
        <v>7482049808.8055735</v>
      </c>
      <c r="P7" s="3">
        <f>'Stage 1 Inputs'!V7</f>
        <v>7.5271907266382581</v>
      </c>
      <c r="Q7" s="3">
        <f>'Stage 1 Inputs'!W7</f>
        <v>22.735772630001446</v>
      </c>
      <c r="R7" s="3">
        <f>'Stage 1 Inputs'!X7</f>
        <v>4.8</v>
      </c>
      <c r="S7" s="3">
        <f>'Stage 1 Inputs'!Y7</f>
        <v>4.8000000000000001E-2</v>
      </c>
      <c r="T7" s="3">
        <f>'Stage 1 Inputs'!Z7</f>
        <v>-3.0365542680742461</v>
      </c>
      <c r="U7" s="3">
        <f>'Stage 1 Inputs'!AO7</f>
        <v>6</v>
      </c>
      <c r="V7" s="3">
        <f>'Stage 1 Inputs'!AP7</f>
        <v>1.791759469228055</v>
      </c>
      <c r="W7" s="3">
        <f>'Stage 1 Inputs'!AQ7</f>
        <v>0</v>
      </c>
      <c r="X7" s="3">
        <f>'Stage 1 Inputs'!AR7</f>
        <v>0</v>
      </c>
      <c r="Y7" s="3">
        <f>'Stage 1 Inputs'!AS7</f>
        <v>0</v>
      </c>
      <c r="Z7" s="3">
        <f>'Stage 1 Inputs'!AT7</f>
        <v>1</v>
      </c>
      <c r="AA7" s="3">
        <f>'Stage 1 Inputs'!AU7</f>
        <v>0</v>
      </c>
      <c r="AB7" s="3">
        <f>'Stage 1 Inputs'!AV7</f>
        <v>0</v>
      </c>
      <c r="AC7" s="3">
        <f>'Stage 1 Inputs'!AW7</f>
        <v>0</v>
      </c>
      <c r="AD7" s="3" t="str">
        <f>'Stage 1 Inputs'!AX7</f>
        <v>Historical official/source data</v>
      </c>
      <c r="AE7" s="3" t="str">
        <f>'Stage 1 Inputs'!AY7</f>
        <v>No special note</v>
      </c>
    </row>
    <row r="8" spans="1:31" ht="19.95" customHeight="1" x14ac:dyDescent="0.3">
      <c r="A8" s="3" t="str">
        <f>'Stage 1 Inputs'!A8</f>
        <v>2003Q3</v>
      </c>
      <c r="B8" s="3" t="str">
        <f>'Stage 1 Inputs'!B8</f>
        <v>Sep 2003</v>
      </c>
      <c r="C8" s="17">
        <f>'Stage 1 Inputs'!G8</f>
        <v>35703000000</v>
      </c>
      <c r="D8" s="17">
        <f>'Stage 1 Inputs'!H8</f>
        <v>4044600</v>
      </c>
      <c r="E8" s="17">
        <f>'Stage 1 Inputs'!I8</f>
        <v>8827.3253226524248</v>
      </c>
      <c r="F8" s="17">
        <f>'Stage 1 Inputs'!E8</f>
        <v>841</v>
      </c>
      <c r="G8" s="17">
        <f>'Stage 1 Inputs'!F8</f>
        <v>1.8561236623067776</v>
      </c>
      <c r="H8" s="17">
        <f>'Stage 1 Inputs'!K8</f>
        <v>16384.607406254978</v>
      </c>
      <c r="I8" s="18">
        <f>'Stage 1 Inputs'!M8</f>
        <v>9.7040976002877226</v>
      </c>
      <c r="J8" s="19">
        <f>'Stage 1 Inputs'!N8</f>
        <v>106.40000000902234</v>
      </c>
      <c r="K8" s="19">
        <f>'Stage 1 Inputs'!D8</f>
        <v>1.7901069518716577</v>
      </c>
      <c r="L8" s="19">
        <f>'Stage 1 Inputs'!O8</f>
        <v>190.46737969529534</v>
      </c>
      <c r="M8" s="18">
        <f>'Stage 1 Inputs'!P8</f>
        <v>5.2494809447090356</v>
      </c>
      <c r="N8" s="3">
        <f>'Stage 1 Inputs'!T8</f>
        <v>1866.367749332602</v>
      </c>
      <c r="O8" s="3">
        <f>'Stage 1 Inputs'!U8</f>
        <v>7548710998.9506416</v>
      </c>
      <c r="P8" s="3">
        <f>'Stage 1 Inputs'!V8</f>
        <v>7.5317494409461609</v>
      </c>
      <c r="Q8" s="3">
        <f>'Stage 1 Inputs'!W8</f>
        <v>22.744642657015746</v>
      </c>
      <c r="R8" s="3">
        <f>'Stage 1 Inputs'!X8</f>
        <v>4.5</v>
      </c>
      <c r="S8" s="3">
        <f>'Stage 1 Inputs'!Y8</f>
        <v>4.4999999999999998E-2</v>
      </c>
      <c r="T8" s="3">
        <f>'Stage 1 Inputs'!Z8</f>
        <v>-3.1010927892118172</v>
      </c>
      <c r="U8" s="3">
        <f>'Stage 1 Inputs'!AO8</f>
        <v>7</v>
      </c>
      <c r="V8" s="3">
        <f>'Stage 1 Inputs'!AP8</f>
        <v>1.9459101490553132</v>
      </c>
      <c r="W8" s="3">
        <f>'Stage 1 Inputs'!AQ8</f>
        <v>0</v>
      </c>
      <c r="X8" s="3">
        <f>'Stage 1 Inputs'!AR8</f>
        <v>0</v>
      </c>
      <c r="Y8" s="3">
        <f>'Stage 1 Inputs'!AS8</f>
        <v>0</v>
      </c>
      <c r="Z8" s="3">
        <f>'Stage 1 Inputs'!AT8</f>
        <v>0</v>
      </c>
      <c r="AA8" s="3">
        <f>'Stage 1 Inputs'!AU8</f>
        <v>1</v>
      </c>
      <c r="AB8" s="3">
        <f>'Stage 1 Inputs'!AV8</f>
        <v>0</v>
      </c>
      <c r="AC8" s="3">
        <f>'Stage 1 Inputs'!AW8</f>
        <v>0</v>
      </c>
      <c r="AD8" s="3" t="str">
        <f>'Stage 1 Inputs'!AX8</f>
        <v>Historical official/source data</v>
      </c>
      <c r="AE8" s="3" t="str">
        <f>'Stage 1 Inputs'!AY8</f>
        <v>No special note</v>
      </c>
    </row>
    <row r="9" spans="1:31" ht="19.95" customHeight="1" x14ac:dyDescent="0.3">
      <c r="A9" s="3" t="str">
        <f>'Stage 1 Inputs'!A9</f>
        <v>2003Q4</v>
      </c>
      <c r="B9" s="3" t="str">
        <f>'Stage 1 Inputs'!B9</f>
        <v>Dec 2003</v>
      </c>
      <c r="C9" s="17">
        <f>'Stage 1 Inputs'!G9</f>
        <v>36381000000</v>
      </c>
      <c r="D9" s="17">
        <f>'Stage 1 Inputs'!H9</f>
        <v>4061600</v>
      </c>
      <c r="E9" s="17">
        <f>'Stage 1 Inputs'!I9</f>
        <v>8957.3074650384078</v>
      </c>
      <c r="F9" s="17">
        <f>'Stage 1 Inputs'!E9</f>
        <v>847</v>
      </c>
      <c r="G9" s="17">
        <f>'Stage 1 Inputs'!F9</f>
        <v>1.8429752066115703</v>
      </c>
      <c r="H9" s="17">
        <f>'Stage 1 Inputs'!K9</f>
        <v>16508.095576062522</v>
      </c>
      <c r="I9" s="18">
        <f>'Stage 1 Inputs'!M9</f>
        <v>9.7116061805372311</v>
      </c>
      <c r="J9" s="19">
        <f>'Stage 1 Inputs'!N9</f>
        <v>104.19999996942275</v>
      </c>
      <c r="K9" s="19">
        <f>'Stage 1 Inputs'!D9</f>
        <v>1.7758620689655173</v>
      </c>
      <c r="L9" s="19">
        <f>'Stage 1 Inputs'!O9</f>
        <v>185.04482753190592</v>
      </c>
      <c r="M9" s="18">
        <f>'Stage 1 Inputs'!P9</f>
        <v>5.2205981067090352</v>
      </c>
      <c r="N9" s="3">
        <f>'Stage 1 Inputs'!T9</f>
        <v>1902.6144744832498</v>
      </c>
      <c r="O9" s="3">
        <f>'Stage 1 Inputs'!U9</f>
        <v>7727658949.5611668</v>
      </c>
      <c r="P9" s="3">
        <f>'Stage 1 Inputs'!V9</f>
        <v>7.5509842584819076</v>
      </c>
      <c r="Q9" s="3">
        <f>'Stage 1 Inputs'!W9</f>
        <v>22.768071801097229</v>
      </c>
      <c r="R9" s="3">
        <f>'Stage 1 Inputs'!X9</f>
        <v>4.7</v>
      </c>
      <c r="S9" s="3">
        <f>'Stage 1 Inputs'!Y9</f>
        <v>4.7E-2</v>
      </c>
      <c r="T9" s="3">
        <f>'Stage 1 Inputs'!Z9</f>
        <v>-3.0576076772720784</v>
      </c>
      <c r="U9" s="3">
        <f>'Stage 1 Inputs'!AO9</f>
        <v>8</v>
      </c>
      <c r="V9" s="3">
        <f>'Stage 1 Inputs'!AP9</f>
        <v>2.0794415416798357</v>
      </c>
      <c r="W9" s="3">
        <f>'Stage 1 Inputs'!AQ9</f>
        <v>0</v>
      </c>
      <c r="X9" s="3">
        <f>'Stage 1 Inputs'!AR9</f>
        <v>0</v>
      </c>
      <c r="Y9" s="3">
        <f>'Stage 1 Inputs'!AS9</f>
        <v>0</v>
      </c>
      <c r="Z9" s="3">
        <f>'Stage 1 Inputs'!AT9</f>
        <v>0</v>
      </c>
      <c r="AA9" s="3">
        <f>'Stage 1 Inputs'!AU9</f>
        <v>0</v>
      </c>
      <c r="AB9" s="3">
        <f>'Stage 1 Inputs'!AV9</f>
        <v>1</v>
      </c>
      <c r="AC9" s="3">
        <f>'Stage 1 Inputs'!AW9</f>
        <v>0</v>
      </c>
      <c r="AD9" s="3" t="str">
        <f>'Stage 1 Inputs'!AX9</f>
        <v>Historical official/source data</v>
      </c>
      <c r="AE9" s="3" t="str">
        <f>'Stage 1 Inputs'!AY9</f>
        <v>No special note</v>
      </c>
    </row>
    <row r="10" spans="1:31" ht="19.95" customHeight="1" x14ac:dyDescent="0.3">
      <c r="A10" s="3" t="str">
        <f>'Stage 1 Inputs'!A10</f>
        <v>2004Q1</v>
      </c>
      <c r="B10" s="3" t="str">
        <f>'Stage 1 Inputs'!B10</f>
        <v>Mar 2004</v>
      </c>
      <c r="C10" s="17">
        <f>'Stage 1 Inputs'!G10</f>
        <v>37466000000</v>
      </c>
      <c r="D10" s="17">
        <f>'Stage 1 Inputs'!H10</f>
        <v>4078700</v>
      </c>
      <c r="E10" s="17">
        <f>'Stage 1 Inputs'!I10</f>
        <v>9185.7699757275604</v>
      </c>
      <c r="F10" s="17">
        <f>'Stage 1 Inputs'!E10</f>
        <v>850</v>
      </c>
      <c r="G10" s="17">
        <f>'Stage 1 Inputs'!F10</f>
        <v>1.8364705882352941</v>
      </c>
      <c r="H10" s="17">
        <f>'Stage 1 Inputs'!K10</f>
        <v>16869.396390718495</v>
      </c>
      <c r="I10" s="18">
        <f>'Stage 1 Inputs'!M10</f>
        <v>9.7332563948594952</v>
      </c>
      <c r="J10" s="19">
        <f>'Stage 1 Inputs'!N10</f>
        <v>109.800000041711</v>
      </c>
      <c r="K10" s="19">
        <f>'Stage 1 Inputs'!D10</f>
        <v>1.7688243064729194</v>
      </c>
      <c r="L10" s="19">
        <f>'Stage 1 Inputs'!O10</f>
        <v>194.21690892450599</v>
      </c>
      <c r="M10" s="18">
        <f>'Stage 1 Inputs'!P10</f>
        <v>5.2689756217090356</v>
      </c>
      <c r="N10" s="3">
        <f>'Stage 1 Inputs'!T10</f>
        <v>1893.0121822433898</v>
      </c>
      <c r="O10" s="3">
        <f>'Stage 1 Inputs'!U10</f>
        <v>7721028787.716114</v>
      </c>
      <c r="P10" s="3">
        <f>'Stage 1 Inputs'!V10</f>
        <v>7.5459245866050919</v>
      </c>
      <c r="Q10" s="3">
        <f>'Stage 1 Inputs'!W10</f>
        <v>22.767213454761944</v>
      </c>
      <c r="R10" s="3">
        <f>'Stage 1 Inputs'!X10</f>
        <v>4.3</v>
      </c>
      <c r="S10" s="3">
        <f>'Stage 1 Inputs'!Y10</f>
        <v>4.2999999999999997E-2</v>
      </c>
      <c r="T10" s="3">
        <f>'Stage 1 Inputs'!Z10</f>
        <v>-3.1465551632885749</v>
      </c>
      <c r="U10" s="3">
        <f>'Stage 1 Inputs'!AO10</f>
        <v>9</v>
      </c>
      <c r="V10" s="3">
        <f>'Stage 1 Inputs'!AP10</f>
        <v>2.1972245773362196</v>
      </c>
      <c r="W10" s="3">
        <f>'Stage 1 Inputs'!AQ10</f>
        <v>0</v>
      </c>
      <c r="X10" s="3">
        <f>'Stage 1 Inputs'!AR10</f>
        <v>0</v>
      </c>
      <c r="Y10" s="3">
        <f>'Stage 1 Inputs'!AS10</f>
        <v>0</v>
      </c>
      <c r="Z10" s="3">
        <f>'Stage 1 Inputs'!AT10</f>
        <v>0</v>
      </c>
      <c r="AA10" s="3">
        <f>'Stage 1 Inputs'!AU10</f>
        <v>0</v>
      </c>
      <c r="AB10" s="3">
        <f>'Stage 1 Inputs'!AV10</f>
        <v>0</v>
      </c>
      <c r="AC10" s="3">
        <f>'Stage 1 Inputs'!AW10</f>
        <v>0</v>
      </c>
      <c r="AD10" s="3" t="str">
        <f>'Stage 1 Inputs'!AX10</f>
        <v>Historical official/source data</v>
      </c>
      <c r="AE10" s="3" t="str">
        <f>'Stage 1 Inputs'!AY10</f>
        <v>No special note</v>
      </c>
    </row>
    <row r="11" spans="1:31" ht="19.95" customHeight="1" x14ac:dyDescent="0.3">
      <c r="A11" s="3" t="str">
        <f>'Stage 1 Inputs'!A11</f>
        <v>2004Q2</v>
      </c>
      <c r="B11" s="3" t="str">
        <f>'Stage 1 Inputs'!B11</f>
        <v>Jun 2004</v>
      </c>
      <c r="C11" s="17">
        <f>'Stage 1 Inputs'!G11</f>
        <v>38019000000</v>
      </c>
      <c r="D11" s="17">
        <f>'Stage 1 Inputs'!H11</f>
        <v>4087500</v>
      </c>
      <c r="E11" s="17">
        <f>'Stage 1 Inputs'!I11</f>
        <v>9301.2844036697243</v>
      </c>
      <c r="F11" s="17">
        <f>'Stage 1 Inputs'!E11</f>
        <v>862</v>
      </c>
      <c r="G11" s="17">
        <f>'Stage 1 Inputs'!F11</f>
        <v>1.8109048723897911</v>
      </c>
      <c r="H11" s="17">
        <f>'Stage 1 Inputs'!K11</f>
        <v>16843.741246088677</v>
      </c>
      <c r="I11" s="18">
        <f>'Stage 1 Inputs'!M11</f>
        <v>9.7317344273785409</v>
      </c>
      <c r="J11" s="19">
        <f>'Stage 1 Inputs'!N11</f>
        <v>118.39999998252588</v>
      </c>
      <c r="K11" s="19">
        <f>'Stage 1 Inputs'!D11</f>
        <v>1.7549148099606815</v>
      </c>
      <c r="L11" s="19">
        <f>'Stage 1 Inputs'!O11</f>
        <v>207.78191346867911</v>
      </c>
      <c r="M11" s="18">
        <f>'Stage 1 Inputs'!P11</f>
        <v>5.3364890367090352</v>
      </c>
      <c r="N11" s="3">
        <f>'Stage 1 Inputs'!T11</f>
        <v>1857.5757538064283</v>
      </c>
      <c r="O11" s="3">
        <f>'Stage 1 Inputs'!U11</f>
        <v>7592840893.6837759</v>
      </c>
      <c r="P11" s="3">
        <f>'Stage 1 Inputs'!V11</f>
        <v>7.5270275584286566</v>
      </c>
      <c r="Q11" s="3">
        <f>'Stage 1 Inputs'!W11</f>
        <v>22.750471652616302</v>
      </c>
      <c r="R11" s="3">
        <f>'Stage 1 Inputs'!X11</f>
        <v>4.2</v>
      </c>
      <c r="S11" s="3">
        <f>'Stage 1 Inputs'!Y11</f>
        <v>4.2000000000000003E-2</v>
      </c>
      <c r="T11" s="3">
        <f>'Stage 1 Inputs'!Z11</f>
        <v>-3.1700856606987688</v>
      </c>
      <c r="U11" s="3">
        <f>'Stage 1 Inputs'!AO11</f>
        <v>10</v>
      </c>
      <c r="V11" s="3">
        <f>'Stage 1 Inputs'!AP11</f>
        <v>2.3025850929940459</v>
      </c>
      <c r="W11" s="3">
        <f>'Stage 1 Inputs'!AQ11</f>
        <v>0</v>
      </c>
      <c r="X11" s="3">
        <f>'Stage 1 Inputs'!AR11</f>
        <v>0</v>
      </c>
      <c r="Y11" s="3">
        <f>'Stage 1 Inputs'!AS11</f>
        <v>0</v>
      </c>
      <c r="Z11" s="3">
        <f>'Stage 1 Inputs'!AT11</f>
        <v>1</v>
      </c>
      <c r="AA11" s="3">
        <f>'Stage 1 Inputs'!AU11</f>
        <v>0</v>
      </c>
      <c r="AB11" s="3">
        <f>'Stage 1 Inputs'!AV11</f>
        <v>0</v>
      </c>
      <c r="AC11" s="3">
        <f>'Stage 1 Inputs'!AW11</f>
        <v>0</v>
      </c>
      <c r="AD11" s="3" t="str">
        <f>'Stage 1 Inputs'!AX11</f>
        <v>Historical official/source data</v>
      </c>
      <c r="AE11" s="3" t="str">
        <f>'Stage 1 Inputs'!AY11</f>
        <v>No special note</v>
      </c>
    </row>
    <row r="12" spans="1:31" ht="19.95" customHeight="1" x14ac:dyDescent="0.3">
      <c r="A12" s="3" t="str">
        <f>'Stage 1 Inputs'!A12</f>
        <v>2004Q3</v>
      </c>
      <c r="B12" s="3" t="str">
        <f>'Stage 1 Inputs'!B12</f>
        <v>Sep 2004</v>
      </c>
      <c r="C12" s="17">
        <f>'Stage 1 Inputs'!G12</f>
        <v>38645000000</v>
      </c>
      <c r="D12" s="17">
        <f>'Stage 1 Inputs'!H12</f>
        <v>4100600</v>
      </c>
      <c r="E12" s="17">
        <f>'Stage 1 Inputs'!I12</f>
        <v>9424.230600399942</v>
      </c>
      <c r="F12" s="17">
        <f>'Stage 1 Inputs'!E12</f>
        <v>875</v>
      </c>
      <c r="G12" s="17">
        <f>'Stage 1 Inputs'!F12</f>
        <v>1.784</v>
      </c>
      <c r="H12" s="17">
        <f>'Stage 1 Inputs'!K12</f>
        <v>16812.827391113497</v>
      </c>
      <c r="I12" s="18">
        <f>'Stage 1 Inputs'!M12</f>
        <v>9.7298974092319792</v>
      </c>
      <c r="J12" s="19">
        <f>'Stage 1 Inputs'!N12</f>
        <v>119.19999997066128</v>
      </c>
      <c r="K12" s="19">
        <f>'Stage 1 Inputs'!D12</f>
        <v>1.7457627118644068</v>
      </c>
      <c r="L12" s="19">
        <f>'Stage 1 Inputs'!O12</f>
        <v>208.09491520301884</v>
      </c>
      <c r="M12" s="18">
        <f>'Stage 1 Inputs'!P12</f>
        <v>5.3379942987090354</v>
      </c>
      <c r="N12" s="3">
        <f>'Stage 1 Inputs'!T12</f>
        <v>1860.3516663535784</v>
      </c>
      <c r="O12" s="3">
        <f>'Stage 1 Inputs'!U12</f>
        <v>7628558043.0494833</v>
      </c>
      <c r="P12" s="3">
        <f>'Stage 1 Inputs'!V12</f>
        <v>7.5285208167681894</v>
      </c>
      <c r="Q12" s="3">
        <f>'Stage 1 Inputs'!W12</f>
        <v>22.755164679199272</v>
      </c>
      <c r="R12" s="3">
        <f>'Stage 1 Inputs'!X12</f>
        <v>3.9</v>
      </c>
      <c r="S12" s="3">
        <f>'Stage 1 Inputs'!Y12</f>
        <v>3.9E-2</v>
      </c>
      <c r="T12" s="3">
        <f>'Stage 1 Inputs'!Z12</f>
        <v>-3.2441936328524905</v>
      </c>
      <c r="U12" s="3">
        <f>'Stage 1 Inputs'!AO12</f>
        <v>11</v>
      </c>
      <c r="V12" s="3">
        <f>'Stage 1 Inputs'!AP12</f>
        <v>2.3978952727983707</v>
      </c>
      <c r="W12" s="3">
        <f>'Stage 1 Inputs'!AQ12</f>
        <v>0</v>
      </c>
      <c r="X12" s="3">
        <f>'Stage 1 Inputs'!AR12</f>
        <v>0</v>
      </c>
      <c r="Y12" s="3">
        <f>'Stage 1 Inputs'!AS12</f>
        <v>0</v>
      </c>
      <c r="Z12" s="3">
        <f>'Stage 1 Inputs'!AT12</f>
        <v>0</v>
      </c>
      <c r="AA12" s="3">
        <f>'Stage 1 Inputs'!AU12</f>
        <v>1</v>
      </c>
      <c r="AB12" s="3">
        <f>'Stage 1 Inputs'!AV12</f>
        <v>0</v>
      </c>
      <c r="AC12" s="3">
        <f>'Stage 1 Inputs'!AW12</f>
        <v>0</v>
      </c>
      <c r="AD12" s="3" t="str">
        <f>'Stage 1 Inputs'!AX12</f>
        <v>Historical official/source data</v>
      </c>
      <c r="AE12" s="3" t="str">
        <f>'Stage 1 Inputs'!AY12</f>
        <v>No special note</v>
      </c>
    </row>
    <row r="13" spans="1:31" ht="19.95" customHeight="1" x14ac:dyDescent="0.3">
      <c r="A13" s="3" t="str">
        <f>'Stage 1 Inputs'!A13</f>
        <v>2004Q4</v>
      </c>
      <c r="B13" s="3" t="str">
        <f>'Stage 1 Inputs'!B13</f>
        <v>Dec 2004</v>
      </c>
      <c r="C13" s="17">
        <f>'Stage 1 Inputs'!G13</f>
        <v>38871000000</v>
      </c>
      <c r="D13" s="17">
        <f>'Stage 1 Inputs'!H13</f>
        <v>4114300</v>
      </c>
      <c r="E13" s="17">
        <f>'Stage 1 Inputs'!I13</f>
        <v>9447.7796952093922</v>
      </c>
      <c r="F13" s="17">
        <f>'Stage 1 Inputs'!E13</f>
        <v>879</v>
      </c>
      <c r="G13" s="17">
        <f>'Stage 1 Inputs'!F13</f>
        <v>1.775881683731513</v>
      </c>
      <c r="H13" s="17">
        <f>'Stage 1 Inputs'!K13</f>
        <v>16778.138912652856</v>
      </c>
      <c r="I13" s="18">
        <f>'Stage 1 Inputs'!M13</f>
        <v>9.7278320628243939</v>
      </c>
      <c r="J13" s="19">
        <f>'Stage 1 Inputs'!N13</f>
        <v>118.40000001866984</v>
      </c>
      <c r="K13" s="19">
        <f>'Stage 1 Inputs'!D13</f>
        <v>1.7299741602067182</v>
      </c>
      <c r="L13" s="19">
        <f>'Stage 1 Inputs'!O13</f>
        <v>204.82894060077379</v>
      </c>
      <c r="M13" s="18">
        <f>'Stage 1 Inputs'!P13</f>
        <v>5.3221751947090352</v>
      </c>
      <c r="N13" s="3">
        <f>'Stage 1 Inputs'!T13</f>
        <v>1897.6678537709261</v>
      </c>
      <c r="O13" s="3">
        <f>'Stage 1 Inputs'!U13</f>
        <v>7807574850.769721</v>
      </c>
      <c r="P13" s="3">
        <f>'Stage 1 Inputs'!V13</f>
        <v>7.5483809658427239</v>
      </c>
      <c r="Q13" s="3">
        <f>'Stage 1 Inputs'!W13</f>
        <v>22.77836023410978</v>
      </c>
      <c r="R13" s="3">
        <f>'Stage 1 Inputs'!X13</f>
        <v>3.7</v>
      </c>
      <c r="S13" s="3">
        <f>'Stage 1 Inputs'!Y13</f>
        <v>3.7000000000000005E-2</v>
      </c>
      <c r="T13" s="3">
        <f>'Stage 1 Inputs'!Z13</f>
        <v>-3.2968373663379125</v>
      </c>
      <c r="U13" s="3">
        <f>'Stage 1 Inputs'!AO13</f>
        <v>12</v>
      </c>
      <c r="V13" s="3">
        <f>'Stage 1 Inputs'!AP13</f>
        <v>2.4849066497880004</v>
      </c>
      <c r="W13" s="3">
        <f>'Stage 1 Inputs'!AQ13</f>
        <v>0</v>
      </c>
      <c r="X13" s="3">
        <f>'Stage 1 Inputs'!AR13</f>
        <v>0</v>
      </c>
      <c r="Y13" s="3">
        <f>'Stage 1 Inputs'!AS13</f>
        <v>0</v>
      </c>
      <c r="Z13" s="3">
        <f>'Stage 1 Inputs'!AT13</f>
        <v>0</v>
      </c>
      <c r="AA13" s="3">
        <f>'Stage 1 Inputs'!AU13</f>
        <v>0</v>
      </c>
      <c r="AB13" s="3">
        <f>'Stage 1 Inputs'!AV13</f>
        <v>1</v>
      </c>
      <c r="AC13" s="3">
        <f>'Stage 1 Inputs'!AW13</f>
        <v>0</v>
      </c>
      <c r="AD13" s="3" t="str">
        <f>'Stage 1 Inputs'!AX13</f>
        <v>Historical official/source data</v>
      </c>
      <c r="AE13" s="3" t="str">
        <f>'Stage 1 Inputs'!AY13</f>
        <v>No special note</v>
      </c>
    </row>
    <row r="14" spans="1:31" ht="19.95" customHeight="1" x14ac:dyDescent="0.3">
      <c r="A14" s="3" t="str">
        <f>'Stage 1 Inputs'!A14</f>
        <v>2005Q1</v>
      </c>
      <c r="B14" s="3" t="str">
        <f>'Stage 1 Inputs'!B14</f>
        <v>Mar 2005</v>
      </c>
      <c r="C14" s="17">
        <f>'Stage 1 Inputs'!G14</f>
        <v>39022000000</v>
      </c>
      <c r="D14" s="17">
        <f>'Stage 1 Inputs'!H14</f>
        <v>4126600</v>
      </c>
      <c r="E14" s="17">
        <f>'Stage 1 Inputs'!I14</f>
        <v>9456.2109242475653</v>
      </c>
      <c r="F14" s="17">
        <f>'Stage 1 Inputs'!E14</f>
        <v>880</v>
      </c>
      <c r="G14" s="17">
        <f>'Stage 1 Inputs'!F14</f>
        <v>1.7738636363636364</v>
      </c>
      <c r="H14" s="17">
        <f>'Stage 1 Inputs'!K14</f>
        <v>16774.02869630733</v>
      </c>
      <c r="I14" s="18">
        <f>'Stage 1 Inputs'!M14</f>
        <v>9.7275870583040316</v>
      </c>
      <c r="J14" s="19">
        <f>'Stage 1 Inputs'!N14</f>
        <v>118.30000002506931</v>
      </c>
      <c r="K14" s="19">
        <f>'Stage 1 Inputs'!D14</f>
        <v>1.7210796915167095</v>
      </c>
      <c r="L14" s="19">
        <f>'Stage 1 Inputs'!O14</f>
        <v>203.60372754957302</v>
      </c>
      <c r="M14" s="18">
        <f>'Stage 1 Inputs'!P14</f>
        <v>5.3161755927090351</v>
      </c>
      <c r="N14" s="3">
        <f>'Stage 1 Inputs'!T14</f>
        <v>1872.5973390249451</v>
      </c>
      <c r="O14" s="3">
        <f>'Stage 1 Inputs'!U14</f>
        <v>7727460179.2203388</v>
      </c>
      <c r="P14" s="3">
        <f>'Stage 1 Inputs'!V14</f>
        <v>7.535081697498196</v>
      </c>
      <c r="Q14" s="3">
        <f>'Stage 1 Inputs'!W14</f>
        <v>22.768046078831464</v>
      </c>
      <c r="R14" s="3">
        <f>'Stage 1 Inputs'!X14</f>
        <v>3.9</v>
      </c>
      <c r="S14" s="3">
        <f>'Stage 1 Inputs'!Y14</f>
        <v>3.9E-2</v>
      </c>
      <c r="T14" s="3">
        <f>'Stage 1 Inputs'!Z14</f>
        <v>-3.2441936328524905</v>
      </c>
      <c r="U14" s="3">
        <f>'Stage 1 Inputs'!AO14</f>
        <v>13</v>
      </c>
      <c r="V14" s="3">
        <f>'Stage 1 Inputs'!AP14</f>
        <v>2.5649493574615367</v>
      </c>
      <c r="W14" s="3">
        <f>'Stage 1 Inputs'!AQ14</f>
        <v>0</v>
      </c>
      <c r="X14" s="3">
        <f>'Stage 1 Inputs'!AR14</f>
        <v>0</v>
      </c>
      <c r="Y14" s="3">
        <f>'Stage 1 Inputs'!AS14</f>
        <v>0</v>
      </c>
      <c r="Z14" s="3">
        <f>'Stage 1 Inputs'!AT14</f>
        <v>0</v>
      </c>
      <c r="AA14" s="3">
        <f>'Stage 1 Inputs'!AU14</f>
        <v>0</v>
      </c>
      <c r="AB14" s="3">
        <f>'Stage 1 Inputs'!AV14</f>
        <v>0</v>
      </c>
      <c r="AC14" s="3">
        <f>'Stage 1 Inputs'!AW14</f>
        <v>0</v>
      </c>
      <c r="AD14" s="3" t="str">
        <f>'Stage 1 Inputs'!AX14</f>
        <v>Historical official/source data</v>
      </c>
      <c r="AE14" s="3" t="str">
        <f>'Stage 1 Inputs'!AY14</f>
        <v>No special note</v>
      </c>
    </row>
    <row r="15" spans="1:31" ht="19.95" customHeight="1" x14ac:dyDescent="0.3">
      <c r="A15" s="3" t="str">
        <f>'Stage 1 Inputs'!A15</f>
        <v>2005Q2</v>
      </c>
      <c r="B15" s="3" t="str">
        <f>'Stage 1 Inputs'!B15</f>
        <v>Jun 2005</v>
      </c>
      <c r="C15" s="17">
        <f>'Stage 1 Inputs'!G15</f>
        <v>40272000000</v>
      </c>
      <c r="D15" s="17">
        <f>'Stage 1 Inputs'!H15</f>
        <v>4133900</v>
      </c>
      <c r="E15" s="17">
        <f>'Stage 1 Inputs'!I15</f>
        <v>9741.8902247272545</v>
      </c>
      <c r="F15" s="17">
        <f>'Stage 1 Inputs'!E15</f>
        <v>886</v>
      </c>
      <c r="G15" s="17">
        <f>'Stage 1 Inputs'!F15</f>
        <v>1.7618510158013545</v>
      </c>
      <c r="H15" s="17">
        <f>'Stage 1 Inputs'!K15</f>
        <v>17163.759188261</v>
      </c>
      <c r="I15" s="18">
        <f>'Stage 1 Inputs'!M15</f>
        <v>9.7505554159652768</v>
      </c>
      <c r="J15" s="19">
        <f>'Stage 1 Inputs'!N15</f>
        <v>126.80000004630037</v>
      </c>
      <c r="K15" s="19">
        <f>'Stage 1 Inputs'!D15</f>
        <v>1.7079081632653061</v>
      </c>
      <c r="L15" s="19">
        <f>'Stage 1 Inputs'!O15</f>
        <v>216.56275518111761</v>
      </c>
      <c r="M15" s="18">
        <f>'Stage 1 Inputs'!P15</f>
        <v>5.377880367709035</v>
      </c>
      <c r="N15" s="3">
        <f>'Stage 1 Inputs'!T15</f>
        <v>1850.1305563359681</v>
      </c>
      <c r="O15" s="3">
        <f>'Stage 1 Inputs'!U15</f>
        <v>7648254706.8372583</v>
      </c>
      <c r="P15" s="3">
        <f>'Stage 1 Inputs'!V15</f>
        <v>7.5230114865747701</v>
      </c>
      <c r="Q15" s="3">
        <f>'Stage 1 Inputs'!W15</f>
        <v>22.757743315859216</v>
      </c>
      <c r="R15" s="3">
        <f>'Stage 1 Inputs'!X15</f>
        <v>3.8</v>
      </c>
      <c r="S15" s="3">
        <f>'Stage 1 Inputs'!Y15</f>
        <v>3.7999999999999999E-2</v>
      </c>
      <c r="T15" s="3">
        <f>'Stage 1 Inputs'!Z15</f>
        <v>-3.2701691192557512</v>
      </c>
      <c r="U15" s="3">
        <f>'Stage 1 Inputs'!AO15</f>
        <v>14</v>
      </c>
      <c r="V15" s="3">
        <f>'Stage 1 Inputs'!AP15</f>
        <v>2.6390573296152584</v>
      </c>
      <c r="W15" s="3">
        <f>'Stage 1 Inputs'!AQ15</f>
        <v>0</v>
      </c>
      <c r="X15" s="3">
        <f>'Stage 1 Inputs'!AR15</f>
        <v>0</v>
      </c>
      <c r="Y15" s="3">
        <f>'Stage 1 Inputs'!AS15</f>
        <v>0</v>
      </c>
      <c r="Z15" s="3">
        <f>'Stage 1 Inputs'!AT15</f>
        <v>1</v>
      </c>
      <c r="AA15" s="3">
        <f>'Stage 1 Inputs'!AU15</f>
        <v>0</v>
      </c>
      <c r="AB15" s="3">
        <f>'Stage 1 Inputs'!AV15</f>
        <v>0</v>
      </c>
      <c r="AC15" s="3">
        <f>'Stage 1 Inputs'!AW15</f>
        <v>0</v>
      </c>
      <c r="AD15" s="3" t="str">
        <f>'Stage 1 Inputs'!AX15</f>
        <v>Historical official/source data</v>
      </c>
      <c r="AE15" s="3" t="str">
        <f>'Stage 1 Inputs'!AY15</f>
        <v>No special note</v>
      </c>
    </row>
    <row r="16" spans="1:31" ht="19.95" customHeight="1" x14ac:dyDescent="0.3">
      <c r="A16" s="3" t="str">
        <f>'Stage 1 Inputs'!A16</f>
        <v>2005Q3</v>
      </c>
      <c r="B16" s="3" t="str">
        <f>'Stage 1 Inputs'!B16</f>
        <v>Sep 2005</v>
      </c>
      <c r="C16" s="17">
        <f>'Stage 1 Inputs'!G16</f>
        <v>40823000000</v>
      </c>
      <c r="D16" s="17">
        <f>'Stage 1 Inputs'!H16</f>
        <v>4145900</v>
      </c>
      <c r="E16" s="17">
        <f>'Stage 1 Inputs'!I16</f>
        <v>9846.5954316312509</v>
      </c>
      <c r="F16" s="17">
        <f>'Stage 1 Inputs'!E16</f>
        <v>896</v>
      </c>
      <c r="G16" s="17">
        <f>'Stage 1 Inputs'!F16</f>
        <v>1.7421875</v>
      </c>
      <c r="H16" s="17">
        <f>'Stage 1 Inputs'!K16</f>
        <v>17154.615478545067</v>
      </c>
      <c r="I16" s="18">
        <f>'Stage 1 Inputs'!M16</f>
        <v>9.7500225405001029</v>
      </c>
      <c r="J16" s="19">
        <f>'Stage 1 Inputs'!N16</f>
        <v>143.60000000554106</v>
      </c>
      <c r="K16" s="19">
        <f>'Stage 1 Inputs'!D16</f>
        <v>1.6885245901639345</v>
      </c>
      <c r="L16" s="19">
        <f>'Stage 1 Inputs'!O16</f>
        <v>242.47213115689721</v>
      </c>
      <c r="M16" s="18">
        <f>'Stage 1 Inputs'!P16</f>
        <v>5.4908867807090349</v>
      </c>
      <c r="N16" s="3">
        <f>'Stage 1 Inputs'!T16</f>
        <v>1842.5792416165427</v>
      </c>
      <c r="O16" s="3">
        <f>'Stage 1 Inputs'!U16</f>
        <v>7639149277.8180246</v>
      </c>
      <c r="P16" s="3">
        <f>'Stage 1 Inputs'!V16</f>
        <v>7.5189216308003131</v>
      </c>
      <c r="Q16" s="3">
        <f>'Stage 1 Inputs'!W16</f>
        <v>22.756552082853911</v>
      </c>
      <c r="R16" s="3">
        <f>'Stage 1 Inputs'!X16</f>
        <v>3.8</v>
      </c>
      <c r="S16" s="3">
        <f>'Stage 1 Inputs'!Y16</f>
        <v>3.7999999999999999E-2</v>
      </c>
      <c r="T16" s="3">
        <f>'Stage 1 Inputs'!Z16</f>
        <v>-3.2701691192557512</v>
      </c>
      <c r="U16" s="3">
        <f>'Stage 1 Inputs'!AO16</f>
        <v>15</v>
      </c>
      <c r="V16" s="3">
        <f>'Stage 1 Inputs'!AP16</f>
        <v>2.7080502011022101</v>
      </c>
      <c r="W16" s="3">
        <f>'Stage 1 Inputs'!AQ16</f>
        <v>0</v>
      </c>
      <c r="X16" s="3">
        <f>'Stage 1 Inputs'!AR16</f>
        <v>0</v>
      </c>
      <c r="Y16" s="3">
        <f>'Stage 1 Inputs'!AS16</f>
        <v>0</v>
      </c>
      <c r="Z16" s="3">
        <f>'Stage 1 Inputs'!AT16</f>
        <v>0</v>
      </c>
      <c r="AA16" s="3">
        <f>'Stage 1 Inputs'!AU16</f>
        <v>1</v>
      </c>
      <c r="AB16" s="3">
        <f>'Stage 1 Inputs'!AV16</f>
        <v>0</v>
      </c>
      <c r="AC16" s="3">
        <f>'Stage 1 Inputs'!AW16</f>
        <v>0</v>
      </c>
      <c r="AD16" s="3" t="str">
        <f>'Stage 1 Inputs'!AX16</f>
        <v>Historical official/source data</v>
      </c>
      <c r="AE16" s="3" t="str">
        <f>'Stage 1 Inputs'!AY16</f>
        <v>No special note</v>
      </c>
    </row>
    <row r="17" spans="1:31" ht="19.95" customHeight="1" x14ac:dyDescent="0.3">
      <c r="A17" s="3" t="str">
        <f>'Stage 1 Inputs'!A17</f>
        <v>2005Q4</v>
      </c>
      <c r="B17" s="3" t="str">
        <f>'Stage 1 Inputs'!B17</f>
        <v>Dec 2005</v>
      </c>
      <c r="C17" s="17">
        <f>'Stage 1 Inputs'!G17</f>
        <v>40680000000</v>
      </c>
      <c r="D17" s="17">
        <f>'Stage 1 Inputs'!H17</f>
        <v>4161000</v>
      </c>
      <c r="E17" s="17">
        <f>'Stage 1 Inputs'!I17</f>
        <v>9776.4960346070657</v>
      </c>
      <c r="F17" s="17">
        <f>'Stage 1 Inputs'!E17</f>
        <v>893</v>
      </c>
      <c r="G17" s="17">
        <f>'Stage 1 Inputs'!F17</f>
        <v>1.7480403135498321</v>
      </c>
      <c r="H17" s="17">
        <f>'Stage 1 Inputs'!K17</f>
        <v>17089.709193753224</v>
      </c>
      <c r="I17" s="18">
        <f>'Stage 1 Inputs'!M17</f>
        <v>9.7462317598006258</v>
      </c>
      <c r="J17" s="19">
        <f>'Stage 1 Inputs'!N17</f>
        <v>139.29999999977403</v>
      </c>
      <c r="K17" s="19">
        <f>'Stage 1 Inputs'!D17</f>
        <v>1.6758448060075093</v>
      </c>
      <c r="L17" s="19">
        <f>'Stage 1 Inputs'!O17</f>
        <v>233.44518147646735</v>
      </c>
      <c r="M17" s="18">
        <f>'Stage 1 Inputs'!P17</f>
        <v>5.4529472807090356</v>
      </c>
      <c r="N17" s="3">
        <f>'Stage 1 Inputs'!T17</f>
        <v>1864.7622115858157</v>
      </c>
      <c r="O17" s="3">
        <f>'Stage 1 Inputs'!U17</f>
        <v>7759275562.4085789</v>
      </c>
      <c r="P17" s="3">
        <f>'Stage 1 Inputs'!V17</f>
        <v>7.5308888234588585</v>
      </c>
      <c r="Q17" s="3">
        <f>'Stage 1 Inputs'!W17</f>
        <v>22.772154811423938</v>
      </c>
      <c r="R17" s="3">
        <f>'Stage 1 Inputs'!X17</f>
        <v>3.7</v>
      </c>
      <c r="S17" s="3">
        <f>'Stage 1 Inputs'!Y17</f>
        <v>3.7000000000000005E-2</v>
      </c>
      <c r="T17" s="3">
        <f>'Stage 1 Inputs'!Z17</f>
        <v>-3.2968373663379125</v>
      </c>
      <c r="U17" s="3">
        <f>'Stage 1 Inputs'!AO17</f>
        <v>16</v>
      </c>
      <c r="V17" s="3">
        <f>'Stage 1 Inputs'!AP17</f>
        <v>2.7725887222397811</v>
      </c>
      <c r="W17" s="3">
        <f>'Stage 1 Inputs'!AQ17</f>
        <v>0</v>
      </c>
      <c r="X17" s="3">
        <f>'Stage 1 Inputs'!AR17</f>
        <v>0</v>
      </c>
      <c r="Y17" s="3">
        <f>'Stage 1 Inputs'!AS17</f>
        <v>0</v>
      </c>
      <c r="Z17" s="3">
        <f>'Stage 1 Inputs'!AT17</f>
        <v>0</v>
      </c>
      <c r="AA17" s="3">
        <f>'Stage 1 Inputs'!AU17</f>
        <v>0</v>
      </c>
      <c r="AB17" s="3">
        <f>'Stage 1 Inputs'!AV17</f>
        <v>1</v>
      </c>
      <c r="AC17" s="3">
        <f>'Stage 1 Inputs'!AW17</f>
        <v>0</v>
      </c>
      <c r="AD17" s="3" t="str">
        <f>'Stage 1 Inputs'!AX17</f>
        <v>Historical official/source data</v>
      </c>
      <c r="AE17" s="3" t="str">
        <f>'Stage 1 Inputs'!AY17</f>
        <v>No special note</v>
      </c>
    </row>
    <row r="18" spans="1:31" ht="19.95" customHeight="1" x14ac:dyDescent="0.3">
      <c r="A18" s="3" t="str">
        <f>'Stage 1 Inputs'!A18</f>
        <v>2006Q1</v>
      </c>
      <c r="B18" s="3" t="str">
        <f>'Stage 1 Inputs'!B18</f>
        <v>Mar 2006</v>
      </c>
      <c r="C18" s="17">
        <f>'Stage 1 Inputs'!G18</f>
        <v>41175000000</v>
      </c>
      <c r="D18" s="17">
        <f>'Stage 1 Inputs'!H18</f>
        <v>4176100</v>
      </c>
      <c r="E18" s="17">
        <f>'Stage 1 Inputs'!I18</f>
        <v>9859.6776897104955</v>
      </c>
      <c r="F18" s="17">
        <f>'Stage 1 Inputs'!E18</f>
        <v>896</v>
      </c>
      <c r="G18" s="17">
        <f>'Stage 1 Inputs'!F18</f>
        <v>1.7421875</v>
      </c>
      <c r="H18" s="17">
        <f>'Stage 1 Inputs'!K18</f>
        <v>17177.407225042505</v>
      </c>
      <c r="I18" s="18">
        <f>'Stage 1 Inputs'!M18</f>
        <v>9.7513502659325617</v>
      </c>
      <c r="J18" s="19">
        <f>'Stage 1 Inputs'!N18</f>
        <v>146.10000003038459</v>
      </c>
      <c r="K18" s="19">
        <f>'Stage 1 Inputs'!D18</f>
        <v>1.6674968866749689</v>
      </c>
      <c r="L18" s="19">
        <f>'Stage 1 Inputs'!O18</f>
        <v>243.62129519387918</v>
      </c>
      <c r="M18" s="18">
        <f>'Stage 1 Inputs'!P18</f>
        <v>5.4956149507090357</v>
      </c>
      <c r="N18" s="3">
        <f>'Stage 1 Inputs'!T18</f>
        <v>1827.8271073959868</v>
      </c>
      <c r="O18" s="3">
        <f>'Stage 1 Inputs'!U18</f>
        <v>7633188783.1963806</v>
      </c>
      <c r="P18" s="3">
        <f>'Stage 1 Inputs'!V18</f>
        <v>7.5108831673419747</v>
      </c>
      <c r="Q18" s="3">
        <f>'Stage 1 Inputs'!W18</f>
        <v>22.755771521960028</v>
      </c>
      <c r="R18" s="3">
        <f>'Stage 1 Inputs'!X18</f>
        <v>4.0999999999999996</v>
      </c>
      <c r="S18" s="3">
        <f>'Stage 1 Inputs'!Y18</f>
        <v>4.0999999999999995E-2</v>
      </c>
      <c r="T18" s="3">
        <f>'Stage 1 Inputs'!Z18</f>
        <v>-3.1941832122778293</v>
      </c>
      <c r="U18" s="3">
        <f>'Stage 1 Inputs'!AO18</f>
        <v>17</v>
      </c>
      <c r="V18" s="3">
        <f>'Stage 1 Inputs'!AP18</f>
        <v>2.8332133440562162</v>
      </c>
      <c r="W18" s="3">
        <f>'Stage 1 Inputs'!AQ18</f>
        <v>0</v>
      </c>
      <c r="X18" s="3">
        <f>'Stage 1 Inputs'!AR18</f>
        <v>0</v>
      </c>
      <c r="Y18" s="3">
        <f>'Stage 1 Inputs'!AS18</f>
        <v>0</v>
      </c>
      <c r="Z18" s="3">
        <f>'Stage 1 Inputs'!AT18</f>
        <v>0</v>
      </c>
      <c r="AA18" s="3">
        <f>'Stage 1 Inputs'!AU18</f>
        <v>0</v>
      </c>
      <c r="AB18" s="3">
        <f>'Stage 1 Inputs'!AV18</f>
        <v>0</v>
      </c>
      <c r="AC18" s="3">
        <f>'Stage 1 Inputs'!AW18</f>
        <v>0</v>
      </c>
      <c r="AD18" s="3" t="str">
        <f>'Stage 1 Inputs'!AX18</f>
        <v>Historical official/source data</v>
      </c>
      <c r="AE18" s="3" t="str">
        <f>'Stage 1 Inputs'!AY18</f>
        <v>No special note</v>
      </c>
    </row>
    <row r="19" spans="1:31" ht="19.95" customHeight="1" x14ac:dyDescent="0.3">
      <c r="A19" s="3" t="str">
        <f>'Stage 1 Inputs'!A19</f>
        <v>2006Q2</v>
      </c>
      <c r="B19" s="3" t="str">
        <f>'Stage 1 Inputs'!B19</f>
        <v>Jun 2006</v>
      </c>
      <c r="C19" s="17">
        <f>'Stage 1 Inputs'!G19</f>
        <v>41785000000</v>
      </c>
      <c r="D19" s="17">
        <f>'Stage 1 Inputs'!H19</f>
        <v>4184600</v>
      </c>
      <c r="E19" s="17">
        <f>'Stage 1 Inputs'!I19</f>
        <v>9985.4227405247821</v>
      </c>
      <c r="F19" s="17">
        <f>'Stage 1 Inputs'!E19</f>
        <v>913</v>
      </c>
      <c r="G19" s="17">
        <f>'Stage 1 Inputs'!F19</f>
        <v>1.7097480832420591</v>
      </c>
      <c r="H19" s="17">
        <f>'Stage 1 Inputs'!K19</f>
        <v>17072.557390973914</v>
      </c>
      <c r="I19" s="18">
        <f>'Stage 1 Inputs'!M19</f>
        <v>9.7452276224329868</v>
      </c>
      <c r="J19" s="19">
        <f>'Stage 1 Inputs'!N19</f>
        <v>167.89999998295386</v>
      </c>
      <c r="K19" s="19">
        <f>'Stage 1 Inputs'!D19</f>
        <v>1.6409313725490196</v>
      </c>
      <c r="L19" s="19">
        <f>'Stage 1 Inputs'!O19</f>
        <v>275.51237742300884</v>
      </c>
      <c r="M19" s="18">
        <f>'Stage 1 Inputs'!P19</f>
        <v>5.618632554709035</v>
      </c>
      <c r="N19" s="3">
        <f>'Stage 1 Inputs'!T19</f>
        <v>1802.7810427911897</v>
      </c>
      <c r="O19" s="3">
        <f>'Stage 1 Inputs'!U19</f>
        <v>7543917551.6640129</v>
      </c>
      <c r="P19" s="3">
        <f>'Stage 1 Inputs'!V19</f>
        <v>7.4970857753358615</v>
      </c>
      <c r="Q19" s="3">
        <f>'Stage 1 Inputs'!W19</f>
        <v>22.744007453223151</v>
      </c>
      <c r="R19" s="3">
        <f>'Stage 1 Inputs'!X19</f>
        <v>3.7</v>
      </c>
      <c r="S19" s="3">
        <f>'Stage 1 Inputs'!Y19</f>
        <v>3.7000000000000005E-2</v>
      </c>
      <c r="T19" s="3">
        <f>'Stage 1 Inputs'!Z19</f>
        <v>-3.2968373663379125</v>
      </c>
      <c r="U19" s="3">
        <f>'Stage 1 Inputs'!AO19</f>
        <v>18</v>
      </c>
      <c r="V19" s="3">
        <f>'Stage 1 Inputs'!AP19</f>
        <v>2.8903717578961645</v>
      </c>
      <c r="W19" s="3">
        <f>'Stage 1 Inputs'!AQ19</f>
        <v>0</v>
      </c>
      <c r="X19" s="3">
        <f>'Stage 1 Inputs'!AR19</f>
        <v>0</v>
      </c>
      <c r="Y19" s="3">
        <f>'Stage 1 Inputs'!AS19</f>
        <v>0</v>
      </c>
      <c r="Z19" s="3">
        <f>'Stage 1 Inputs'!AT19</f>
        <v>1</v>
      </c>
      <c r="AA19" s="3">
        <f>'Stage 1 Inputs'!AU19</f>
        <v>0</v>
      </c>
      <c r="AB19" s="3">
        <f>'Stage 1 Inputs'!AV19</f>
        <v>0</v>
      </c>
      <c r="AC19" s="3">
        <f>'Stage 1 Inputs'!AW19</f>
        <v>0</v>
      </c>
      <c r="AD19" s="3" t="str">
        <f>'Stage 1 Inputs'!AX19</f>
        <v>Historical official/source data</v>
      </c>
      <c r="AE19" s="3" t="str">
        <f>'Stage 1 Inputs'!AY19</f>
        <v>No special note</v>
      </c>
    </row>
    <row r="20" spans="1:31" ht="19.95" customHeight="1" x14ac:dyDescent="0.3">
      <c r="A20" s="3" t="str">
        <f>'Stage 1 Inputs'!A20</f>
        <v>2006Q3</v>
      </c>
      <c r="B20" s="3" t="str">
        <f>'Stage 1 Inputs'!B20</f>
        <v>Sep 2006</v>
      </c>
      <c r="C20" s="17">
        <f>'Stage 1 Inputs'!G20</f>
        <v>42293000000</v>
      </c>
      <c r="D20" s="17">
        <f>'Stage 1 Inputs'!H20</f>
        <v>4195500</v>
      </c>
      <c r="E20" s="17">
        <f>'Stage 1 Inputs'!I20</f>
        <v>10080.562507448456</v>
      </c>
      <c r="F20" s="17">
        <f>'Stage 1 Inputs'!E20</f>
        <v>908</v>
      </c>
      <c r="G20" s="17">
        <f>'Stage 1 Inputs'!F20</f>
        <v>1.7191629955947136</v>
      </c>
      <c r="H20" s="17">
        <f>'Stage 1 Inputs'!K20</f>
        <v>17330.130037584848</v>
      </c>
      <c r="I20" s="18">
        <f>'Stage 1 Inputs'!M20</f>
        <v>9.7602018862928581</v>
      </c>
      <c r="J20" s="19">
        <f>'Stage 1 Inputs'!N20</f>
        <v>166.59999995627567</v>
      </c>
      <c r="K20" s="19">
        <f>'Stage 1 Inputs'!D20</f>
        <v>1.6309378806333739</v>
      </c>
      <c r="L20" s="19">
        <f>'Stage 1 Inputs'!O20</f>
        <v>271.7142508422084</v>
      </c>
      <c r="M20" s="18">
        <f>'Stage 1 Inputs'!P20</f>
        <v>5.6047509657090355</v>
      </c>
      <c r="N20" s="3">
        <f>'Stage 1 Inputs'!T20</f>
        <v>1804.1733997462184</v>
      </c>
      <c r="O20" s="3">
        <f>'Stage 1 Inputs'!U20</f>
        <v>7569409498.6352587</v>
      </c>
      <c r="P20" s="3">
        <f>'Stage 1 Inputs'!V20</f>
        <v>7.4978578155966247</v>
      </c>
      <c r="Q20" s="3">
        <f>'Stage 1 Inputs'!W20</f>
        <v>22.747380895888885</v>
      </c>
      <c r="R20" s="3">
        <f>'Stage 1 Inputs'!X20</f>
        <v>3.9</v>
      </c>
      <c r="S20" s="3">
        <f>'Stage 1 Inputs'!Y20</f>
        <v>3.9E-2</v>
      </c>
      <c r="T20" s="3">
        <f>'Stage 1 Inputs'!Z20</f>
        <v>-3.2441936328524905</v>
      </c>
      <c r="U20" s="3">
        <f>'Stage 1 Inputs'!AO20</f>
        <v>19</v>
      </c>
      <c r="V20" s="3">
        <f>'Stage 1 Inputs'!AP20</f>
        <v>2.9444389791664403</v>
      </c>
      <c r="W20" s="3">
        <f>'Stage 1 Inputs'!AQ20</f>
        <v>0</v>
      </c>
      <c r="X20" s="3">
        <f>'Stage 1 Inputs'!AR20</f>
        <v>0</v>
      </c>
      <c r="Y20" s="3">
        <f>'Stage 1 Inputs'!AS20</f>
        <v>0</v>
      </c>
      <c r="Z20" s="3">
        <f>'Stage 1 Inputs'!AT20</f>
        <v>0</v>
      </c>
      <c r="AA20" s="3">
        <f>'Stage 1 Inputs'!AU20</f>
        <v>1</v>
      </c>
      <c r="AB20" s="3">
        <f>'Stage 1 Inputs'!AV20</f>
        <v>0</v>
      </c>
      <c r="AC20" s="3">
        <f>'Stage 1 Inputs'!AW20</f>
        <v>0</v>
      </c>
      <c r="AD20" s="3" t="str">
        <f>'Stage 1 Inputs'!AX20</f>
        <v>Historical official/source data</v>
      </c>
      <c r="AE20" s="3" t="str">
        <f>'Stage 1 Inputs'!AY20</f>
        <v>No special note</v>
      </c>
    </row>
    <row r="21" spans="1:31" ht="19.95" customHeight="1" x14ac:dyDescent="0.3">
      <c r="A21" s="3" t="str">
        <f>'Stage 1 Inputs'!A21</f>
        <v>2006Q4</v>
      </c>
      <c r="B21" s="3" t="str">
        <f>'Stage 1 Inputs'!B21</f>
        <v>Dec 2006</v>
      </c>
      <c r="C21" s="17">
        <f>'Stage 1 Inputs'!G21</f>
        <v>43649000000</v>
      </c>
      <c r="D21" s="17">
        <f>'Stage 1 Inputs'!H21</f>
        <v>4209100</v>
      </c>
      <c r="E21" s="17">
        <f>'Stage 1 Inputs'!I21</f>
        <v>10370.150388444086</v>
      </c>
      <c r="F21" s="17">
        <f>'Stage 1 Inputs'!E21</f>
        <v>930</v>
      </c>
      <c r="G21" s="17">
        <f>'Stage 1 Inputs'!F21</f>
        <v>1.678494623655914</v>
      </c>
      <c r="H21" s="17">
        <f>'Stage 1 Inputs'!K21</f>
        <v>17406.241673506684</v>
      </c>
      <c r="I21" s="18">
        <f>'Stage 1 Inputs'!M21</f>
        <v>9.7645841377473062</v>
      </c>
      <c r="J21" s="19">
        <f>'Stage 1 Inputs'!N21</f>
        <v>140.90000005234819</v>
      </c>
      <c r="K21" s="19">
        <f>'Stage 1 Inputs'!D21</f>
        <v>1.6329268292682926</v>
      </c>
      <c r="L21" s="19">
        <f>'Stage 1 Inputs'!O21</f>
        <v>230.07939032938319</v>
      </c>
      <c r="M21" s="18">
        <f>'Stage 1 Inputs'!P21</f>
        <v>5.4384244247090354</v>
      </c>
      <c r="N21" s="3">
        <f>'Stage 1 Inputs'!T21</f>
        <v>1847.0202552922724</v>
      </c>
      <c r="O21" s="3">
        <f>'Stage 1 Inputs'!U21</f>
        <v>7774292956.550704</v>
      </c>
      <c r="P21" s="3">
        <f>'Stage 1 Inputs'!V21</f>
        <v>7.5213289467294011</v>
      </c>
      <c r="Q21" s="3">
        <f>'Stage 1 Inputs'!W21</f>
        <v>22.774088352812374</v>
      </c>
      <c r="R21" s="3">
        <f>'Stage 1 Inputs'!X21</f>
        <v>3.8</v>
      </c>
      <c r="S21" s="3">
        <f>'Stage 1 Inputs'!Y21</f>
        <v>3.7999999999999999E-2</v>
      </c>
      <c r="T21" s="3">
        <f>'Stage 1 Inputs'!Z21</f>
        <v>-3.2701691192557512</v>
      </c>
      <c r="U21" s="3">
        <f>'Stage 1 Inputs'!AO21</f>
        <v>20</v>
      </c>
      <c r="V21" s="3">
        <f>'Stage 1 Inputs'!AP21</f>
        <v>2.9957322735539909</v>
      </c>
      <c r="W21" s="3">
        <f>'Stage 1 Inputs'!AQ21</f>
        <v>0</v>
      </c>
      <c r="X21" s="3">
        <f>'Stage 1 Inputs'!AR21</f>
        <v>0</v>
      </c>
      <c r="Y21" s="3">
        <f>'Stage 1 Inputs'!AS21</f>
        <v>0</v>
      </c>
      <c r="Z21" s="3">
        <f>'Stage 1 Inputs'!AT21</f>
        <v>0</v>
      </c>
      <c r="AA21" s="3">
        <f>'Stage 1 Inputs'!AU21</f>
        <v>0</v>
      </c>
      <c r="AB21" s="3">
        <f>'Stage 1 Inputs'!AV21</f>
        <v>1</v>
      </c>
      <c r="AC21" s="3">
        <f>'Stage 1 Inputs'!AW21</f>
        <v>0</v>
      </c>
      <c r="AD21" s="3" t="str">
        <f>'Stage 1 Inputs'!AX21</f>
        <v>Historical official/source data</v>
      </c>
      <c r="AE21" s="3" t="str">
        <f>'Stage 1 Inputs'!AY21</f>
        <v>No special note</v>
      </c>
    </row>
    <row r="22" spans="1:31" ht="19.95" customHeight="1" x14ac:dyDescent="0.3">
      <c r="A22" s="3" t="str">
        <f>'Stage 1 Inputs'!A22</f>
        <v>2007Q1</v>
      </c>
      <c r="B22" s="3" t="str">
        <f>'Stage 1 Inputs'!B22</f>
        <v>Mar 2007</v>
      </c>
      <c r="C22" s="17">
        <f>'Stage 1 Inputs'!G22</f>
        <v>44172000000</v>
      </c>
      <c r="D22" s="17">
        <f>'Stage 1 Inputs'!H22</f>
        <v>4219400</v>
      </c>
      <c r="E22" s="17">
        <f>'Stage 1 Inputs'!I22</f>
        <v>10468.787031331469</v>
      </c>
      <c r="F22" s="17">
        <f>'Stage 1 Inputs'!E22</f>
        <v>934</v>
      </c>
      <c r="G22" s="17">
        <f>'Stage 1 Inputs'!F22</f>
        <v>1.671306209850107</v>
      </c>
      <c r="H22" s="17">
        <f>'Stage 1 Inputs'!K22</f>
        <v>17496.548775062551</v>
      </c>
      <c r="I22" s="18">
        <f>'Stage 1 Inputs'!M22</f>
        <v>9.7697589276090255</v>
      </c>
      <c r="J22" s="19">
        <f>'Stage 1 Inputs'!N22</f>
        <v>142.29999997602638</v>
      </c>
      <c r="K22" s="19">
        <f>'Stage 1 Inputs'!D22</f>
        <v>1.625</v>
      </c>
      <c r="L22" s="19">
        <f>'Stage 1 Inputs'!O22</f>
        <v>231.23749996104289</v>
      </c>
      <c r="M22" s="18">
        <f>'Stage 1 Inputs'!P22</f>
        <v>5.443445320709035</v>
      </c>
      <c r="N22" s="3">
        <f>'Stage 1 Inputs'!T22</f>
        <v>1828.4375772849908</v>
      </c>
      <c r="O22" s="3">
        <f>'Stage 1 Inputs'!U22</f>
        <v>7714909513.5962896</v>
      </c>
      <c r="P22" s="3">
        <f>'Stage 1 Inputs'!V22</f>
        <v>7.5112170982508797</v>
      </c>
      <c r="Q22" s="3">
        <f>'Stage 1 Inputs'!W22</f>
        <v>22.766420594059738</v>
      </c>
      <c r="R22" s="3">
        <f>'Stage 1 Inputs'!X22</f>
        <v>3.9</v>
      </c>
      <c r="S22" s="3">
        <f>'Stage 1 Inputs'!Y22</f>
        <v>3.9E-2</v>
      </c>
      <c r="T22" s="3">
        <f>'Stage 1 Inputs'!Z22</f>
        <v>-3.2441936328524905</v>
      </c>
      <c r="U22" s="3">
        <f>'Stage 1 Inputs'!AO22</f>
        <v>21</v>
      </c>
      <c r="V22" s="3">
        <f>'Stage 1 Inputs'!AP22</f>
        <v>3.044522437723423</v>
      </c>
      <c r="W22" s="3">
        <f>'Stage 1 Inputs'!AQ22</f>
        <v>0</v>
      </c>
      <c r="X22" s="3">
        <f>'Stage 1 Inputs'!AR22</f>
        <v>0</v>
      </c>
      <c r="Y22" s="3">
        <f>'Stage 1 Inputs'!AS22</f>
        <v>0</v>
      </c>
      <c r="Z22" s="3">
        <f>'Stage 1 Inputs'!AT22</f>
        <v>0</v>
      </c>
      <c r="AA22" s="3">
        <f>'Stage 1 Inputs'!AU22</f>
        <v>0</v>
      </c>
      <c r="AB22" s="3">
        <f>'Stage 1 Inputs'!AV22</f>
        <v>0</v>
      </c>
      <c r="AC22" s="3">
        <f>'Stage 1 Inputs'!AW22</f>
        <v>0</v>
      </c>
      <c r="AD22" s="3" t="str">
        <f>'Stage 1 Inputs'!AX22</f>
        <v>Historical official/source data</v>
      </c>
      <c r="AE22" s="3" t="str">
        <f>'Stage 1 Inputs'!AY22</f>
        <v>No special note</v>
      </c>
    </row>
    <row r="23" spans="1:31" ht="19.95" customHeight="1" x14ac:dyDescent="0.3">
      <c r="A23" s="3" t="str">
        <f>'Stage 1 Inputs'!A23</f>
        <v>2007Q2</v>
      </c>
      <c r="B23" s="3" t="str">
        <f>'Stage 1 Inputs'!B23</f>
        <v>Jun 2007</v>
      </c>
      <c r="C23" s="17">
        <f>'Stage 1 Inputs'!G23</f>
        <v>45244000000</v>
      </c>
      <c r="D23" s="17">
        <f>'Stage 1 Inputs'!H23</f>
        <v>4223800</v>
      </c>
      <c r="E23" s="17">
        <f>'Stage 1 Inputs'!I23</f>
        <v>10711.681424309863</v>
      </c>
      <c r="F23" s="17">
        <f>'Stage 1 Inputs'!E23</f>
        <v>944</v>
      </c>
      <c r="G23" s="17">
        <f>'Stage 1 Inputs'!F23</f>
        <v>1.6536016949152543</v>
      </c>
      <c r="H23" s="17">
        <f>'Stage 1 Inputs'!K23</f>
        <v>17712.854558631036</v>
      </c>
      <c r="I23" s="18">
        <f>'Stage 1 Inputs'!M23</f>
        <v>9.7820459012230661</v>
      </c>
      <c r="J23" s="19">
        <f>'Stage 1 Inputs'!N23</f>
        <v>153.79999996424584</v>
      </c>
      <c r="K23" s="19">
        <f>'Stage 1 Inputs'!D23</f>
        <v>1.609375</v>
      </c>
      <c r="L23" s="19">
        <f>'Stage 1 Inputs'!O23</f>
        <v>247.52187494245814</v>
      </c>
      <c r="M23" s="18">
        <f>'Stage 1 Inputs'!P23</f>
        <v>5.5114989617090355</v>
      </c>
      <c r="N23" s="3">
        <f>'Stage 1 Inputs'!T23</f>
        <v>1813.7587397846364</v>
      </c>
      <c r="O23" s="3">
        <f>'Stage 1 Inputs'!U23</f>
        <v>7660954165.1023474</v>
      </c>
      <c r="P23" s="3">
        <f>'Stage 1 Inputs'!V23</f>
        <v>7.5031566228137416</v>
      </c>
      <c r="Q23" s="3">
        <f>'Stage 1 Inputs'!W23</f>
        <v>22.759402377576151</v>
      </c>
      <c r="R23" s="3">
        <f>'Stage 1 Inputs'!X23</f>
        <v>3.6</v>
      </c>
      <c r="S23" s="3">
        <f>'Stage 1 Inputs'!Y23</f>
        <v>3.6000000000000004E-2</v>
      </c>
      <c r="T23" s="3">
        <f>'Stage 1 Inputs'!Z23</f>
        <v>-3.3242363405260269</v>
      </c>
      <c r="U23" s="3">
        <f>'Stage 1 Inputs'!AO23</f>
        <v>22</v>
      </c>
      <c r="V23" s="3">
        <f>'Stage 1 Inputs'!AP23</f>
        <v>3.0910424533583161</v>
      </c>
      <c r="W23" s="3">
        <f>'Stage 1 Inputs'!AQ23</f>
        <v>0</v>
      </c>
      <c r="X23" s="3">
        <f>'Stage 1 Inputs'!AR23</f>
        <v>0</v>
      </c>
      <c r="Y23" s="3">
        <f>'Stage 1 Inputs'!AS23</f>
        <v>0</v>
      </c>
      <c r="Z23" s="3">
        <f>'Stage 1 Inputs'!AT23</f>
        <v>1</v>
      </c>
      <c r="AA23" s="3">
        <f>'Stage 1 Inputs'!AU23</f>
        <v>0</v>
      </c>
      <c r="AB23" s="3">
        <f>'Stage 1 Inputs'!AV23</f>
        <v>0</v>
      </c>
      <c r="AC23" s="3">
        <f>'Stage 1 Inputs'!AW23</f>
        <v>0</v>
      </c>
      <c r="AD23" s="3" t="str">
        <f>'Stage 1 Inputs'!AX23</f>
        <v>Historical official/source data</v>
      </c>
      <c r="AE23" s="3" t="str">
        <f>'Stage 1 Inputs'!AY23</f>
        <v>No special note</v>
      </c>
    </row>
    <row r="24" spans="1:31" ht="19.95" customHeight="1" x14ac:dyDescent="0.3">
      <c r="A24" s="3" t="str">
        <f>'Stage 1 Inputs'!A24</f>
        <v>2007Q3</v>
      </c>
      <c r="B24" s="3" t="str">
        <f>'Stage 1 Inputs'!B24</f>
        <v>Sep 2007</v>
      </c>
      <c r="C24" s="17">
        <f>'Stage 1 Inputs'!G24</f>
        <v>46562000000</v>
      </c>
      <c r="D24" s="17">
        <f>'Stage 1 Inputs'!H24</f>
        <v>4234300</v>
      </c>
      <c r="E24" s="17">
        <f>'Stage 1 Inputs'!I24</f>
        <v>10996.386651866896</v>
      </c>
      <c r="F24" s="17">
        <f>'Stage 1 Inputs'!E24</f>
        <v>962</v>
      </c>
      <c r="G24" s="17">
        <f>'Stage 1 Inputs'!F24</f>
        <v>1.6226611226611227</v>
      </c>
      <c r="H24" s="17">
        <f>'Stage 1 Inputs'!K24</f>
        <v>17843.409109734122</v>
      </c>
      <c r="I24" s="18">
        <f>'Stage 1 Inputs'!M24</f>
        <v>9.7893894814729077</v>
      </c>
      <c r="J24" s="19">
        <f>'Stage 1 Inputs'!N24</f>
        <v>156.599999928882</v>
      </c>
      <c r="K24" s="19">
        <f>'Stage 1 Inputs'!D24</f>
        <v>1.6016746411483254</v>
      </c>
      <c r="L24" s="19">
        <f>'Stage 1 Inputs'!O24</f>
        <v>250.82224868991986</v>
      </c>
      <c r="M24" s="18">
        <f>'Stage 1 Inputs'!P24</f>
        <v>5.5247445157090356</v>
      </c>
      <c r="N24" s="3">
        <f>'Stage 1 Inputs'!T24</f>
        <v>1811.3667922646005</v>
      </c>
      <c r="O24" s="3">
        <f>'Stage 1 Inputs'!U24</f>
        <v>7669870408.4859982</v>
      </c>
      <c r="P24" s="3">
        <f>'Stage 1 Inputs'!V24</f>
        <v>7.5018369731376042</v>
      </c>
      <c r="Q24" s="3">
        <f>'Stage 1 Inputs'!W24</f>
        <v>22.760565556287922</v>
      </c>
      <c r="R24" s="3">
        <f>'Stage 1 Inputs'!X24</f>
        <v>3.6</v>
      </c>
      <c r="S24" s="3">
        <f>'Stage 1 Inputs'!Y24</f>
        <v>3.6000000000000004E-2</v>
      </c>
      <c r="T24" s="3">
        <f>'Stage 1 Inputs'!Z24</f>
        <v>-3.3242363405260269</v>
      </c>
      <c r="U24" s="3">
        <f>'Stage 1 Inputs'!AO24</f>
        <v>23</v>
      </c>
      <c r="V24" s="3">
        <f>'Stage 1 Inputs'!AP24</f>
        <v>3.1354942159291497</v>
      </c>
      <c r="W24" s="3">
        <f>'Stage 1 Inputs'!AQ24</f>
        <v>0</v>
      </c>
      <c r="X24" s="3">
        <f>'Stage 1 Inputs'!AR24</f>
        <v>0</v>
      </c>
      <c r="Y24" s="3">
        <f>'Stage 1 Inputs'!AS24</f>
        <v>0</v>
      </c>
      <c r="Z24" s="3">
        <f>'Stage 1 Inputs'!AT24</f>
        <v>0</v>
      </c>
      <c r="AA24" s="3">
        <f>'Stage 1 Inputs'!AU24</f>
        <v>1</v>
      </c>
      <c r="AB24" s="3">
        <f>'Stage 1 Inputs'!AV24</f>
        <v>0</v>
      </c>
      <c r="AC24" s="3">
        <f>'Stage 1 Inputs'!AW24</f>
        <v>0</v>
      </c>
      <c r="AD24" s="3" t="str">
        <f>'Stage 1 Inputs'!AX24</f>
        <v>Historical official/source data</v>
      </c>
      <c r="AE24" s="3" t="str">
        <f>'Stage 1 Inputs'!AY24</f>
        <v>No special note</v>
      </c>
    </row>
    <row r="25" spans="1:31" ht="19.95" customHeight="1" x14ac:dyDescent="0.3">
      <c r="A25" s="3" t="str">
        <f>'Stage 1 Inputs'!A25</f>
        <v>2007Q4</v>
      </c>
      <c r="B25" s="3" t="str">
        <f>'Stage 1 Inputs'!B25</f>
        <v>Dec 2007</v>
      </c>
      <c r="C25" s="17">
        <f>'Stage 1 Inputs'!G25</f>
        <v>47184000000</v>
      </c>
      <c r="D25" s="17">
        <f>'Stage 1 Inputs'!H25</f>
        <v>4245700</v>
      </c>
      <c r="E25" s="17">
        <f>'Stage 1 Inputs'!I25</f>
        <v>11113.361754245472</v>
      </c>
      <c r="F25" s="17">
        <f>'Stage 1 Inputs'!E25</f>
        <v>970</v>
      </c>
      <c r="G25" s="17">
        <f>'Stage 1 Inputs'!F25</f>
        <v>1.609278350515464</v>
      </c>
      <c r="H25" s="17">
        <f>'Stage 1 Inputs'!K25</f>
        <v>17884.492472553797</v>
      </c>
      <c r="I25" s="18">
        <f>'Stage 1 Inputs'!M25</f>
        <v>9.791689274022028</v>
      </c>
      <c r="J25" s="19">
        <f>'Stage 1 Inputs'!N25</f>
        <v>164.99999995437838</v>
      </c>
      <c r="K25" s="19">
        <f>'Stage 1 Inputs'!D25</f>
        <v>1.58274231678487</v>
      </c>
      <c r="L25" s="19">
        <f>'Stage 1 Inputs'!O25</f>
        <v>261.15248219729631</v>
      </c>
      <c r="M25" s="18">
        <f>'Stage 1 Inputs'!P25</f>
        <v>5.5651044597090351</v>
      </c>
      <c r="N25" s="3">
        <f>'Stage 1 Inputs'!T25</f>
        <v>1831.7925575307254</v>
      </c>
      <c r="O25" s="3">
        <f>'Stage 1 Inputs'!U25</f>
        <v>7777241661.5082006</v>
      </c>
      <c r="P25" s="3">
        <f>'Stage 1 Inputs'!V25</f>
        <v>7.513050306033854</v>
      </c>
      <c r="Q25" s="3">
        <f>'Stage 1 Inputs'!W25</f>
        <v>22.774467570049161</v>
      </c>
      <c r="R25" s="3">
        <f>'Stage 1 Inputs'!X25</f>
        <v>3.4</v>
      </c>
      <c r="S25" s="3">
        <f>'Stage 1 Inputs'!Y25</f>
        <v>3.4000000000000002E-2</v>
      </c>
      <c r="T25" s="3">
        <f>'Stage 1 Inputs'!Z25</f>
        <v>-3.3813947543659757</v>
      </c>
      <c r="U25" s="3">
        <f>'Stage 1 Inputs'!AO25</f>
        <v>24</v>
      </c>
      <c r="V25" s="3">
        <f>'Stage 1 Inputs'!AP25</f>
        <v>3.1780538303479458</v>
      </c>
      <c r="W25" s="3">
        <f>'Stage 1 Inputs'!AQ25</f>
        <v>0</v>
      </c>
      <c r="X25" s="3">
        <f>'Stage 1 Inputs'!AR25</f>
        <v>0</v>
      </c>
      <c r="Y25" s="3">
        <f>'Stage 1 Inputs'!AS25</f>
        <v>0</v>
      </c>
      <c r="Z25" s="3">
        <f>'Stage 1 Inputs'!AT25</f>
        <v>0</v>
      </c>
      <c r="AA25" s="3">
        <f>'Stage 1 Inputs'!AU25</f>
        <v>0</v>
      </c>
      <c r="AB25" s="3">
        <f>'Stage 1 Inputs'!AV25</f>
        <v>1</v>
      </c>
      <c r="AC25" s="3">
        <f>'Stage 1 Inputs'!AW25</f>
        <v>0</v>
      </c>
      <c r="AD25" s="3" t="str">
        <f>'Stage 1 Inputs'!AX25</f>
        <v>Historical official/source data</v>
      </c>
      <c r="AE25" s="3" t="str">
        <f>'Stage 1 Inputs'!AY25</f>
        <v>No special note</v>
      </c>
    </row>
    <row r="26" spans="1:31" ht="19.95" customHeight="1" x14ac:dyDescent="0.3">
      <c r="A26" s="3" t="str">
        <f>'Stage 1 Inputs'!A26</f>
        <v>2008Q1</v>
      </c>
      <c r="B26" s="3" t="str">
        <f>'Stage 1 Inputs'!B26</f>
        <v>Mar 2008</v>
      </c>
      <c r="C26" s="17">
        <f>'Stage 1 Inputs'!G26</f>
        <v>47595000000</v>
      </c>
      <c r="D26" s="17">
        <f>'Stage 1 Inputs'!H26</f>
        <v>4255600</v>
      </c>
      <c r="E26" s="17">
        <f>'Stage 1 Inputs'!I26</f>
        <v>11184.086850267882</v>
      </c>
      <c r="F26" s="17">
        <f>'Stage 1 Inputs'!E26</f>
        <v>983</v>
      </c>
      <c r="G26" s="17">
        <f>'Stage 1 Inputs'!F26</f>
        <v>1.5879959308240081</v>
      </c>
      <c r="H26" s="17">
        <f>'Stage 1 Inputs'!K26</f>
        <v>17760.284408207695</v>
      </c>
      <c r="I26" s="18">
        <f>'Stage 1 Inputs'!M26</f>
        <v>9.7847200303935971</v>
      </c>
      <c r="J26" s="19">
        <f>'Stage 1 Inputs'!N26</f>
        <v>171.59999996453311</v>
      </c>
      <c r="K26" s="19">
        <f>'Stage 1 Inputs'!D26</f>
        <v>1.5715962441314555</v>
      </c>
      <c r="L26" s="19">
        <f>'Stage 1 Inputs'!O26</f>
        <v>269.68591543721811</v>
      </c>
      <c r="M26" s="18">
        <f>'Stage 1 Inputs'!P26</f>
        <v>5.5972580057090351</v>
      </c>
      <c r="N26" s="3">
        <f>'Stage 1 Inputs'!T26</f>
        <v>1807.4568482166319</v>
      </c>
      <c r="O26" s="3">
        <f>'Stage 1 Inputs'!U26</f>
        <v>7691813363.2706985</v>
      </c>
      <c r="P26" s="3">
        <f>'Stage 1 Inputs'!V26</f>
        <v>7.499676080008868</v>
      </c>
      <c r="Q26" s="3">
        <f>'Stage 1 Inputs'!W26</f>
        <v>22.763422400633218</v>
      </c>
      <c r="R26" s="3">
        <f>'Stage 1 Inputs'!X26</f>
        <v>3.8</v>
      </c>
      <c r="S26" s="3">
        <f>'Stage 1 Inputs'!Y26</f>
        <v>3.7999999999999999E-2</v>
      </c>
      <c r="T26" s="3">
        <f>'Stage 1 Inputs'!Z26</f>
        <v>-3.2701691192557512</v>
      </c>
      <c r="U26" s="3">
        <f>'Stage 1 Inputs'!AO26</f>
        <v>25</v>
      </c>
      <c r="V26" s="3">
        <f>'Stage 1 Inputs'!AP26</f>
        <v>3.2188758248682006</v>
      </c>
      <c r="W26" s="3">
        <f>'Stage 1 Inputs'!AQ26</f>
        <v>0</v>
      </c>
      <c r="X26" s="3">
        <f>'Stage 1 Inputs'!AR26</f>
        <v>0</v>
      </c>
      <c r="Y26" s="3">
        <f>'Stage 1 Inputs'!AS26</f>
        <v>0</v>
      </c>
      <c r="Z26" s="3">
        <f>'Stage 1 Inputs'!AT26</f>
        <v>0</v>
      </c>
      <c r="AA26" s="3">
        <f>'Stage 1 Inputs'!AU26</f>
        <v>0</v>
      </c>
      <c r="AB26" s="3">
        <f>'Stage 1 Inputs'!AV26</f>
        <v>0</v>
      </c>
      <c r="AC26" s="3">
        <f>'Stage 1 Inputs'!AW26</f>
        <v>0</v>
      </c>
      <c r="AD26" s="3" t="str">
        <f>'Stage 1 Inputs'!AX26</f>
        <v>Historical official/source data</v>
      </c>
      <c r="AE26" s="3" t="str">
        <f>'Stage 1 Inputs'!AY26</f>
        <v>No special note</v>
      </c>
    </row>
    <row r="27" spans="1:31" ht="19.95" customHeight="1" x14ac:dyDescent="0.3">
      <c r="A27" s="3" t="str">
        <f>'Stage 1 Inputs'!A27</f>
        <v>2008Q2</v>
      </c>
      <c r="B27" s="3" t="str">
        <f>'Stage 1 Inputs'!B27</f>
        <v>Jun 2008</v>
      </c>
      <c r="C27" s="17">
        <f>'Stage 1 Inputs'!G27</f>
        <v>47561000000</v>
      </c>
      <c r="D27" s="17">
        <f>'Stage 1 Inputs'!H27</f>
        <v>4259800</v>
      </c>
      <c r="E27" s="17">
        <f>'Stage 1 Inputs'!I27</f>
        <v>11165.078172684163</v>
      </c>
      <c r="F27" s="17">
        <f>'Stage 1 Inputs'!E27</f>
        <v>996</v>
      </c>
      <c r="G27" s="17">
        <f>'Stage 1 Inputs'!F27</f>
        <v>1.5672690763052208</v>
      </c>
      <c r="H27" s="17">
        <f>'Stage 1 Inputs'!K27</f>
        <v>17498.681754578291</v>
      </c>
      <c r="I27" s="18">
        <f>'Stage 1 Inputs'!M27</f>
        <v>9.7698808287644745</v>
      </c>
      <c r="J27" s="19">
        <f>'Stage 1 Inputs'!N27</f>
        <v>193.69999991027669</v>
      </c>
      <c r="K27" s="19">
        <f>'Stage 1 Inputs'!D27</f>
        <v>1.5479768786127168</v>
      </c>
      <c r="L27" s="19">
        <f>'Stage 1 Inputs'!O27</f>
        <v>299.84312124839363</v>
      </c>
      <c r="M27" s="18">
        <f>'Stage 1 Inputs'!P27</f>
        <v>5.7032594087090356</v>
      </c>
      <c r="N27" s="3">
        <f>'Stage 1 Inputs'!T27</f>
        <v>1750.0072254172978</v>
      </c>
      <c r="O27" s="3">
        <f>'Stage 1 Inputs'!U27</f>
        <v>7454680778.8326054</v>
      </c>
      <c r="P27" s="3">
        <f>'Stage 1 Inputs'!V27</f>
        <v>7.4673751957189207</v>
      </c>
      <c r="Q27" s="3">
        <f>'Stage 1 Inputs'!W27</f>
        <v>22.732107964505559</v>
      </c>
      <c r="R27" s="3">
        <f>'Stage 1 Inputs'!X27</f>
        <v>3.8</v>
      </c>
      <c r="S27" s="3">
        <f>'Stage 1 Inputs'!Y27</f>
        <v>3.7999999999999999E-2</v>
      </c>
      <c r="T27" s="3">
        <f>'Stage 1 Inputs'!Z27</f>
        <v>-3.2701691192557512</v>
      </c>
      <c r="U27" s="3">
        <f>'Stage 1 Inputs'!AO27</f>
        <v>26</v>
      </c>
      <c r="V27" s="3">
        <f>'Stage 1 Inputs'!AP27</f>
        <v>3.2580965380214821</v>
      </c>
      <c r="W27" s="3">
        <f>'Stage 1 Inputs'!AQ27</f>
        <v>0</v>
      </c>
      <c r="X27" s="3">
        <f>'Stage 1 Inputs'!AR27</f>
        <v>0</v>
      </c>
      <c r="Y27" s="3">
        <f>'Stage 1 Inputs'!AS27</f>
        <v>0</v>
      </c>
      <c r="Z27" s="3">
        <f>'Stage 1 Inputs'!AT27</f>
        <v>1</v>
      </c>
      <c r="AA27" s="3">
        <f>'Stage 1 Inputs'!AU27</f>
        <v>0</v>
      </c>
      <c r="AB27" s="3">
        <f>'Stage 1 Inputs'!AV27</f>
        <v>0</v>
      </c>
      <c r="AC27" s="3">
        <f>'Stage 1 Inputs'!AW27</f>
        <v>0</v>
      </c>
      <c r="AD27" s="3" t="str">
        <f>'Stage 1 Inputs'!AX27</f>
        <v>Historical official/source data</v>
      </c>
      <c r="AE27" s="3" t="str">
        <f>'Stage 1 Inputs'!AY27</f>
        <v>No special note</v>
      </c>
    </row>
    <row r="28" spans="1:31" ht="19.95" customHeight="1" x14ac:dyDescent="0.3">
      <c r="A28" s="3" t="str">
        <f>'Stage 1 Inputs'!A28</f>
        <v>2008Q3</v>
      </c>
      <c r="B28" s="3" t="str">
        <f>'Stage 1 Inputs'!B28</f>
        <v>Sep 2008</v>
      </c>
      <c r="C28" s="17">
        <f>'Stage 1 Inputs'!G28</f>
        <v>47007000000</v>
      </c>
      <c r="D28" s="17">
        <f>'Stage 1 Inputs'!H28</f>
        <v>4269600</v>
      </c>
      <c r="E28" s="17">
        <f>'Stage 1 Inputs'!I28</f>
        <v>11009.696458684653</v>
      </c>
      <c r="F28" s="17">
        <f>'Stage 1 Inputs'!E28</f>
        <v>983</v>
      </c>
      <c r="G28" s="17">
        <f>'Stage 1 Inputs'!F28</f>
        <v>1.5879959308240081</v>
      </c>
      <c r="H28" s="17">
        <f>'Stage 1 Inputs'!K28</f>
        <v>17483.353175998724</v>
      </c>
      <c r="I28" s="18">
        <f>'Stage 1 Inputs'!M28</f>
        <v>9.7690044601031865</v>
      </c>
      <c r="J28" s="19">
        <f>'Stage 1 Inputs'!N28</f>
        <v>202.50000002154314</v>
      </c>
      <c r="K28" s="19">
        <f>'Stage 1 Inputs'!D28</f>
        <v>1.5250569476082005</v>
      </c>
      <c r="L28" s="19">
        <f>'Stage 1 Inputs'!O28</f>
        <v>308.82403192351512</v>
      </c>
      <c r="M28" s="18">
        <f>'Stage 1 Inputs'!P28</f>
        <v>5.7327716387090355</v>
      </c>
      <c r="N28" s="3">
        <f>'Stage 1 Inputs'!T28</f>
        <v>1738.6275561152736</v>
      </c>
      <c r="O28" s="3">
        <f>'Stage 1 Inputs'!U28</f>
        <v>7423244213.5897722</v>
      </c>
      <c r="P28" s="3">
        <f>'Stage 1 Inputs'!V28</f>
        <v>7.4608513201197706</v>
      </c>
      <c r="Q28" s="3">
        <f>'Stage 1 Inputs'!W28</f>
        <v>22.727882024121644</v>
      </c>
      <c r="R28" s="3">
        <f>'Stage 1 Inputs'!X28</f>
        <v>4.0999999999999996</v>
      </c>
      <c r="S28" s="3">
        <f>'Stage 1 Inputs'!Y28</f>
        <v>4.0999999999999995E-2</v>
      </c>
      <c r="T28" s="3">
        <f>'Stage 1 Inputs'!Z28</f>
        <v>-3.1941832122778293</v>
      </c>
      <c r="U28" s="3">
        <f>'Stage 1 Inputs'!AO28</f>
        <v>27</v>
      </c>
      <c r="V28" s="3">
        <f>'Stage 1 Inputs'!AP28</f>
        <v>3.2958368660043291</v>
      </c>
      <c r="W28" s="3">
        <f>'Stage 1 Inputs'!AQ28</f>
        <v>0</v>
      </c>
      <c r="X28" s="3">
        <f>'Stage 1 Inputs'!AR28</f>
        <v>0</v>
      </c>
      <c r="Y28" s="3">
        <f>'Stage 1 Inputs'!AS28</f>
        <v>0</v>
      </c>
      <c r="Z28" s="3">
        <f>'Stage 1 Inputs'!AT28</f>
        <v>0</v>
      </c>
      <c r="AA28" s="3">
        <f>'Stage 1 Inputs'!AU28</f>
        <v>1</v>
      </c>
      <c r="AB28" s="3">
        <f>'Stage 1 Inputs'!AV28</f>
        <v>0</v>
      </c>
      <c r="AC28" s="3">
        <f>'Stage 1 Inputs'!AW28</f>
        <v>0</v>
      </c>
      <c r="AD28" s="3" t="str">
        <f>'Stage 1 Inputs'!AX28</f>
        <v>Historical official/source data</v>
      </c>
      <c r="AE28" s="3" t="str">
        <f>'Stage 1 Inputs'!AY28</f>
        <v>No special note</v>
      </c>
    </row>
    <row r="29" spans="1:31" ht="19.95" customHeight="1" x14ac:dyDescent="0.3">
      <c r="A29" s="3" t="str">
        <f>'Stage 1 Inputs'!A29</f>
        <v>2008Q4</v>
      </c>
      <c r="B29" s="3" t="str">
        <f>'Stage 1 Inputs'!B29</f>
        <v>Dec 2008</v>
      </c>
      <c r="C29" s="17">
        <f>'Stage 1 Inputs'!G29</f>
        <v>47621000000</v>
      </c>
      <c r="D29" s="17">
        <f>'Stage 1 Inputs'!H29</f>
        <v>4280300</v>
      </c>
      <c r="E29" s="17">
        <f>'Stage 1 Inputs'!I29</f>
        <v>11125.622035838609</v>
      </c>
      <c r="F29" s="17">
        <f>'Stage 1 Inputs'!E29</f>
        <v>996</v>
      </c>
      <c r="G29" s="17">
        <f>'Stage 1 Inputs'!F29</f>
        <v>1.5672690763052208</v>
      </c>
      <c r="H29" s="17">
        <f>'Stage 1 Inputs'!K29</f>
        <v>17436.84337142979</v>
      </c>
      <c r="I29" s="18">
        <f>'Stage 1 Inputs'!M29</f>
        <v>9.7663406817359899</v>
      </c>
      <c r="J29" s="19">
        <f>'Stage 1 Inputs'!N29</f>
        <v>156.89999998970924</v>
      </c>
      <c r="K29" s="19">
        <f>'Stage 1 Inputs'!D29</f>
        <v>1.5320366132723111</v>
      </c>
      <c r="L29" s="19">
        <f>'Stage 1 Inputs'!O29</f>
        <v>240.37654460665979</v>
      </c>
      <c r="M29" s="18">
        <f>'Stage 1 Inputs'!P29</f>
        <v>5.4822066297090357</v>
      </c>
      <c r="N29" s="3">
        <f>'Stage 1 Inputs'!T29</f>
        <v>1778.5416150158414</v>
      </c>
      <c r="O29" s="3">
        <f>'Stage 1 Inputs'!U29</f>
        <v>7612691674.752306</v>
      </c>
      <c r="P29" s="3">
        <f>'Stage 1 Inputs'!V29</f>
        <v>7.4835489900553505</v>
      </c>
      <c r="Q29" s="3">
        <f>'Stage 1 Inputs'!W29</f>
        <v>22.753082648614843</v>
      </c>
      <c r="R29" s="3">
        <f>'Stage 1 Inputs'!X29</f>
        <v>4.4000000000000004</v>
      </c>
      <c r="S29" s="3">
        <f>'Stage 1 Inputs'!Y29</f>
        <v>4.4000000000000004E-2</v>
      </c>
      <c r="T29" s="3">
        <f>'Stage 1 Inputs'!Z29</f>
        <v>-3.1235656450638758</v>
      </c>
      <c r="U29" s="3">
        <f>'Stage 1 Inputs'!AO29</f>
        <v>28</v>
      </c>
      <c r="V29" s="3">
        <f>'Stage 1 Inputs'!AP29</f>
        <v>3.3322045101752038</v>
      </c>
      <c r="W29" s="3">
        <f>'Stage 1 Inputs'!AQ29</f>
        <v>0</v>
      </c>
      <c r="X29" s="3">
        <f>'Stage 1 Inputs'!AR29</f>
        <v>0</v>
      </c>
      <c r="Y29" s="3">
        <f>'Stage 1 Inputs'!AS29</f>
        <v>0</v>
      </c>
      <c r="Z29" s="3">
        <f>'Stage 1 Inputs'!AT29</f>
        <v>0</v>
      </c>
      <c r="AA29" s="3">
        <f>'Stage 1 Inputs'!AU29</f>
        <v>0</v>
      </c>
      <c r="AB29" s="3">
        <f>'Stage 1 Inputs'!AV29</f>
        <v>1</v>
      </c>
      <c r="AC29" s="3">
        <f>'Stage 1 Inputs'!AW29</f>
        <v>0</v>
      </c>
      <c r="AD29" s="3" t="str">
        <f>'Stage 1 Inputs'!AX29</f>
        <v>Historical official/source data</v>
      </c>
      <c r="AE29" s="3" t="str">
        <f>'Stage 1 Inputs'!AY29</f>
        <v>No special note</v>
      </c>
    </row>
    <row r="30" spans="1:31" ht="19.95" customHeight="1" x14ac:dyDescent="0.3">
      <c r="A30" s="3" t="str">
        <f>'Stage 1 Inputs'!A30</f>
        <v>2009Q1</v>
      </c>
      <c r="B30" s="3" t="str">
        <f>'Stage 1 Inputs'!B30</f>
        <v>Mar 2009</v>
      </c>
      <c r="C30" s="17">
        <f>'Stage 1 Inputs'!G30</f>
        <v>47589000000</v>
      </c>
      <c r="D30" s="17">
        <f>'Stage 1 Inputs'!H30</f>
        <v>4293500</v>
      </c>
      <c r="E30" s="17">
        <f>'Stage 1 Inputs'!I30</f>
        <v>11083.964131827181</v>
      </c>
      <c r="F30" s="17">
        <f>'Stage 1 Inputs'!E30</f>
        <v>1003</v>
      </c>
      <c r="G30" s="17">
        <f>'Stage 1 Inputs'!F30</f>
        <v>1.5563310069790628</v>
      </c>
      <c r="H30" s="17">
        <f>'Stage 1 Inputs'!K30</f>
        <v>17250.317058606408</v>
      </c>
      <c r="I30" s="18">
        <f>'Stage 1 Inputs'!M30</f>
        <v>9.7555858024996596</v>
      </c>
      <c r="J30" s="19">
        <f>'Stage 1 Inputs'!N30</f>
        <v>155.49999996435272</v>
      </c>
      <c r="K30" s="19">
        <f>'Stage 1 Inputs'!D30</f>
        <v>1.5267958950969214</v>
      </c>
      <c r="L30" s="19">
        <f>'Stage 1 Inputs'!O30</f>
        <v>237.41676163314517</v>
      </c>
      <c r="M30" s="18">
        <f>'Stage 1 Inputs'!P30</f>
        <v>5.4698170847090353</v>
      </c>
      <c r="N30" s="3">
        <f>'Stage 1 Inputs'!T30</f>
        <v>1757.8497870661986</v>
      </c>
      <c r="O30" s="3">
        <f>'Stage 1 Inputs'!U30</f>
        <v>7547328060.7687235</v>
      </c>
      <c r="P30" s="3">
        <f>'Stage 1 Inputs'!V30</f>
        <v>7.4718466292396242</v>
      </c>
      <c r="Q30" s="3">
        <f>'Stage 1 Inputs'!W30</f>
        <v>22.7444594383343</v>
      </c>
      <c r="R30" s="3">
        <f>'Stage 1 Inputs'!X30</f>
        <v>5</v>
      </c>
      <c r="S30" s="3">
        <f>'Stage 1 Inputs'!Y30</f>
        <v>0.05</v>
      </c>
      <c r="T30" s="3">
        <f>'Stage 1 Inputs'!Z30</f>
        <v>-2.9957322735539909</v>
      </c>
      <c r="U30" s="3">
        <f>'Stage 1 Inputs'!AO30</f>
        <v>29</v>
      </c>
      <c r="V30" s="3">
        <f>'Stage 1 Inputs'!AP30</f>
        <v>3.3672958299864741</v>
      </c>
      <c r="W30" s="3">
        <f>'Stage 1 Inputs'!AQ30</f>
        <v>0</v>
      </c>
      <c r="X30" s="3">
        <f>'Stage 1 Inputs'!AR30</f>
        <v>0</v>
      </c>
      <c r="Y30" s="3">
        <f>'Stage 1 Inputs'!AS30</f>
        <v>0</v>
      </c>
      <c r="Z30" s="3">
        <f>'Stage 1 Inputs'!AT30</f>
        <v>0</v>
      </c>
      <c r="AA30" s="3">
        <f>'Stage 1 Inputs'!AU30</f>
        <v>0</v>
      </c>
      <c r="AB30" s="3">
        <f>'Stage 1 Inputs'!AV30</f>
        <v>0</v>
      </c>
      <c r="AC30" s="3">
        <f>'Stage 1 Inputs'!AW30</f>
        <v>0</v>
      </c>
      <c r="AD30" s="3" t="str">
        <f>'Stage 1 Inputs'!AX30</f>
        <v>Historical official/source data</v>
      </c>
      <c r="AE30" s="3" t="str">
        <f>'Stage 1 Inputs'!AY30</f>
        <v>No special note</v>
      </c>
    </row>
    <row r="31" spans="1:31" ht="19.95" customHeight="1" x14ac:dyDescent="0.3">
      <c r="A31" s="3" t="str">
        <f>'Stage 1 Inputs'!A31</f>
        <v>2009Q2</v>
      </c>
      <c r="B31" s="3" t="str">
        <f>'Stage 1 Inputs'!B31</f>
        <v>Jun 2009</v>
      </c>
      <c r="C31" s="17">
        <f>'Stage 1 Inputs'!G31</f>
        <v>47604000000</v>
      </c>
      <c r="D31" s="17">
        <f>'Stage 1 Inputs'!H31</f>
        <v>4302600</v>
      </c>
      <c r="E31" s="17">
        <f>'Stage 1 Inputs'!I31</f>
        <v>11064.007809231627</v>
      </c>
      <c r="F31" s="17">
        <f>'Stage 1 Inputs'!E31</f>
        <v>991</v>
      </c>
      <c r="G31" s="17">
        <f>'Stage 1 Inputs'!F31</f>
        <v>1.5751765893037335</v>
      </c>
      <c r="H31" s="17">
        <f>'Stage 1 Inputs'!K31</f>
        <v>17427.766084975348</v>
      </c>
      <c r="I31" s="18">
        <f>'Stage 1 Inputs'!M31</f>
        <v>9.7658199653533266</v>
      </c>
      <c r="J31" s="19">
        <f>'Stage 1 Inputs'!N31</f>
        <v>160.39999993459526</v>
      </c>
      <c r="K31" s="19">
        <f>'Stage 1 Inputs'!D31</f>
        <v>1.5181405895691611</v>
      </c>
      <c r="L31" s="19">
        <f>'Stage 1 Inputs'!O31</f>
        <v>243.50975046759984</v>
      </c>
      <c r="M31" s="18">
        <f>'Stage 1 Inputs'!P31</f>
        <v>5.4951569847090349</v>
      </c>
      <c r="N31" s="3">
        <f>'Stage 1 Inputs'!T31</f>
        <v>1739.7078964024774</v>
      </c>
      <c r="O31" s="3">
        <f>'Stage 1 Inputs'!U31</f>
        <v>7485267195.0612993</v>
      </c>
      <c r="P31" s="3">
        <f>'Stage 1 Inputs'!V31</f>
        <v>7.4614725024851234</v>
      </c>
      <c r="Q31" s="3">
        <f>'Stage 1 Inputs'!W31</f>
        <v>22.736202551583844</v>
      </c>
      <c r="R31" s="3">
        <f>'Stage 1 Inputs'!X31</f>
        <v>5.8</v>
      </c>
      <c r="S31" s="3">
        <f>'Stage 1 Inputs'!Y31</f>
        <v>5.7999999999999996E-2</v>
      </c>
      <c r="T31" s="3">
        <f>'Stage 1 Inputs'!Z31</f>
        <v>-2.8473122684357177</v>
      </c>
      <c r="U31" s="3">
        <f>'Stage 1 Inputs'!AO31</f>
        <v>30</v>
      </c>
      <c r="V31" s="3">
        <f>'Stage 1 Inputs'!AP31</f>
        <v>3.4011973816621555</v>
      </c>
      <c r="W31" s="3">
        <f>'Stage 1 Inputs'!AQ31</f>
        <v>0</v>
      </c>
      <c r="X31" s="3">
        <f>'Stage 1 Inputs'!AR31</f>
        <v>0</v>
      </c>
      <c r="Y31" s="3">
        <f>'Stage 1 Inputs'!AS31</f>
        <v>0</v>
      </c>
      <c r="Z31" s="3">
        <f>'Stage 1 Inputs'!AT31</f>
        <v>1</v>
      </c>
      <c r="AA31" s="3">
        <f>'Stage 1 Inputs'!AU31</f>
        <v>0</v>
      </c>
      <c r="AB31" s="3">
        <f>'Stage 1 Inputs'!AV31</f>
        <v>0</v>
      </c>
      <c r="AC31" s="3">
        <f>'Stage 1 Inputs'!AW31</f>
        <v>0</v>
      </c>
      <c r="AD31" s="3" t="str">
        <f>'Stage 1 Inputs'!AX31</f>
        <v>Historical official/source data</v>
      </c>
      <c r="AE31" s="3" t="str">
        <f>'Stage 1 Inputs'!AY31</f>
        <v>No special note</v>
      </c>
    </row>
    <row r="32" spans="1:31" ht="19.95" customHeight="1" x14ac:dyDescent="0.3">
      <c r="A32" s="3" t="str">
        <f>'Stage 1 Inputs'!A32</f>
        <v>2009Q3</v>
      </c>
      <c r="B32" s="3" t="str">
        <f>'Stage 1 Inputs'!B32</f>
        <v>Sep 2009</v>
      </c>
      <c r="C32" s="17">
        <f>'Stage 1 Inputs'!G32</f>
        <v>48369000000</v>
      </c>
      <c r="D32" s="17">
        <f>'Stage 1 Inputs'!H32</f>
        <v>4317300</v>
      </c>
      <c r="E32" s="17">
        <f>'Stage 1 Inputs'!I32</f>
        <v>11203.529984017789</v>
      </c>
      <c r="F32" s="17">
        <f>'Stage 1 Inputs'!E32</f>
        <v>1001</v>
      </c>
      <c r="G32" s="17">
        <f>'Stage 1 Inputs'!F32</f>
        <v>1.5594405594405594</v>
      </c>
      <c r="H32" s="17">
        <f>'Stage 1 Inputs'!K32</f>
        <v>17471.239065985781</v>
      </c>
      <c r="I32" s="18">
        <f>'Stage 1 Inputs'!M32</f>
        <v>9.768311325969961</v>
      </c>
      <c r="J32" s="19">
        <f>'Stage 1 Inputs'!N32</f>
        <v>163.49999992757833</v>
      </c>
      <c r="K32" s="19">
        <f>'Stage 1 Inputs'!D32</f>
        <v>1.4994400895856663</v>
      </c>
      <c r="L32" s="19">
        <f>'Stage 1 Inputs'!O32</f>
        <v>245.1584545386645</v>
      </c>
      <c r="M32" s="18">
        <f>'Stage 1 Inputs'!P32</f>
        <v>5.5019047547090354</v>
      </c>
      <c r="N32" s="3">
        <f>'Stage 1 Inputs'!T32</f>
        <v>1742.919011669165</v>
      </c>
      <c r="O32" s="3">
        <f>'Stage 1 Inputs'!U32</f>
        <v>7524704249.0792856</v>
      </c>
      <c r="P32" s="3">
        <f>'Stage 1 Inputs'!V32</f>
        <v>7.4633165795346788</v>
      </c>
      <c r="Q32" s="3">
        <f>'Stage 1 Inputs'!W32</f>
        <v>22.741457344361052</v>
      </c>
      <c r="R32" s="3">
        <f>'Stage 1 Inputs'!X32</f>
        <v>6.2</v>
      </c>
      <c r="S32" s="3">
        <f>'Stage 1 Inputs'!Y32</f>
        <v>6.2E-2</v>
      </c>
      <c r="T32" s="3">
        <f>'Stage 1 Inputs'!Z32</f>
        <v>-2.7806208939370456</v>
      </c>
      <c r="U32" s="3">
        <f>'Stage 1 Inputs'!AO32</f>
        <v>31</v>
      </c>
      <c r="V32" s="3">
        <f>'Stage 1 Inputs'!AP32</f>
        <v>3.4339872044851463</v>
      </c>
      <c r="W32" s="3">
        <f>'Stage 1 Inputs'!AQ32</f>
        <v>0</v>
      </c>
      <c r="X32" s="3">
        <f>'Stage 1 Inputs'!AR32</f>
        <v>0</v>
      </c>
      <c r="Y32" s="3">
        <f>'Stage 1 Inputs'!AS32</f>
        <v>0</v>
      </c>
      <c r="Z32" s="3">
        <f>'Stage 1 Inputs'!AT32</f>
        <v>0</v>
      </c>
      <c r="AA32" s="3">
        <f>'Stage 1 Inputs'!AU32</f>
        <v>1</v>
      </c>
      <c r="AB32" s="3">
        <f>'Stage 1 Inputs'!AV32</f>
        <v>0</v>
      </c>
      <c r="AC32" s="3">
        <f>'Stage 1 Inputs'!AW32</f>
        <v>0</v>
      </c>
      <c r="AD32" s="3" t="str">
        <f>'Stage 1 Inputs'!AX32</f>
        <v>Historical official/source data</v>
      </c>
      <c r="AE32" s="3" t="str">
        <f>'Stage 1 Inputs'!AY32</f>
        <v>No special note</v>
      </c>
    </row>
    <row r="33" spans="1:31" ht="19.95" customHeight="1" x14ac:dyDescent="0.3">
      <c r="A33" s="3" t="str">
        <f>'Stage 1 Inputs'!A33</f>
        <v>2009Q4</v>
      </c>
      <c r="B33" s="3" t="str">
        <f>'Stage 1 Inputs'!B33</f>
        <v>Dec 2009</v>
      </c>
      <c r="C33" s="17">
        <f>'Stage 1 Inputs'!G33</f>
        <v>48783000000</v>
      </c>
      <c r="D33" s="17">
        <f>'Stage 1 Inputs'!H33</f>
        <v>4332100</v>
      </c>
      <c r="E33" s="17">
        <f>'Stage 1 Inputs'!I33</f>
        <v>11260.820387341013</v>
      </c>
      <c r="F33" s="17">
        <f>'Stage 1 Inputs'!E33</f>
        <v>998</v>
      </c>
      <c r="G33" s="17">
        <f>'Stage 1 Inputs'!F33</f>
        <v>1.5641282565130261</v>
      </c>
      <c r="H33" s="17">
        <f>'Stage 1 Inputs'!K33</f>
        <v>17613.367359358039</v>
      </c>
      <c r="I33" s="18">
        <f>'Stage 1 Inputs'!M33</f>
        <v>9.7764134017996334</v>
      </c>
      <c r="J33" s="19">
        <f>'Stage 1 Inputs'!N33</f>
        <v>161.89999998612245</v>
      </c>
      <c r="K33" s="19">
        <f>'Stage 1 Inputs'!D33</f>
        <v>1.5011210762331839</v>
      </c>
      <c r="L33" s="19">
        <f>'Stage 1 Inputs'!O33</f>
        <v>243.03150222132061</v>
      </c>
      <c r="M33" s="18">
        <f>'Stage 1 Inputs'!P33</f>
        <v>5.4931910737090357</v>
      </c>
      <c r="N33" s="3">
        <f>'Stage 1 Inputs'!T33</f>
        <v>1775.345550564874</v>
      </c>
      <c r="O33" s="3">
        <f>'Stage 1 Inputs'!U33</f>
        <v>7690974459.6020908</v>
      </c>
      <c r="P33" s="3">
        <f>'Stage 1 Inputs'!V33</f>
        <v>7.4817503593371066</v>
      </c>
      <c r="Q33" s="3">
        <f>'Stage 1 Inputs'!W33</f>
        <v>22.763313330199548</v>
      </c>
      <c r="R33" s="3">
        <f>'Stage 1 Inputs'!X33</f>
        <v>6.6</v>
      </c>
      <c r="S33" s="3">
        <f>'Stage 1 Inputs'!Y33</f>
        <v>6.6000000000000003E-2</v>
      </c>
      <c r="T33" s="3">
        <f>'Stage 1 Inputs'!Z33</f>
        <v>-2.7181005369557116</v>
      </c>
      <c r="U33" s="3">
        <f>'Stage 1 Inputs'!AO33</f>
        <v>32</v>
      </c>
      <c r="V33" s="3">
        <f>'Stage 1 Inputs'!AP33</f>
        <v>3.4657359027997265</v>
      </c>
      <c r="W33" s="3">
        <f>'Stage 1 Inputs'!AQ33</f>
        <v>0</v>
      </c>
      <c r="X33" s="3">
        <f>'Stage 1 Inputs'!AR33</f>
        <v>0</v>
      </c>
      <c r="Y33" s="3">
        <f>'Stage 1 Inputs'!AS33</f>
        <v>0</v>
      </c>
      <c r="Z33" s="3">
        <f>'Stage 1 Inputs'!AT33</f>
        <v>0</v>
      </c>
      <c r="AA33" s="3">
        <f>'Stage 1 Inputs'!AU33</f>
        <v>0</v>
      </c>
      <c r="AB33" s="3">
        <f>'Stage 1 Inputs'!AV33</f>
        <v>1</v>
      </c>
      <c r="AC33" s="3">
        <f>'Stage 1 Inputs'!AW33</f>
        <v>0</v>
      </c>
      <c r="AD33" s="3" t="str">
        <f>'Stage 1 Inputs'!AX33</f>
        <v>Historical official/source data</v>
      </c>
      <c r="AE33" s="3" t="str">
        <f>'Stage 1 Inputs'!AY33</f>
        <v>No special note</v>
      </c>
    </row>
    <row r="34" spans="1:31" ht="19.95" customHeight="1" x14ac:dyDescent="0.3">
      <c r="A34" s="3" t="str">
        <f>'Stage 1 Inputs'!A34</f>
        <v>2010Q1</v>
      </c>
      <c r="B34" s="3" t="str">
        <f>'Stage 1 Inputs'!B34</f>
        <v>Mar 2010</v>
      </c>
      <c r="C34" s="17">
        <f>'Stage 1 Inputs'!G34</f>
        <v>49947000000</v>
      </c>
      <c r="D34" s="17">
        <f>'Stage 1 Inputs'!H34</f>
        <v>4345700</v>
      </c>
      <c r="E34" s="17">
        <f>'Stage 1 Inputs'!I34</f>
        <v>11493.430287410543</v>
      </c>
      <c r="F34" s="17">
        <f>'Stage 1 Inputs'!E34</f>
        <v>1010</v>
      </c>
      <c r="G34" s="17">
        <f>'Stage 1 Inputs'!F34</f>
        <v>1.5455445544554456</v>
      </c>
      <c r="H34" s="17">
        <f>'Stage 1 Inputs'!K34</f>
        <v>17763.608592720651</v>
      </c>
      <c r="I34" s="18">
        <f>'Stage 1 Inputs'!M34</f>
        <v>9.7849071824336384</v>
      </c>
      <c r="J34" s="19">
        <f>'Stage 1 Inputs'!N34</f>
        <v>173.20000002847124</v>
      </c>
      <c r="K34" s="19">
        <f>'Stage 1 Inputs'!D34</f>
        <v>1.4960893854748603</v>
      </c>
      <c r="L34" s="19">
        <f>'Stage 1 Inputs'!O34</f>
        <v>259.1226816068413</v>
      </c>
      <c r="M34" s="18">
        <f>'Stage 1 Inputs'!P34</f>
        <v>5.5573016237090354</v>
      </c>
      <c r="N34" s="3">
        <f>'Stage 1 Inputs'!T34</f>
        <v>1743.7407699169066</v>
      </c>
      <c r="O34" s="3">
        <f>'Stage 1 Inputs'!U34</f>
        <v>7577774263.8279009</v>
      </c>
      <c r="P34" s="3">
        <f>'Stage 1 Inputs'!V34</f>
        <v>7.4637879523180501</v>
      </c>
      <c r="Q34" s="3">
        <f>'Stage 1 Inputs'!W34</f>
        <v>22.748485360741775</v>
      </c>
      <c r="R34" s="3">
        <f>'Stage 1 Inputs'!X34</f>
        <v>5.9</v>
      </c>
      <c r="S34" s="3">
        <f>'Stage 1 Inputs'!Y34</f>
        <v>5.9000000000000004E-2</v>
      </c>
      <c r="T34" s="3">
        <f>'Stage 1 Inputs'!Z34</f>
        <v>-2.8302178350764176</v>
      </c>
      <c r="U34" s="3">
        <f>'Stage 1 Inputs'!AO34</f>
        <v>33</v>
      </c>
      <c r="V34" s="3">
        <f>'Stage 1 Inputs'!AP34</f>
        <v>3.4965075614664802</v>
      </c>
      <c r="W34" s="3">
        <f>'Stage 1 Inputs'!AQ34</f>
        <v>0</v>
      </c>
      <c r="X34" s="3">
        <f>'Stage 1 Inputs'!AR34</f>
        <v>0</v>
      </c>
      <c r="Y34" s="3">
        <f>'Stage 1 Inputs'!AS34</f>
        <v>0</v>
      </c>
      <c r="Z34" s="3">
        <f>'Stage 1 Inputs'!AT34</f>
        <v>0</v>
      </c>
      <c r="AA34" s="3">
        <f>'Stage 1 Inputs'!AU34</f>
        <v>0</v>
      </c>
      <c r="AB34" s="3">
        <f>'Stage 1 Inputs'!AV34</f>
        <v>0</v>
      </c>
      <c r="AC34" s="3">
        <f>'Stage 1 Inputs'!AW34</f>
        <v>0</v>
      </c>
      <c r="AD34" s="3" t="str">
        <f>'Stage 1 Inputs'!AX34</f>
        <v>Historical official/source data</v>
      </c>
      <c r="AE34" s="3" t="str">
        <f>'Stage 1 Inputs'!AY34</f>
        <v>No special note</v>
      </c>
    </row>
    <row r="35" spans="1:31" ht="19.95" customHeight="1" x14ac:dyDescent="0.3">
      <c r="A35" s="3" t="str">
        <f>'Stage 1 Inputs'!A35</f>
        <v>2010Q2</v>
      </c>
      <c r="B35" s="3" t="str">
        <f>'Stage 1 Inputs'!B35</f>
        <v>Jun 2010</v>
      </c>
      <c r="C35" s="17">
        <f>'Stage 1 Inputs'!G35</f>
        <v>50254000000</v>
      </c>
      <c r="D35" s="17">
        <f>'Stage 1 Inputs'!H35</f>
        <v>4350700</v>
      </c>
      <c r="E35" s="17">
        <f>'Stage 1 Inputs'!I35</f>
        <v>11550.784931160502</v>
      </c>
      <c r="F35" s="17">
        <f>'Stage 1 Inputs'!E35</f>
        <v>1010</v>
      </c>
      <c r="G35" s="17">
        <f>'Stage 1 Inputs'!F35</f>
        <v>1.5455445544554456</v>
      </c>
      <c r="H35" s="17">
        <f>'Stage 1 Inputs'!K35</f>
        <v>17852.252750041134</v>
      </c>
      <c r="I35" s="18">
        <f>'Stage 1 Inputs'!M35</f>
        <v>9.7898849837287667</v>
      </c>
      <c r="J35" s="19">
        <f>'Stage 1 Inputs'!N35</f>
        <v>175.50000001524623</v>
      </c>
      <c r="K35" s="19">
        <f>'Stage 1 Inputs'!D35</f>
        <v>1.4944196428571428</v>
      </c>
      <c r="L35" s="19">
        <f>'Stage 1 Inputs'!O35</f>
        <v>262.27064734421282</v>
      </c>
      <c r="M35" s="18">
        <f>'Stage 1 Inputs'!P35</f>
        <v>5.5693769757090354</v>
      </c>
      <c r="N35" s="3">
        <f>'Stage 1 Inputs'!T35</f>
        <v>1718.8769669709982</v>
      </c>
      <c r="O35" s="3">
        <f>'Stage 1 Inputs'!U35</f>
        <v>7478318020.2007217</v>
      </c>
      <c r="P35" s="3">
        <f>'Stage 1 Inputs'!V35</f>
        <v>7.4494264303787192</v>
      </c>
      <c r="Q35" s="3">
        <f>'Stage 1 Inputs'!W35</f>
        <v>22.735273740037655</v>
      </c>
      <c r="R35" s="3">
        <f>'Stage 1 Inputs'!X35</f>
        <v>6.6</v>
      </c>
      <c r="S35" s="3">
        <f>'Stage 1 Inputs'!Y35</f>
        <v>6.6000000000000003E-2</v>
      </c>
      <c r="T35" s="3">
        <f>'Stage 1 Inputs'!Z35</f>
        <v>-2.7181005369557116</v>
      </c>
      <c r="U35" s="3">
        <f>'Stage 1 Inputs'!AO35</f>
        <v>34</v>
      </c>
      <c r="V35" s="3">
        <f>'Stage 1 Inputs'!AP35</f>
        <v>3.5263605246161616</v>
      </c>
      <c r="W35" s="3">
        <f>'Stage 1 Inputs'!AQ35</f>
        <v>0</v>
      </c>
      <c r="X35" s="3">
        <f>'Stage 1 Inputs'!AR35</f>
        <v>0</v>
      </c>
      <c r="Y35" s="3">
        <f>'Stage 1 Inputs'!AS35</f>
        <v>0</v>
      </c>
      <c r="Z35" s="3">
        <f>'Stage 1 Inputs'!AT35</f>
        <v>1</v>
      </c>
      <c r="AA35" s="3">
        <f>'Stage 1 Inputs'!AU35</f>
        <v>0</v>
      </c>
      <c r="AB35" s="3">
        <f>'Stage 1 Inputs'!AV35</f>
        <v>0</v>
      </c>
      <c r="AC35" s="3">
        <f>'Stage 1 Inputs'!AW35</f>
        <v>0</v>
      </c>
      <c r="AD35" s="3" t="str">
        <f>'Stage 1 Inputs'!AX35</f>
        <v>Historical official/source data</v>
      </c>
      <c r="AE35" s="3" t="str">
        <f>'Stage 1 Inputs'!AY35</f>
        <v>No special note</v>
      </c>
    </row>
    <row r="36" spans="1:31" ht="19.95" customHeight="1" x14ac:dyDescent="0.3">
      <c r="A36" s="3" t="str">
        <f>'Stage 1 Inputs'!A36</f>
        <v>2010Q3</v>
      </c>
      <c r="B36" s="3" t="str">
        <f>'Stage 1 Inputs'!B36</f>
        <v>Sep 2010</v>
      </c>
      <c r="C36" s="17">
        <f>'Stage 1 Inputs'!G36</f>
        <v>50570000000</v>
      </c>
      <c r="D36" s="17">
        <f>'Stage 1 Inputs'!H36</f>
        <v>4362700</v>
      </c>
      <c r="E36" s="17">
        <f>'Stage 1 Inputs'!I36</f>
        <v>11591.445664382149</v>
      </c>
      <c r="F36" s="17">
        <f>'Stage 1 Inputs'!E36</f>
        <v>1031</v>
      </c>
      <c r="G36" s="17">
        <f>'Stage 1 Inputs'!F36</f>
        <v>1.5140640155189138</v>
      </c>
      <c r="H36" s="17">
        <f>'Stage 1 Inputs'!K36</f>
        <v>17550.190768283741</v>
      </c>
      <c r="I36" s="18">
        <f>'Stage 1 Inputs'!M36</f>
        <v>9.7728200988226117</v>
      </c>
      <c r="J36" s="19">
        <f>'Stage 1 Inputs'!N36</f>
        <v>173.09999997899934</v>
      </c>
      <c r="K36" s="19">
        <f>'Stage 1 Inputs'!D36</f>
        <v>1.4779249448123621</v>
      </c>
      <c r="L36" s="19">
        <f>'Stage 1 Inputs'!O36</f>
        <v>255.82880791598248</v>
      </c>
      <c r="M36" s="18">
        <f>'Stage 1 Inputs'!P36</f>
        <v>5.5445085017090356</v>
      </c>
      <c r="N36" s="3">
        <f>'Stage 1 Inputs'!T36</f>
        <v>1714.9262521262453</v>
      </c>
      <c r="O36" s="3">
        <f>'Stage 1 Inputs'!U36</f>
        <v>7481708760.1511707</v>
      </c>
      <c r="P36" s="3">
        <f>'Stage 1 Inputs'!V36</f>
        <v>7.4471253569997833</v>
      </c>
      <c r="Q36" s="3">
        <f>'Stage 1 Inputs'!W36</f>
        <v>22.735727046713947</v>
      </c>
      <c r="R36" s="3">
        <f>'Stage 1 Inputs'!X36</f>
        <v>6.1</v>
      </c>
      <c r="S36" s="3">
        <f>'Stage 1 Inputs'!Y36</f>
        <v>6.0999999999999999E-2</v>
      </c>
      <c r="T36" s="3">
        <f>'Stage 1 Inputs'!Z36</f>
        <v>-2.7968814148088259</v>
      </c>
      <c r="U36" s="3">
        <f>'Stage 1 Inputs'!AO36</f>
        <v>35</v>
      </c>
      <c r="V36" s="3">
        <f>'Stage 1 Inputs'!AP36</f>
        <v>3.5553480614894135</v>
      </c>
      <c r="W36" s="3">
        <f>'Stage 1 Inputs'!AQ36</f>
        <v>0</v>
      </c>
      <c r="X36" s="3">
        <f>'Stage 1 Inputs'!AR36</f>
        <v>0</v>
      </c>
      <c r="Y36" s="3">
        <f>'Stage 1 Inputs'!AS36</f>
        <v>0</v>
      </c>
      <c r="Z36" s="3">
        <f>'Stage 1 Inputs'!AT36</f>
        <v>0</v>
      </c>
      <c r="AA36" s="3">
        <f>'Stage 1 Inputs'!AU36</f>
        <v>1</v>
      </c>
      <c r="AB36" s="3">
        <f>'Stage 1 Inputs'!AV36</f>
        <v>0</v>
      </c>
      <c r="AC36" s="3">
        <f>'Stage 1 Inputs'!AW36</f>
        <v>0</v>
      </c>
      <c r="AD36" s="3" t="str">
        <f>'Stage 1 Inputs'!AX36</f>
        <v>Historical official/source data</v>
      </c>
      <c r="AE36" s="3" t="str">
        <f>'Stage 1 Inputs'!AY36</f>
        <v>No special note</v>
      </c>
    </row>
    <row r="37" spans="1:31" ht="19.95" customHeight="1" x14ac:dyDescent="0.3">
      <c r="A37" s="3" t="str">
        <f>'Stage 1 Inputs'!A37</f>
        <v>2010Q4</v>
      </c>
      <c r="B37" s="3" t="str">
        <f>'Stage 1 Inputs'!B37</f>
        <v>Dec 2010</v>
      </c>
      <c r="C37" s="17">
        <f>'Stage 1 Inputs'!G37</f>
        <v>51272000000</v>
      </c>
      <c r="D37" s="17">
        <f>'Stage 1 Inputs'!H37</f>
        <v>4373900</v>
      </c>
      <c r="E37" s="17">
        <f>'Stage 1 Inputs'!I37</f>
        <v>11722.261597201583</v>
      </c>
      <c r="F37" s="17">
        <f>'Stage 1 Inputs'!E37</f>
        <v>1058</v>
      </c>
      <c r="G37" s="17">
        <f>'Stage 1 Inputs'!F37</f>
        <v>1.4754253308128544</v>
      </c>
      <c r="H37" s="17">
        <f>'Stage 1 Inputs'!K37</f>
        <v>17295.321694925966</v>
      </c>
      <c r="I37" s="18">
        <f>'Stage 1 Inputs'!M37</f>
        <v>9.7581913216565628</v>
      </c>
      <c r="J37" s="19">
        <f>'Stage 1 Inputs'!N37</f>
        <v>184.99999990849778</v>
      </c>
      <c r="K37" s="19">
        <f>'Stage 1 Inputs'!D37</f>
        <v>1.4444444444444444</v>
      </c>
      <c r="L37" s="19">
        <f>'Stage 1 Inputs'!O37</f>
        <v>267.22222209005236</v>
      </c>
      <c r="M37" s="18">
        <f>'Stage 1 Inputs'!P37</f>
        <v>5.5880806047090354</v>
      </c>
      <c r="N37" s="3">
        <f>'Stage 1 Inputs'!T37</f>
        <v>1739.8429552879008</v>
      </c>
      <c r="O37" s="3">
        <f>'Stage 1 Inputs'!U37</f>
        <v>7609899102.13375</v>
      </c>
      <c r="P37" s="3">
        <f>'Stage 1 Inputs'!V37</f>
        <v>7.4615501325536284</v>
      </c>
      <c r="Q37" s="3">
        <f>'Stage 1 Inputs'!W37</f>
        <v>22.752715750142588</v>
      </c>
      <c r="R37" s="3">
        <f>'Stage 1 Inputs'!X37</f>
        <v>6.2</v>
      </c>
      <c r="S37" s="3">
        <f>'Stage 1 Inputs'!Y37</f>
        <v>6.2E-2</v>
      </c>
      <c r="T37" s="3">
        <f>'Stage 1 Inputs'!Z37</f>
        <v>-2.7806208939370456</v>
      </c>
      <c r="U37" s="3">
        <f>'Stage 1 Inputs'!AO37</f>
        <v>36</v>
      </c>
      <c r="V37" s="3">
        <f>'Stage 1 Inputs'!AP37</f>
        <v>3.5835189384561099</v>
      </c>
      <c r="W37" s="3">
        <f>'Stage 1 Inputs'!AQ37</f>
        <v>0</v>
      </c>
      <c r="X37" s="3">
        <f>'Stage 1 Inputs'!AR37</f>
        <v>0</v>
      </c>
      <c r="Y37" s="3">
        <f>'Stage 1 Inputs'!AS37</f>
        <v>0</v>
      </c>
      <c r="Z37" s="3">
        <f>'Stage 1 Inputs'!AT37</f>
        <v>0</v>
      </c>
      <c r="AA37" s="3">
        <f>'Stage 1 Inputs'!AU37</f>
        <v>0</v>
      </c>
      <c r="AB37" s="3">
        <f>'Stage 1 Inputs'!AV37</f>
        <v>1</v>
      </c>
      <c r="AC37" s="3">
        <f>'Stage 1 Inputs'!AW37</f>
        <v>0</v>
      </c>
      <c r="AD37" s="3" t="str">
        <f>'Stage 1 Inputs'!AX37</f>
        <v>Historical official/source data</v>
      </c>
      <c r="AE37" s="3" t="str">
        <f>'Stage 1 Inputs'!AY37</f>
        <v>No special note</v>
      </c>
    </row>
    <row r="38" spans="1:31" ht="19.95" customHeight="1" x14ac:dyDescent="0.3">
      <c r="A38" s="3" t="str">
        <f>'Stage 1 Inputs'!A38</f>
        <v>2011Q1</v>
      </c>
      <c r="B38" s="3" t="str">
        <f>'Stage 1 Inputs'!B38</f>
        <v>Mar 2011</v>
      </c>
      <c r="C38" s="17">
        <f>'Stage 1 Inputs'!G38</f>
        <v>51700000000</v>
      </c>
      <c r="D38" s="17">
        <f>'Stage 1 Inputs'!H38</f>
        <v>4382500</v>
      </c>
      <c r="E38" s="17">
        <f>'Stage 1 Inputs'!I38</f>
        <v>11796.919566457502</v>
      </c>
      <c r="F38" s="17">
        <f>'Stage 1 Inputs'!E38</f>
        <v>1049</v>
      </c>
      <c r="G38" s="17">
        <f>'Stage 1 Inputs'!F38</f>
        <v>1.4880838894184938</v>
      </c>
      <c r="H38" s="17">
        <f>'Stage 1 Inputs'!K38</f>
        <v>17554.805951611208</v>
      </c>
      <c r="I38" s="18">
        <f>'Stage 1 Inputs'!M38</f>
        <v>9.7730830348024025</v>
      </c>
      <c r="J38" s="19">
        <f>'Stage 1 Inputs'!N38</f>
        <v>203.00000005374679</v>
      </c>
      <c r="K38" s="19">
        <f>'Stage 1 Inputs'!D38</f>
        <v>1.4320855614973262</v>
      </c>
      <c r="L38" s="19">
        <f>'Stage 1 Inputs'!O38</f>
        <v>290.71336906092722</v>
      </c>
      <c r="M38" s="18">
        <f>'Stage 1 Inputs'!P38</f>
        <v>5.6723377957090353</v>
      </c>
      <c r="N38" s="3">
        <f>'Stage 1 Inputs'!T38</f>
        <v>1704.6112249131222</v>
      </c>
      <c r="O38" s="3">
        <f>'Stage 1 Inputs'!U38</f>
        <v>7470458693.1817579</v>
      </c>
      <c r="P38" s="3">
        <f>'Stage 1 Inputs'!V38</f>
        <v>7.4410923431381581</v>
      </c>
      <c r="Q38" s="3">
        <f>'Stage 1 Inputs'!W38</f>
        <v>22.734222238915684</v>
      </c>
      <c r="R38" s="3">
        <f>'Stage 1 Inputs'!X38</f>
        <v>6</v>
      </c>
      <c r="S38" s="3">
        <f>'Stage 1 Inputs'!Y38</f>
        <v>0.06</v>
      </c>
      <c r="T38" s="3">
        <f>'Stage 1 Inputs'!Z38</f>
        <v>-2.8134107167600364</v>
      </c>
      <c r="U38" s="3">
        <f>'Stage 1 Inputs'!AO38</f>
        <v>37</v>
      </c>
      <c r="V38" s="3">
        <f>'Stage 1 Inputs'!AP38</f>
        <v>3.6109179126442243</v>
      </c>
      <c r="W38" s="3">
        <f>'Stage 1 Inputs'!AQ38</f>
        <v>0</v>
      </c>
      <c r="X38" s="3">
        <f>'Stage 1 Inputs'!AR38</f>
        <v>0</v>
      </c>
      <c r="Y38" s="3">
        <f>'Stage 1 Inputs'!AS38</f>
        <v>0</v>
      </c>
      <c r="Z38" s="3">
        <f>'Stage 1 Inputs'!AT38</f>
        <v>0</v>
      </c>
      <c r="AA38" s="3">
        <f>'Stage 1 Inputs'!AU38</f>
        <v>0</v>
      </c>
      <c r="AB38" s="3">
        <f>'Stage 1 Inputs'!AV38</f>
        <v>0</v>
      </c>
      <c r="AC38" s="3">
        <f>'Stage 1 Inputs'!AW38</f>
        <v>0</v>
      </c>
      <c r="AD38" s="3" t="str">
        <f>'Stage 1 Inputs'!AX38</f>
        <v>Historical official/source data</v>
      </c>
      <c r="AE38" s="3" t="str">
        <f>'Stage 1 Inputs'!AY38</f>
        <v>No special note</v>
      </c>
    </row>
    <row r="39" spans="1:31" ht="19.95" customHeight="1" x14ac:dyDescent="0.3">
      <c r="A39" s="3" t="str">
        <f>'Stage 1 Inputs'!A39</f>
        <v>2011Q2</v>
      </c>
      <c r="B39" s="3" t="str">
        <f>'Stage 1 Inputs'!B39</f>
        <v>Jun 2011</v>
      </c>
      <c r="C39" s="17">
        <f>'Stage 1 Inputs'!G39</f>
        <v>52555000000</v>
      </c>
      <c r="D39" s="17">
        <f>'Stage 1 Inputs'!H39</f>
        <v>4384000</v>
      </c>
      <c r="E39" s="17">
        <f>'Stage 1 Inputs'!I39</f>
        <v>11987.910583941606</v>
      </c>
      <c r="F39" s="17">
        <f>'Stage 1 Inputs'!E39</f>
        <v>1057</v>
      </c>
      <c r="G39" s="17">
        <f>'Stage 1 Inputs'!F39</f>
        <v>1.4768211920529801</v>
      </c>
      <c r="H39" s="17">
        <f>'Stage 1 Inputs'!K39</f>
        <v>17704.000398801181</v>
      </c>
      <c r="I39" s="18">
        <f>'Stage 1 Inputs'!M39</f>
        <v>9.7815459042569355</v>
      </c>
      <c r="J39" s="19">
        <f>'Stage 1 Inputs'!N39</f>
        <v>211.10000006524868</v>
      </c>
      <c r="K39" s="19">
        <f>'Stage 1 Inputs'!D39</f>
        <v>1.4184322033898304</v>
      </c>
      <c r="L39" s="19">
        <f>'Stage 1 Inputs'!O39</f>
        <v>299.43103822814402</v>
      </c>
      <c r="M39" s="18">
        <f>'Stage 1 Inputs'!P39</f>
        <v>5.7018841347090357</v>
      </c>
      <c r="N39" s="3">
        <f>'Stage 1 Inputs'!T39</f>
        <v>1677.9137030119796</v>
      </c>
      <c r="O39" s="3">
        <f>'Stage 1 Inputs'!U39</f>
        <v>7355973674.0045185</v>
      </c>
      <c r="P39" s="3">
        <f>'Stage 1 Inputs'!V39</f>
        <v>7.4253064572255081</v>
      </c>
      <c r="Q39" s="3">
        <f>'Stage 1 Inputs'!W39</f>
        <v>22.718778564835496</v>
      </c>
      <c r="R39" s="3">
        <f>'Stage 1 Inputs'!X39</f>
        <v>6.1</v>
      </c>
      <c r="S39" s="3">
        <f>'Stage 1 Inputs'!Y39</f>
        <v>6.0999999999999999E-2</v>
      </c>
      <c r="T39" s="3">
        <f>'Stage 1 Inputs'!Z39</f>
        <v>-2.7968814148088259</v>
      </c>
      <c r="U39" s="3">
        <f>'Stage 1 Inputs'!AO39</f>
        <v>38</v>
      </c>
      <c r="V39" s="3">
        <f>'Stage 1 Inputs'!AP39</f>
        <v>3.6375861597263857</v>
      </c>
      <c r="W39" s="3">
        <f>'Stage 1 Inputs'!AQ39</f>
        <v>0</v>
      </c>
      <c r="X39" s="3">
        <f>'Stage 1 Inputs'!AR39</f>
        <v>0</v>
      </c>
      <c r="Y39" s="3">
        <f>'Stage 1 Inputs'!AS39</f>
        <v>0</v>
      </c>
      <c r="Z39" s="3">
        <f>'Stage 1 Inputs'!AT39</f>
        <v>1</v>
      </c>
      <c r="AA39" s="3">
        <f>'Stage 1 Inputs'!AU39</f>
        <v>0</v>
      </c>
      <c r="AB39" s="3">
        <f>'Stage 1 Inputs'!AV39</f>
        <v>0</v>
      </c>
      <c r="AC39" s="3">
        <f>'Stage 1 Inputs'!AW39</f>
        <v>0</v>
      </c>
      <c r="AD39" s="3" t="str">
        <f>'Stage 1 Inputs'!AX39</f>
        <v>Historical official/source data</v>
      </c>
      <c r="AE39" s="3" t="str">
        <f>'Stage 1 Inputs'!AY39</f>
        <v>No special note</v>
      </c>
    </row>
    <row r="40" spans="1:31" ht="19.95" customHeight="1" x14ac:dyDescent="0.3">
      <c r="A40" s="3" t="str">
        <f>'Stage 1 Inputs'!A40</f>
        <v>2011Q3</v>
      </c>
      <c r="B40" s="3" t="str">
        <f>'Stage 1 Inputs'!B40</f>
        <v>Sep 2011</v>
      </c>
      <c r="C40" s="17">
        <f>'Stage 1 Inputs'!G40</f>
        <v>53351000000</v>
      </c>
      <c r="D40" s="17">
        <f>'Stage 1 Inputs'!H40</f>
        <v>4392000</v>
      </c>
      <c r="E40" s="17">
        <f>'Stage 1 Inputs'!I40</f>
        <v>12147.313296903461</v>
      </c>
      <c r="F40" s="17">
        <f>'Stage 1 Inputs'!E40</f>
        <v>1062</v>
      </c>
      <c r="G40" s="17">
        <f>'Stage 1 Inputs'!F40</f>
        <v>1.4698681732580037</v>
      </c>
      <c r="H40" s="17">
        <f>'Stage 1 Inputs'!K40</f>
        <v>17854.949205712146</v>
      </c>
      <c r="I40" s="18">
        <f>'Stage 1 Inputs'!M40</f>
        <v>9.7900360152030039</v>
      </c>
      <c r="J40" s="19">
        <f>'Stage 1 Inputs'!N40</f>
        <v>203.80000009869221</v>
      </c>
      <c r="K40" s="19">
        <f>'Stage 1 Inputs'!D40</f>
        <v>1.4124472573839661</v>
      </c>
      <c r="L40" s="19">
        <f>'Stage 1 Inputs'!O40</f>
        <v>287.85675119424985</v>
      </c>
      <c r="M40" s="18">
        <f>'Stage 1 Inputs'!P40</f>
        <v>5.662462964709035</v>
      </c>
      <c r="N40" s="3">
        <f>'Stage 1 Inputs'!T40</f>
        <v>1672.8913372940951</v>
      </c>
      <c r="O40" s="3">
        <f>'Stage 1 Inputs'!U40</f>
        <v>7347338753.3956661</v>
      </c>
      <c r="P40" s="3">
        <f>'Stage 1 Inputs'!V40</f>
        <v>7.4223087480669658</v>
      </c>
      <c r="Q40" s="3">
        <f>'Stage 1 Inputs'!W40</f>
        <v>22.717604010238468</v>
      </c>
      <c r="R40" s="3">
        <f>'Stage 1 Inputs'!X40</f>
        <v>6</v>
      </c>
      <c r="S40" s="3">
        <f>'Stage 1 Inputs'!Y40</f>
        <v>0.06</v>
      </c>
      <c r="T40" s="3">
        <f>'Stage 1 Inputs'!Z40</f>
        <v>-2.8134107167600364</v>
      </c>
      <c r="U40" s="3">
        <f>'Stage 1 Inputs'!AO40</f>
        <v>39</v>
      </c>
      <c r="V40" s="3">
        <f>'Stage 1 Inputs'!AP40</f>
        <v>3.6635616461296463</v>
      </c>
      <c r="W40" s="3">
        <f>'Stage 1 Inputs'!AQ40</f>
        <v>0</v>
      </c>
      <c r="X40" s="3">
        <f>'Stage 1 Inputs'!AR40</f>
        <v>0</v>
      </c>
      <c r="Y40" s="3">
        <f>'Stage 1 Inputs'!AS40</f>
        <v>0</v>
      </c>
      <c r="Z40" s="3">
        <f>'Stage 1 Inputs'!AT40</f>
        <v>0</v>
      </c>
      <c r="AA40" s="3">
        <f>'Stage 1 Inputs'!AU40</f>
        <v>1</v>
      </c>
      <c r="AB40" s="3">
        <f>'Stage 1 Inputs'!AV40</f>
        <v>0</v>
      </c>
      <c r="AC40" s="3">
        <f>'Stage 1 Inputs'!AW40</f>
        <v>0</v>
      </c>
      <c r="AD40" s="3" t="str">
        <f>'Stage 1 Inputs'!AX40</f>
        <v>Historical official/source data</v>
      </c>
      <c r="AE40" s="3" t="str">
        <f>'Stage 1 Inputs'!AY40</f>
        <v>No special note</v>
      </c>
    </row>
    <row r="41" spans="1:31" ht="19.95" customHeight="1" x14ac:dyDescent="0.3">
      <c r="A41" s="3" t="str">
        <f>'Stage 1 Inputs'!A41</f>
        <v>2011Q4</v>
      </c>
      <c r="B41" s="3" t="str">
        <f>'Stage 1 Inputs'!B41</f>
        <v>Dec 2011</v>
      </c>
      <c r="C41" s="17">
        <f>'Stage 1 Inputs'!G41</f>
        <v>53656000000</v>
      </c>
      <c r="D41" s="17">
        <f>'Stage 1 Inputs'!H41</f>
        <v>4399400</v>
      </c>
      <c r="E41" s="17">
        <f>'Stage 1 Inputs'!I41</f>
        <v>12196.20857389644</v>
      </c>
      <c r="F41" s="17">
        <f>'Stage 1 Inputs'!E41</f>
        <v>1059</v>
      </c>
      <c r="G41" s="17">
        <f>'Stage 1 Inputs'!F41</f>
        <v>1.4740321057601511</v>
      </c>
      <c r="H41" s="17">
        <f>'Stage 1 Inputs'!K41</f>
        <v>17977.603006470581</v>
      </c>
      <c r="I41" s="18">
        <f>'Stage 1 Inputs'!M41</f>
        <v>9.7968819847041129</v>
      </c>
      <c r="J41" s="19">
        <f>'Stage 1 Inputs'!N41</f>
        <v>205.49999991272753</v>
      </c>
      <c r="K41" s="19">
        <f>'Stage 1 Inputs'!D41</f>
        <v>1.4169312169312169</v>
      </c>
      <c r="L41" s="19">
        <f>'Stage 1 Inputs'!O41</f>
        <v>291.17936495570598</v>
      </c>
      <c r="M41" s="18">
        <f>'Stage 1 Inputs'!P41</f>
        <v>5.6739394517090354</v>
      </c>
      <c r="N41" s="3">
        <f>'Stage 1 Inputs'!T41</f>
        <v>1698.9024596700424</v>
      </c>
      <c r="O41" s="3">
        <f>'Stage 1 Inputs'!U41</f>
        <v>7474151481.0723848</v>
      </c>
      <c r="P41" s="3">
        <f>'Stage 1 Inputs'!V41</f>
        <v>7.4377377095883643</v>
      </c>
      <c r="Q41" s="3">
        <f>'Stage 1 Inputs'!W41</f>
        <v>22.734716435542126</v>
      </c>
      <c r="R41" s="3">
        <f>'Stage 1 Inputs'!X41</f>
        <v>6.1</v>
      </c>
      <c r="S41" s="3">
        <f>'Stage 1 Inputs'!Y41</f>
        <v>6.0999999999999999E-2</v>
      </c>
      <c r="T41" s="3">
        <f>'Stage 1 Inputs'!Z41</f>
        <v>-2.7968814148088259</v>
      </c>
      <c r="U41" s="3">
        <f>'Stage 1 Inputs'!AO41</f>
        <v>40</v>
      </c>
      <c r="V41" s="3">
        <f>'Stage 1 Inputs'!AP41</f>
        <v>3.6888794541139363</v>
      </c>
      <c r="W41" s="3">
        <f>'Stage 1 Inputs'!AQ41</f>
        <v>0</v>
      </c>
      <c r="X41" s="3">
        <f>'Stage 1 Inputs'!AR41</f>
        <v>0</v>
      </c>
      <c r="Y41" s="3">
        <f>'Stage 1 Inputs'!AS41</f>
        <v>0</v>
      </c>
      <c r="Z41" s="3">
        <f>'Stage 1 Inputs'!AT41</f>
        <v>0</v>
      </c>
      <c r="AA41" s="3">
        <f>'Stage 1 Inputs'!AU41</f>
        <v>0</v>
      </c>
      <c r="AB41" s="3">
        <f>'Stage 1 Inputs'!AV41</f>
        <v>1</v>
      </c>
      <c r="AC41" s="3">
        <f>'Stage 1 Inputs'!AW41</f>
        <v>0</v>
      </c>
      <c r="AD41" s="3" t="str">
        <f>'Stage 1 Inputs'!AX41</f>
        <v>Historical official/source data</v>
      </c>
      <c r="AE41" s="3" t="str">
        <f>'Stage 1 Inputs'!AY41</f>
        <v>No special note</v>
      </c>
    </row>
    <row r="42" spans="1:31" ht="19.95" customHeight="1" x14ac:dyDescent="0.3">
      <c r="A42" s="3" t="str">
        <f>'Stage 1 Inputs'!A42</f>
        <v>2012Q1</v>
      </c>
      <c r="B42" s="3" t="str">
        <f>'Stage 1 Inputs'!B42</f>
        <v>Mar 2012</v>
      </c>
      <c r="C42" s="17">
        <f>'Stage 1 Inputs'!G42</f>
        <v>53651000000</v>
      </c>
      <c r="D42" s="17">
        <f>'Stage 1 Inputs'!H42</f>
        <v>4406500</v>
      </c>
      <c r="E42" s="17">
        <f>'Stage 1 Inputs'!I42</f>
        <v>12175.422671054124</v>
      </c>
      <c r="F42" s="17">
        <f>'Stage 1 Inputs'!E42</f>
        <v>1057</v>
      </c>
      <c r="G42" s="17">
        <f>'Stage 1 Inputs'!F42</f>
        <v>1.4768211920529801</v>
      </c>
      <c r="H42" s="17">
        <f>'Stage 1 Inputs'!K42</f>
        <v>17980.922222815032</v>
      </c>
      <c r="I42" s="18">
        <f>'Stage 1 Inputs'!M42</f>
        <v>9.7970665983017344</v>
      </c>
      <c r="J42" s="19">
        <f>'Stage 1 Inputs'!N42</f>
        <v>210.29999998299454</v>
      </c>
      <c r="K42" s="19">
        <f>'Stage 1 Inputs'!D42</f>
        <v>1.4109589041095891</v>
      </c>
      <c r="L42" s="19">
        <f>'Stage 1 Inputs'!O42</f>
        <v>296.7246575102526</v>
      </c>
      <c r="M42" s="18">
        <f>'Stage 1 Inputs'!P42</f>
        <v>5.6928046297090358</v>
      </c>
      <c r="N42" s="3">
        <f>'Stage 1 Inputs'!T42</f>
        <v>1689.2367433390675</v>
      </c>
      <c r="O42" s="3">
        <f>'Stage 1 Inputs'!U42</f>
        <v>7443621709.5236006</v>
      </c>
      <c r="P42" s="3">
        <f>'Stage 1 Inputs'!V42</f>
        <v>7.4320320747407349</v>
      </c>
      <c r="Q42" s="3">
        <f>'Stage 1 Inputs'!W42</f>
        <v>22.730623356262587</v>
      </c>
      <c r="R42" s="3">
        <f>'Stage 1 Inputs'!X42</f>
        <v>6.4</v>
      </c>
      <c r="S42" s="3">
        <f>'Stage 1 Inputs'!Y42</f>
        <v>6.4000000000000001E-2</v>
      </c>
      <c r="T42" s="3">
        <f>'Stage 1 Inputs'!Z42</f>
        <v>-2.7488721956224653</v>
      </c>
      <c r="U42" s="3">
        <f>'Stage 1 Inputs'!AO42</f>
        <v>41</v>
      </c>
      <c r="V42" s="3">
        <f>'Stage 1 Inputs'!AP42</f>
        <v>3.713572066704308</v>
      </c>
      <c r="W42" s="3">
        <f>'Stage 1 Inputs'!AQ42</f>
        <v>1</v>
      </c>
      <c r="X42" s="3">
        <f>'Stage 1 Inputs'!AR42</f>
        <v>0</v>
      </c>
      <c r="Y42" s="3">
        <f>'Stage 1 Inputs'!AS42</f>
        <v>0</v>
      </c>
      <c r="Z42" s="3">
        <f>'Stage 1 Inputs'!AT42</f>
        <v>0</v>
      </c>
      <c r="AA42" s="3">
        <f>'Stage 1 Inputs'!AU42</f>
        <v>0</v>
      </c>
      <c r="AB42" s="3">
        <f>'Stage 1 Inputs'!AV42</f>
        <v>0</v>
      </c>
      <c r="AC42" s="3">
        <f>'Stage 1 Inputs'!AW42</f>
        <v>3.713572066704308</v>
      </c>
      <c r="AD42" s="3" t="str">
        <f>'Stage 1 Inputs'!AX42</f>
        <v>Historical official/source data</v>
      </c>
      <c r="AE42" s="3" t="str">
        <f>'Stage 1 Inputs'!AY42</f>
        <v>No special note</v>
      </c>
    </row>
    <row r="43" spans="1:31" ht="19.95" customHeight="1" x14ac:dyDescent="0.3">
      <c r="A43" s="3" t="str">
        <f>'Stage 1 Inputs'!A43</f>
        <v>2012Q2</v>
      </c>
      <c r="B43" s="3" t="str">
        <f>'Stage 1 Inputs'!B43</f>
        <v>Jun 2012</v>
      </c>
      <c r="C43" s="17">
        <f>'Stage 1 Inputs'!G43</f>
        <v>54500000000</v>
      </c>
      <c r="D43" s="17">
        <f>'Stage 1 Inputs'!H43</f>
        <v>4408100</v>
      </c>
      <c r="E43" s="17">
        <f>'Stage 1 Inputs'!I43</f>
        <v>12363.603366529798</v>
      </c>
      <c r="F43" s="17">
        <f>'Stage 1 Inputs'!E43</f>
        <v>1067</v>
      </c>
      <c r="G43" s="17">
        <f>'Stage 1 Inputs'!F43</f>
        <v>1.4629803186504218</v>
      </c>
      <c r="H43" s="17">
        <f>'Stage 1 Inputs'!K43</f>
        <v>18087.708392833189</v>
      </c>
      <c r="I43" s="18">
        <f>'Stage 1 Inputs'!M43</f>
        <v>9.8029878922463158</v>
      </c>
      <c r="J43" s="19">
        <f>'Stage 1 Inputs'!N43</f>
        <v>211.09999996153559</v>
      </c>
      <c r="K43" s="19">
        <f>'Stage 1 Inputs'!D43</f>
        <v>1.4050367261280168</v>
      </c>
      <c r="L43" s="19">
        <f>'Stage 1 Inputs'!O43</f>
        <v>296.60325283158045</v>
      </c>
      <c r="M43" s="18">
        <f>'Stage 1 Inputs'!P43</f>
        <v>5.6923953967090357</v>
      </c>
      <c r="N43" s="3">
        <f>'Stage 1 Inputs'!T43</f>
        <v>1654.1635383056077</v>
      </c>
      <c r="O43" s="3">
        <f>'Stage 1 Inputs'!U43</f>
        <v>7291718293.2049494</v>
      </c>
      <c r="P43" s="3">
        <f>'Stage 1 Inputs'!V43</f>
        <v>7.4110507451249079</v>
      </c>
      <c r="Q43" s="3">
        <f>'Stage 1 Inputs'!W43</f>
        <v>22.710005060707878</v>
      </c>
      <c r="R43" s="3">
        <f>'Stage 1 Inputs'!X43</f>
        <v>6.4</v>
      </c>
      <c r="S43" s="3">
        <f>'Stage 1 Inputs'!Y43</f>
        <v>6.4000000000000001E-2</v>
      </c>
      <c r="T43" s="3">
        <f>'Stage 1 Inputs'!Z43</f>
        <v>-2.7488721956224653</v>
      </c>
      <c r="U43" s="3">
        <f>'Stage 1 Inputs'!AO43</f>
        <v>42</v>
      </c>
      <c r="V43" s="3">
        <f>'Stage 1 Inputs'!AP43</f>
        <v>3.7376696182833684</v>
      </c>
      <c r="W43" s="3">
        <f>'Stage 1 Inputs'!AQ43</f>
        <v>1</v>
      </c>
      <c r="X43" s="3">
        <f>'Stage 1 Inputs'!AR43</f>
        <v>0</v>
      </c>
      <c r="Y43" s="3">
        <f>'Stage 1 Inputs'!AS43</f>
        <v>0</v>
      </c>
      <c r="Z43" s="3">
        <f>'Stage 1 Inputs'!AT43</f>
        <v>1</v>
      </c>
      <c r="AA43" s="3">
        <f>'Stage 1 Inputs'!AU43</f>
        <v>0</v>
      </c>
      <c r="AB43" s="3">
        <f>'Stage 1 Inputs'!AV43</f>
        <v>0</v>
      </c>
      <c r="AC43" s="3">
        <f>'Stage 1 Inputs'!AW43</f>
        <v>3.7376696182833684</v>
      </c>
      <c r="AD43" s="3" t="str">
        <f>'Stage 1 Inputs'!AX43</f>
        <v>Historical official/source data</v>
      </c>
      <c r="AE43" s="3" t="str">
        <f>'Stage 1 Inputs'!AY43</f>
        <v>No special note</v>
      </c>
    </row>
    <row r="44" spans="1:31" ht="19.95" customHeight="1" x14ac:dyDescent="0.3">
      <c r="A44" s="3" t="str">
        <f>'Stage 1 Inputs'!A44</f>
        <v>2012Q3</v>
      </c>
      <c r="B44" s="3" t="str">
        <f>'Stage 1 Inputs'!B44</f>
        <v>Sep 2012</v>
      </c>
      <c r="C44" s="17">
        <f>'Stage 1 Inputs'!G44</f>
        <v>54003000000</v>
      </c>
      <c r="D44" s="17">
        <f>'Stage 1 Inputs'!H44</f>
        <v>4415600</v>
      </c>
      <c r="E44" s="17">
        <f>'Stage 1 Inputs'!I44</f>
        <v>12230.048011595252</v>
      </c>
      <c r="F44" s="17">
        <f>'Stage 1 Inputs'!E44</f>
        <v>1051</v>
      </c>
      <c r="G44" s="17">
        <f>'Stage 1 Inputs'!F44</f>
        <v>1.4852521408182684</v>
      </c>
      <c r="H44" s="17">
        <f>'Stage 1 Inputs'!K44</f>
        <v>18164.704991532057</v>
      </c>
      <c r="I44" s="18">
        <f>'Stage 1 Inputs'!M44</f>
        <v>9.8072357040352358</v>
      </c>
      <c r="J44" s="19">
        <f>'Stage 1 Inputs'!N44</f>
        <v>208.99999990256049</v>
      </c>
      <c r="K44" s="19">
        <f>'Stage 1 Inputs'!D44</f>
        <v>1.4020942408376964</v>
      </c>
      <c r="L44" s="19">
        <f>'Stage 1 Inputs'!O44</f>
        <v>293.03769619845917</v>
      </c>
      <c r="M44" s="18">
        <f>'Stage 1 Inputs'!P44</f>
        <v>5.6803012567090354</v>
      </c>
      <c r="N44" s="3">
        <f>'Stage 1 Inputs'!T44</f>
        <v>1656.6797661729249</v>
      </c>
      <c r="O44" s="3">
        <f>'Stage 1 Inputs'!U44</f>
        <v>7315235175.5131674</v>
      </c>
      <c r="P44" s="3">
        <f>'Stage 1 Inputs'!V44</f>
        <v>7.4125707375379379</v>
      </c>
      <c r="Q44" s="3">
        <f>'Stage 1 Inputs'!W44</f>
        <v>22.713225020664272</v>
      </c>
      <c r="R44" s="3">
        <f>'Stage 1 Inputs'!X44</f>
        <v>6.7</v>
      </c>
      <c r="S44" s="3">
        <f>'Stage 1 Inputs'!Y44</f>
        <v>6.7000000000000004E-2</v>
      </c>
      <c r="T44" s="3">
        <f>'Stage 1 Inputs'!Z44</f>
        <v>-2.7030626595911711</v>
      </c>
      <c r="U44" s="3">
        <f>'Stage 1 Inputs'!AO44</f>
        <v>43</v>
      </c>
      <c r="V44" s="3">
        <f>'Stage 1 Inputs'!AP44</f>
        <v>3.7612001156935624</v>
      </c>
      <c r="W44" s="3">
        <f>'Stage 1 Inputs'!AQ44</f>
        <v>1</v>
      </c>
      <c r="X44" s="3">
        <f>'Stage 1 Inputs'!AR44</f>
        <v>0</v>
      </c>
      <c r="Y44" s="3">
        <f>'Stage 1 Inputs'!AS44</f>
        <v>0</v>
      </c>
      <c r="Z44" s="3">
        <f>'Stage 1 Inputs'!AT44</f>
        <v>0</v>
      </c>
      <c r="AA44" s="3">
        <f>'Stage 1 Inputs'!AU44</f>
        <v>1</v>
      </c>
      <c r="AB44" s="3">
        <f>'Stage 1 Inputs'!AV44</f>
        <v>0</v>
      </c>
      <c r="AC44" s="3">
        <f>'Stage 1 Inputs'!AW44</f>
        <v>3.7612001156935624</v>
      </c>
      <c r="AD44" s="3" t="str">
        <f>'Stage 1 Inputs'!AX44</f>
        <v>Historical official/source data</v>
      </c>
      <c r="AE44" s="3" t="str">
        <f>'Stage 1 Inputs'!AY44</f>
        <v>No special note</v>
      </c>
    </row>
    <row r="45" spans="1:31" ht="19.95" customHeight="1" x14ac:dyDescent="0.3">
      <c r="A45" s="3" t="str">
        <f>'Stage 1 Inputs'!A45</f>
        <v>2012Q4</v>
      </c>
      <c r="B45" s="3" t="str">
        <f>'Stage 1 Inputs'!B45</f>
        <v>Dec 2012</v>
      </c>
      <c r="C45" s="17">
        <f>'Stage 1 Inputs'!G45</f>
        <v>54148000000</v>
      </c>
      <c r="D45" s="17">
        <f>'Stage 1 Inputs'!H45</f>
        <v>4425900</v>
      </c>
      <c r="E45" s="17">
        <f>'Stage 1 Inputs'!I45</f>
        <v>12234.347816263358</v>
      </c>
      <c r="F45" s="17">
        <f>'Stage 1 Inputs'!E45</f>
        <v>1042</v>
      </c>
      <c r="G45" s="17">
        <f>'Stage 1 Inputs'!F45</f>
        <v>1.4980806142034548</v>
      </c>
      <c r="H45" s="17">
        <f>'Stage 1 Inputs'!K45</f>
        <v>18328.03929096651</v>
      </c>
      <c r="I45" s="18">
        <f>'Stage 1 Inputs'!M45</f>
        <v>9.8161873678983032</v>
      </c>
      <c r="J45" s="19">
        <f>'Stage 1 Inputs'!N45</f>
        <v>207.20000001674623</v>
      </c>
      <c r="K45" s="19">
        <f>'Stage 1 Inputs'!D45</f>
        <v>1.4035639412997905</v>
      </c>
      <c r="L45" s="19">
        <f>'Stage 1 Inputs'!O45</f>
        <v>290.81844866082099</v>
      </c>
      <c r="M45" s="18">
        <f>'Stage 1 Inputs'!P45</f>
        <v>5.6726991847090353</v>
      </c>
      <c r="N45" s="3">
        <f>'Stage 1 Inputs'!T45</f>
        <v>1691.5758481338778</v>
      </c>
      <c r="O45" s="3">
        <f>'Stage 1 Inputs'!U45</f>
        <v>7486745546.2557297</v>
      </c>
      <c r="P45" s="3">
        <f>'Stage 1 Inputs'!V45</f>
        <v>7.4334158279685525</v>
      </c>
      <c r="Q45" s="3">
        <f>'Stage 1 Inputs'!W45</f>
        <v>22.736400033542321</v>
      </c>
      <c r="R45" s="3">
        <f>'Stage 1 Inputs'!X45</f>
        <v>6.3</v>
      </c>
      <c r="S45" s="3">
        <f>'Stage 1 Inputs'!Y45</f>
        <v>6.3E-2</v>
      </c>
      <c r="T45" s="3">
        <f>'Stage 1 Inputs'!Z45</f>
        <v>-2.7646205525906042</v>
      </c>
      <c r="U45" s="3">
        <f>'Stage 1 Inputs'!AO45</f>
        <v>44</v>
      </c>
      <c r="V45" s="3">
        <f>'Stage 1 Inputs'!AP45</f>
        <v>3.784189633918261</v>
      </c>
      <c r="W45" s="3">
        <f>'Stage 1 Inputs'!AQ45</f>
        <v>1</v>
      </c>
      <c r="X45" s="3">
        <f>'Stage 1 Inputs'!AR45</f>
        <v>0</v>
      </c>
      <c r="Y45" s="3">
        <f>'Stage 1 Inputs'!AS45</f>
        <v>0</v>
      </c>
      <c r="Z45" s="3">
        <f>'Stage 1 Inputs'!AT45</f>
        <v>0</v>
      </c>
      <c r="AA45" s="3">
        <f>'Stage 1 Inputs'!AU45</f>
        <v>0</v>
      </c>
      <c r="AB45" s="3">
        <f>'Stage 1 Inputs'!AV45</f>
        <v>1</v>
      </c>
      <c r="AC45" s="3">
        <f>'Stage 1 Inputs'!AW45</f>
        <v>3.784189633918261</v>
      </c>
      <c r="AD45" s="3" t="str">
        <f>'Stage 1 Inputs'!AX45</f>
        <v>Historical official/source data</v>
      </c>
      <c r="AE45" s="3" t="str">
        <f>'Stage 1 Inputs'!AY45</f>
        <v>No special note</v>
      </c>
    </row>
    <row r="46" spans="1:31" ht="19.95" customHeight="1" x14ac:dyDescent="0.3">
      <c r="A46" s="3" t="str">
        <f>'Stage 1 Inputs'!A46</f>
        <v>2013Q1</v>
      </c>
      <c r="B46" s="3" t="str">
        <f>'Stage 1 Inputs'!B46</f>
        <v>Mar 2013</v>
      </c>
      <c r="C46" s="17">
        <f>'Stage 1 Inputs'!G46</f>
        <v>55225000000</v>
      </c>
      <c r="D46" s="17">
        <f>'Stage 1 Inputs'!H46</f>
        <v>4436000</v>
      </c>
      <c r="E46" s="17">
        <f>'Stage 1 Inputs'!I46</f>
        <v>12449.278629395852</v>
      </c>
      <c r="F46" s="17">
        <f>'Stage 1 Inputs'!E46</f>
        <v>1057</v>
      </c>
      <c r="G46" s="17">
        <f>'Stage 1 Inputs'!F46</f>
        <v>1.4768211920529801</v>
      </c>
      <c r="H46" s="17">
        <f>'Stage 1 Inputs'!K46</f>
        <v>18385.358505664073</v>
      </c>
      <c r="I46" s="18">
        <f>'Stage 1 Inputs'!M46</f>
        <v>9.8193098934453911</v>
      </c>
      <c r="J46" s="19">
        <f>'Stage 1 Inputs'!N46</f>
        <v>210.49999997185341</v>
      </c>
      <c r="K46" s="19">
        <f>'Stage 1 Inputs'!D46</f>
        <v>1.3977035490605427</v>
      </c>
      <c r="L46" s="19">
        <f>'Stage 1 Inputs'!O46</f>
        <v>294.21659703790368</v>
      </c>
      <c r="M46" s="18">
        <f>'Stage 1 Inputs'!P46</f>
        <v>5.684316220709035</v>
      </c>
      <c r="N46" s="3">
        <f>'Stage 1 Inputs'!T46</f>
        <v>1669.1066240363002</v>
      </c>
      <c r="O46" s="3">
        <f>'Stage 1 Inputs'!U46</f>
        <v>7404156984.225028</v>
      </c>
      <c r="P46" s="3">
        <f>'Stage 1 Inputs'!V46</f>
        <v>7.420043806604081</v>
      </c>
      <c r="Q46" s="3">
        <f>'Stage 1 Inputs'!W46</f>
        <v>22.725307434056475</v>
      </c>
      <c r="R46" s="3">
        <f>'Stage 1 Inputs'!X46</f>
        <v>5.8</v>
      </c>
      <c r="S46" s="3">
        <f>'Stage 1 Inputs'!Y46</f>
        <v>5.7999999999999996E-2</v>
      </c>
      <c r="T46" s="3">
        <f>'Stage 1 Inputs'!Z46</f>
        <v>-2.8473122684357177</v>
      </c>
      <c r="U46" s="3">
        <f>'Stage 1 Inputs'!AO46</f>
        <v>45</v>
      </c>
      <c r="V46" s="3">
        <f>'Stage 1 Inputs'!AP46</f>
        <v>3.8066624897703196</v>
      </c>
      <c r="W46" s="3">
        <f>'Stage 1 Inputs'!AQ46</f>
        <v>1</v>
      </c>
      <c r="X46" s="3">
        <f>'Stage 1 Inputs'!AR46</f>
        <v>0</v>
      </c>
      <c r="Y46" s="3">
        <f>'Stage 1 Inputs'!AS46</f>
        <v>0</v>
      </c>
      <c r="Z46" s="3">
        <f>'Stage 1 Inputs'!AT46</f>
        <v>0</v>
      </c>
      <c r="AA46" s="3">
        <f>'Stage 1 Inputs'!AU46</f>
        <v>0</v>
      </c>
      <c r="AB46" s="3">
        <f>'Stage 1 Inputs'!AV46</f>
        <v>0</v>
      </c>
      <c r="AC46" s="3">
        <f>'Stage 1 Inputs'!AW46</f>
        <v>3.8066624897703196</v>
      </c>
      <c r="AD46" s="3" t="str">
        <f>'Stage 1 Inputs'!AX46</f>
        <v>Historical official/source data</v>
      </c>
      <c r="AE46" s="3" t="str">
        <f>'Stage 1 Inputs'!AY46</f>
        <v>No special note</v>
      </c>
    </row>
    <row r="47" spans="1:31" ht="19.95" customHeight="1" x14ac:dyDescent="0.3">
      <c r="A47" s="3" t="str">
        <f>'Stage 1 Inputs'!A47</f>
        <v>2013Q2</v>
      </c>
      <c r="B47" s="3" t="str">
        <f>'Stage 1 Inputs'!B47</f>
        <v>Jun 2013</v>
      </c>
      <c r="C47" s="17">
        <f>'Stage 1 Inputs'!G47</f>
        <v>55741000000</v>
      </c>
      <c r="D47" s="17">
        <f>'Stage 1 Inputs'!H47</f>
        <v>4442100</v>
      </c>
      <c r="E47" s="17">
        <f>'Stage 1 Inputs'!I47</f>
        <v>12548.344251592714</v>
      </c>
      <c r="F47" s="17">
        <f>'Stage 1 Inputs'!E47</f>
        <v>1072</v>
      </c>
      <c r="G47" s="17">
        <f>'Stage 1 Inputs'!F47</f>
        <v>1.4561567164179106</v>
      </c>
      <c r="H47" s="17">
        <f>'Stage 1 Inputs'!K47</f>
        <v>18272.355761880812</v>
      </c>
      <c r="I47" s="18">
        <f>'Stage 1 Inputs'!M47</f>
        <v>9.8131445825967969</v>
      </c>
      <c r="J47" s="19">
        <f>'Stage 1 Inputs'!N47</f>
        <v>205.09999996369038</v>
      </c>
      <c r="K47" s="19">
        <f>'Stage 1 Inputs'!D47</f>
        <v>1.3962460896767466</v>
      </c>
      <c r="L47" s="19">
        <f>'Stage 1 Inputs'!O47</f>
        <v>286.37007294200356</v>
      </c>
      <c r="M47" s="18">
        <f>'Stage 1 Inputs'!P47</f>
        <v>5.6572849357090353</v>
      </c>
      <c r="N47" s="3">
        <f>'Stage 1 Inputs'!T47</f>
        <v>1653.8925437795576</v>
      </c>
      <c r="O47" s="3">
        <f>'Stage 1 Inputs'!U47</f>
        <v>7346756068.7231731</v>
      </c>
      <c r="P47" s="3">
        <f>'Stage 1 Inputs'!V47</f>
        <v>7.4108869059880051</v>
      </c>
      <c r="Q47" s="3">
        <f>'Stage 1 Inputs'!W47</f>
        <v>22.717524701552925</v>
      </c>
      <c r="R47" s="3">
        <f>'Stage 1 Inputs'!X47</f>
        <v>6</v>
      </c>
      <c r="S47" s="3">
        <f>'Stage 1 Inputs'!Y47</f>
        <v>0.06</v>
      </c>
      <c r="T47" s="3">
        <f>'Stage 1 Inputs'!Z47</f>
        <v>-2.8134107167600364</v>
      </c>
      <c r="U47" s="3">
        <f>'Stage 1 Inputs'!AO47</f>
        <v>46</v>
      </c>
      <c r="V47" s="3">
        <f>'Stage 1 Inputs'!AP47</f>
        <v>3.8286413964890951</v>
      </c>
      <c r="W47" s="3">
        <f>'Stage 1 Inputs'!AQ47</f>
        <v>1</v>
      </c>
      <c r="X47" s="3">
        <f>'Stage 1 Inputs'!AR47</f>
        <v>0</v>
      </c>
      <c r="Y47" s="3">
        <f>'Stage 1 Inputs'!AS47</f>
        <v>0</v>
      </c>
      <c r="Z47" s="3">
        <f>'Stage 1 Inputs'!AT47</f>
        <v>1</v>
      </c>
      <c r="AA47" s="3">
        <f>'Stage 1 Inputs'!AU47</f>
        <v>0</v>
      </c>
      <c r="AB47" s="3">
        <f>'Stage 1 Inputs'!AV47</f>
        <v>0</v>
      </c>
      <c r="AC47" s="3">
        <f>'Stage 1 Inputs'!AW47</f>
        <v>3.8286413964890951</v>
      </c>
      <c r="AD47" s="3" t="str">
        <f>'Stage 1 Inputs'!AX47</f>
        <v>Historical official/source data</v>
      </c>
      <c r="AE47" s="3" t="str">
        <f>'Stage 1 Inputs'!AY47</f>
        <v>No special note</v>
      </c>
    </row>
    <row r="48" spans="1:31" ht="19.95" customHeight="1" x14ac:dyDescent="0.3">
      <c r="A48" s="3" t="str">
        <f>'Stage 1 Inputs'!A48</f>
        <v>2013Q3</v>
      </c>
      <c r="B48" s="3" t="str">
        <f>'Stage 1 Inputs'!B48</f>
        <v>Sep 2013</v>
      </c>
      <c r="C48" s="17">
        <f>'Stage 1 Inputs'!G48</f>
        <v>57553000000</v>
      </c>
      <c r="D48" s="17">
        <f>'Stage 1 Inputs'!H48</f>
        <v>4457900</v>
      </c>
      <c r="E48" s="17">
        <f>'Stage 1 Inputs'!I48</f>
        <v>12910.33894883241</v>
      </c>
      <c r="F48" s="17">
        <f>'Stage 1 Inputs'!E48</f>
        <v>1097</v>
      </c>
      <c r="G48" s="17">
        <f>'Stage 1 Inputs'!F48</f>
        <v>1.4229717411121239</v>
      </c>
      <c r="H48" s="17">
        <f>'Stage 1 Inputs'!K48</f>
        <v>18371.047492367721</v>
      </c>
      <c r="I48" s="18">
        <f>'Stage 1 Inputs'!M48</f>
        <v>9.8185311984870083</v>
      </c>
      <c r="J48" s="19">
        <f>'Stage 1 Inputs'!N48</f>
        <v>216.5999999409872</v>
      </c>
      <c r="K48" s="19">
        <f>'Stage 1 Inputs'!D48</f>
        <v>1.3832644628099173</v>
      </c>
      <c r="L48" s="19">
        <f>'Stage 1 Inputs'!O48</f>
        <v>299.61508256299777</v>
      </c>
      <c r="M48" s="18">
        <f>'Stage 1 Inputs'!P48</f>
        <v>5.702498592709035</v>
      </c>
      <c r="N48" s="3">
        <f>'Stage 1 Inputs'!T48</f>
        <v>1657.7712418408969</v>
      </c>
      <c r="O48" s="3">
        <f>'Stage 1 Inputs'!U48</f>
        <v>7390178419.0025339</v>
      </c>
      <c r="P48" s="3">
        <f>'Stage 1 Inputs'!V48</f>
        <v>7.4132293538244891</v>
      </c>
      <c r="Q48" s="3">
        <f>'Stage 1 Inputs'!W48</f>
        <v>22.723417714917179</v>
      </c>
      <c r="R48" s="3">
        <f>'Stage 1 Inputs'!X48</f>
        <v>5.8</v>
      </c>
      <c r="S48" s="3">
        <f>'Stage 1 Inputs'!Y48</f>
        <v>5.7999999999999996E-2</v>
      </c>
      <c r="T48" s="3">
        <f>'Stage 1 Inputs'!Z48</f>
        <v>-2.8473122684357177</v>
      </c>
      <c r="U48" s="3">
        <f>'Stage 1 Inputs'!AO48</f>
        <v>47</v>
      </c>
      <c r="V48" s="3">
        <f>'Stage 1 Inputs'!AP48</f>
        <v>3.8501476017100584</v>
      </c>
      <c r="W48" s="3">
        <f>'Stage 1 Inputs'!AQ48</f>
        <v>1</v>
      </c>
      <c r="X48" s="3">
        <f>'Stage 1 Inputs'!AR48</f>
        <v>0</v>
      </c>
      <c r="Y48" s="3">
        <f>'Stage 1 Inputs'!AS48</f>
        <v>0</v>
      </c>
      <c r="Z48" s="3">
        <f>'Stage 1 Inputs'!AT48</f>
        <v>0</v>
      </c>
      <c r="AA48" s="3">
        <f>'Stage 1 Inputs'!AU48</f>
        <v>1</v>
      </c>
      <c r="AB48" s="3">
        <f>'Stage 1 Inputs'!AV48</f>
        <v>0</v>
      </c>
      <c r="AC48" s="3">
        <f>'Stage 1 Inputs'!AW48</f>
        <v>3.8501476017100584</v>
      </c>
      <c r="AD48" s="3" t="str">
        <f>'Stage 1 Inputs'!AX48</f>
        <v>Historical official/source data</v>
      </c>
      <c r="AE48" s="3" t="str">
        <f>'Stage 1 Inputs'!AY48</f>
        <v>No special note</v>
      </c>
    </row>
    <row r="49" spans="1:31" ht="19.95" customHeight="1" x14ac:dyDescent="0.3">
      <c r="A49" s="3" t="str">
        <f>'Stage 1 Inputs'!A49</f>
        <v>2013Q4</v>
      </c>
      <c r="B49" s="3" t="str">
        <f>'Stage 1 Inputs'!B49</f>
        <v>Dec 2013</v>
      </c>
      <c r="C49" s="17">
        <f>'Stage 1 Inputs'!G49</f>
        <v>59579000000</v>
      </c>
      <c r="D49" s="17">
        <f>'Stage 1 Inputs'!H49</f>
        <v>4477400</v>
      </c>
      <c r="E49" s="17">
        <f>'Stage 1 Inputs'!I49</f>
        <v>13306.606512708267</v>
      </c>
      <c r="F49" s="17">
        <f>'Stage 1 Inputs'!E49</f>
        <v>1129</v>
      </c>
      <c r="G49" s="17">
        <f>'Stage 1 Inputs'!F49</f>
        <v>1.3826395039858281</v>
      </c>
      <c r="H49" s="17">
        <f>'Stage 1 Inputs'!K49</f>
        <v>18398.23982846555</v>
      </c>
      <c r="I49" s="18">
        <f>'Stage 1 Inputs'!M49</f>
        <v>9.8200102775247871</v>
      </c>
      <c r="J49" s="19">
        <f>'Stage 1 Inputs'!N49</f>
        <v>209.10000009912201</v>
      </c>
      <c r="K49" s="19">
        <f>'Stage 1 Inputs'!D49</f>
        <v>1.3818369453044375</v>
      </c>
      <c r="L49" s="19">
        <f>'Stage 1 Inputs'!O49</f>
        <v>288.94210540012836</v>
      </c>
      <c r="M49" s="18">
        <f>'Stage 1 Inputs'!P49</f>
        <v>5.6662263407090352</v>
      </c>
      <c r="N49" s="3">
        <f>'Stage 1 Inputs'!T49</f>
        <v>1689.7569405522811</v>
      </c>
      <c r="O49" s="3">
        <f>'Stage 1 Inputs'!U49</f>
        <v>7565717725.6287832</v>
      </c>
      <c r="P49" s="3">
        <f>'Stage 1 Inputs'!V49</f>
        <v>7.4323399754153074</v>
      </c>
      <c r="Q49" s="3">
        <f>'Stage 1 Inputs'!W49</f>
        <v>22.746893054191226</v>
      </c>
      <c r="R49" s="3">
        <f>'Stage 1 Inputs'!X49</f>
        <v>5.7</v>
      </c>
      <c r="S49" s="3">
        <f>'Stage 1 Inputs'!Y49</f>
        <v>5.7000000000000002E-2</v>
      </c>
      <c r="T49" s="3">
        <f>'Stage 1 Inputs'!Z49</f>
        <v>-2.864704011147587</v>
      </c>
      <c r="U49" s="3">
        <f>'Stage 1 Inputs'!AO49</f>
        <v>48</v>
      </c>
      <c r="V49" s="3">
        <f>'Stage 1 Inputs'!AP49</f>
        <v>3.8712010109078911</v>
      </c>
      <c r="W49" s="3">
        <f>'Stage 1 Inputs'!AQ49</f>
        <v>1</v>
      </c>
      <c r="X49" s="3">
        <f>'Stage 1 Inputs'!AR49</f>
        <v>0</v>
      </c>
      <c r="Y49" s="3">
        <f>'Stage 1 Inputs'!AS49</f>
        <v>0</v>
      </c>
      <c r="Z49" s="3">
        <f>'Stage 1 Inputs'!AT49</f>
        <v>0</v>
      </c>
      <c r="AA49" s="3">
        <f>'Stage 1 Inputs'!AU49</f>
        <v>0</v>
      </c>
      <c r="AB49" s="3">
        <f>'Stage 1 Inputs'!AV49</f>
        <v>1</v>
      </c>
      <c r="AC49" s="3">
        <f>'Stage 1 Inputs'!AW49</f>
        <v>3.8712010109078911</v>
      </c>
      <c r="AD49" s="3" t="str">
        <f>'Stage 1 Inputs'!AX49</f>
        <v>Historical official/source data</v>
      </c>
      <c r="AE49" s="3" t="str">
        <f>'Stage 1 Inputs'!AY49</f>
        <v>No special note</v>
      </c>
    </row>
    <row r="50" spans="1:31" ht="19.95" customHeight="1" x14ac:dyDescent="0.3">
      <c r="A50" s="3" t="str">
        <f>'Stage 1 Inputs'!A50</f>
        <v>2014Q1</v>
      </c>
      <c r="B50" s="3" t="str">
        <f>'Stage 1 Inputs'!B50</f>
        <v>Mar 2014</v>
      </c>
      <c r="C50" s="17">
        <f>'Stage 1 Inputs'!G50</f>
        <v>59843000000</v>
      </c>
      <c r="D50" s="17">
        <f>'Stage 1 Inputs'!H50</f>
        <v>4501100</v>
      </c>
      <c r="E50" s="17">
        <f>'Stage 1 Inputs'!I50</f>
        <v>13295.194508009154</v>
      </c>
      <c r="F50" s="17">
        <f>'Stage 1 Inputs'!E50</f>
        <v>1122</v>
      </c>
      <c r="G50" s="17">
        <f>'Stage 1 Inputs'!F50</f>
        <v>1.3912655971479502</v>
      </c>
      <c r="H50" s="17">
        <f>'Stage 1 Inputs'!K50</f>
        <v>18497.146726383504</v>
      </c>
      <c r="I50" s="18">
        <f>'Stage 1 Inputs'!M50</f>
        <v>9.8253717681652937</v>
      </c>
      <c r="J50" s="19">
        <f>'Stage 1 Inputs'!N50</f>
        <v>211.1999999252765</v>
      </c>
      <c r="K50" s="19">
        <f>'Stage 1 Inputs'!D50</f>
        <v>1.3775720164609053</v>
      </c>
      <c r="L50" s="19">
        <f>'Stage 1 Inputs'!O50</f>
        <v>290.94320977360621</v>
      </c>
      <c r="M50" s="18">
        <f>'Stage 1 Inputs'!P50</f>
        <v>5.6731280927090353</v>
      </c>
      <c r="N50" s="3">
        <f>'Stage 1 Inputs'!T50</f>
        <v>1663.5750910310285</v>
      </c>
      <c r="O50" s="3">
        <f>'Stage 1 Inputs'!U50</f>
        <v>7487917842.2397623</v>
      </c>
      <c r="P50" s="3">
        <f>'Stage 1 Inputs'!V50</f>
        <v>7.4167242348250841</v>
      </c>
      <c r="Q50" s="3">
        <f>'Stage 1 Inputs'!W50</f>
        <v>22.7365566041384</v>
      </c>
      <c r="R50" s="3">
        <f>'Stage 1 Inputs'!X50</f>
        <v>5.6</v>
      </c>
      <c r="S50" s="3">
        <f>'Stage 1 Inputs'!Y50</f>
        <v>5.5999999999999994E-2</v>
      </c>
      <c r="T50" s="3">
        <f>'Stage 1 Inputs'!Z50</f>
        <v>-2.8824035882469881</v>
      </c>
      <c r="U50" s="3">
        <f>'Stage 1 Inputs'!AO50</f>
        <v>49</v>
      </c>
      <c r="V50" s="3">
        <f>'Stage 1 Inputs'!AP50</f>
        <v>3.8918202981106265</v>
      </c>
      <c r="W50" s="3">
        <f>'Stage 1 Inputs'!AQ50</f>
        <v>1</v>
      </c>
      <c r="X50" s="3">
        <f>'Stage 1 Inputs'!AR50</f>
        <v>0</v>
      </c>
      <c r="Y50" s="3">
        <f>'Stage 1 Inputs'!AS50</f>
        <v>0</v>
      </c>
      <c r="Z50" s="3">
        <f>'Stage 1 Inputs'!AT50</f>
        <v>0</v>
      </c>
      <c r="AA50" s="3">
        <f>'Stage 1 Inputs'!AU50</f>
        <v>0</v>
      </c>
      <c r="AB50" s="3">
        <f>'Stage 1 Inputs'!AV50</f>
        <v>0</v>
      </c>
      <c r="AC50" s="3">
        <f>'Stage 1 Inputs'!AW50</f>
        <v>3.8918202981106265</v>
      </c>
      <c r="AD50" s="3" t="str">
        <f>'Stage 1 Inputs'!AX50</f>
        <v>Historical official/source data</v>
      </c>
      <c r="AE50" s="3" t="str">
        <f>'Stage 1 Inputs'!AY50</f>
        <v>No special note</v>
      </c>
    </row>
    <row r="51" spans="1:31" ht="19.95" customHeight="1" x14ac:dyDescent="0.3">
      <c r="A51" s="3" t="str">
        <f>'Stage 1 Inputs'!A51</f>
        <v>2014Q2</v>
      </c>
      <c r="B51" s="3" t="str">
        <f>'Stage 1 Inputs'!B51</f>
        <v>Jun 2014</v>
      </c>
      <c r="C51" s="17">
        <f>'Stage 1 Inputs'!G51</f>
        <v>59983000000</v>
      </c>
      <c r="D51" s="17">
        <f>'Stage 1 Inputs'!H51</f>
        <v>4516500</v>
      </c>
      <c r="E51" s="17">
        <f>'Stage 1 Inputs'!I51</f>
        <v>13280.85907229049</v>
      </c>
      <c r="F51" s="17">
        <f>'Stage 1 Inputs'!E51</f>
        <v>1119</v>
      </c>
      <c r="G51" s="17">
        <f>'Stage 1 Inputs'!F51</f>
        <v>1.3949955317247542</v>
      </c>
      <c r="H51" s="17">
        <f>'Stage 1 Inputs'!K51</f>
        <v>18526.739063311401</v>
      </c>
      <c r="I51" s="18">
        <f>'Stage 1 Inputs'!M51</f>
        <v>9.8269703223201788</v>
      </c>
      <c r="J51" s="19">
        <f>'Stage 1 Inputs'!N51</f>
        <v>210.49999997753417</v>
      </c>
      <c r="K51" s="19">
        <f>'Stage 1 Inputs'!D51</f>
        <v>1.3733333333333333</v>
      </c>
      <c r="L51" s="19">
        <f>'Stage 1 Inputs'!O51</f>
        <v>289.08666663581357</v>
      </c>
      <c r="M51" s="18">
        <f>'Stage 1 Inputs'!P51</f>
        <v>5.6667265277090353</v>
      </c>
      <c r="N51" s="3">
        <f>'Stage 1 Inputs'!T51</f>
        <v>1650.6412452489812</v>
      </c>
      <c r="O51" s="3">
        <f>'Stage 1 Inputs'!U51</f>
        <v>7455121184.1670237</v>
      </c>
      <c r="P51" s="3">
        <f>'Stage 1 Inputs'!V51</f>
        <v>7.4089191248804251</v>
      </c>
      <c r="Q51" s="3">
        <f>'Stage 1 Inputs'!W51</f>
        <v>22.73216704045246</v>
      </c>
      <c r="R51" s="3">
        <f>'Stage 1 Inputs'!X51</f>
        <v>5.3</v>
      </c>
      <c r="S51" s="3">
        <f>'Stage 1 Inputs'!Y51</f>
        <v>5.2999999999999999E-2</v>
      </c>
      <c r="T51" s="3">
        <f>'Stage 1 Inputs'!Z51</f>
        <v>-2.9374633654300153</v>
      </c>
      <c r="U51" s="3">
        <f>'Stage 1 Inputs'!AO51</f>
        <v>50</v>
      </c>
      <c r="V51" s="3">
        <f>'Stage 1 Inputs'!AP51</f>
        <v>3.912023005428146</v>
      </c>
      <c r="W51" s="3">
        <f>'Stage 1 Inputs'!AQ51</f>
        <v>1</v>
      </c>
      <c r="X51" s="3">
        <f>'Stage 1 Inputs'!AR51</f>
        <v>0</v>
      </c>
      <c r="Y51" s="3">
        <f>'Stage 1 Inputs'!AS51</f>
        <v>0</v>
      </c>
      <c r="Z51" s="3">
        <f>'Stage 1 Inputs'!AT51</f>
        <v>1</v>
      </c>
      <c r="AA51" s="3">
        <f>'Stage 1 Inputs'!AU51</f>
        <v>0</v>
      </c>
      <c r="AB51" s="3">
        <f>'Stage 1 Inputs'!AV51</f>
        <v>0</v>
      </c>
      <c r="AC51" s="3">
        <f>'Stage 1 Inputs'!AW51</f>
        <v>3.912023005428146</v>
      </c>
      <c r="AD51" s="3" t="str">
        <f>'Stage 1 Inputs'!AX51</f>
        <v>Historical official/source data</v>
      </c>
      <c r="AE51" s="3" t="str">
        <f>'Stage 1 Inputs'!AY51</f>
        <v>No special note</v>
      </c>
    </row>
    <row r="52" spans="1:31" ht="19.95" customHeight="1" x14ac:dyDescent="0.3">
      <c r="A52" s="3" t="str">
        <f>'Stage 1 Inputs'!A52</f>
        <v>2014Q3</v>
      </c>
      <c r="B52" s="3" t="str">
        <f>'Stage 1 Inputs'!B52</f>
        <v>Sep 2014</v>
      </c>
      <c r="C52" s="17">
        <f>'Stage 1 Inputs'!G52</f>
        <v>60330000000</v>
      </c>
      <c r="D52" s="17">
        <f>'Stage 1 Inputs'!H52</f>
        <v>4540300</v>
      </c>
      <c r="E52" s="17">
        <f>'Stage 1 Inputs'!I52</f>
        <v>13287.668215756668</v>
      </c>
      <c r="F52" s="17">
        <f>'Stage 1 Inputs'!E52</f>
        <v>1112</v>
      </c>
      <c r="G52" s="17">
        <f>'Stage 1 Inputs'!F52</f>
        <v>1.4037769784172662</v>
      </c>
      <c r="H52" s="17">
        <f>'Stage 1 Inputs'!K52</f>
        <v>18652.922738126043</v>
      </c>
      <c r="I52" s="18">
        <f>'Stage 1 Inputs'!M52</f>
        <v>9.8337581279744413</v>
      </c>
      <c r="J52" s="19">
        <f>'Stage 1 Inputs'!N52</f>
        <v>212.39999993307205</v>
      </c>
      <c r="K52" s="19">
        <f>'Stage 1 Inputs'!D52</f>
        <v>1.369120654396728</v>
      </c>
      <c r="L52" s="19">
        <f>'Stage 1 Inputs'!O52</f>
        <v>290.8012269022326</v>
      </c>
      <c r="M52" s="18">
        <f>'Stage 1 Inputs'!P52</f>
        <v>5.6726399647090355</v>
      </c>
      <c r="N52" s="3">
        <f>'Stage 1 Inputs'!T52</f>
        <v>1656.3183843935471</v>
      </c>
      <c r="O52" s="3">
        <f>'Stage 1 Inputs'!U52</f>
        <v>7520182360.6620226</v>
      </c>
      <c r="P52" s="3">
        <f>'Stage 1 Inputs'!V52</f>
        <v>7.4123525775726211</v>
      </c>
      <c r="Q52" s="3">
        <f>'Stage 1 Inputs'!W52</f>
        <v>22.740856224702167</v>
      </c>
      <c r="R52" s="3">
        <f>'Stage 1 Inputs'!X52</f>
        <v>5.3</v>
      </c>
      <c r="S52" s="3">
        <f>'Stage 1 Inputs'!Y52</f>
        <v>5.2999999999999999E-2</v>
      </c>
      <c r="T52" s="3">
        <f>'Stage 1 Inputs'!Z52</f>
        <v>-2.9374633654300153</v>
      </c>
      <c r="U52" s="3">
        <f>'Stage 1 Inputs'!AO52</f>
        <v>51</v>
      </c>
      <c r="V52" s="3">
        <f>'Stage 1 Inputs'!AP52</f>
        <v>3.9318256327243257</v>
      </c>
      <c r="W52" s="3">
        <f>'Stage 1 Inputs'!AQ52</f>
        <v>1</v>
      </c>
      <c r="X52" s="3">
        <f>'Stage 1 Inputs'!AR52</f>
        <v>0</v>
      </c>
      <c r="Y52" s="3">
        <f>'Stage 1 Inputs'!AS52</f>
        <v>0</v>
      </c>
      <c r="Z52" s="3">
        <f>'Stage 1 Inputs'!AT52</f>
        <v>0</v>
      </c>
      <c r="AA52" s="3">
        <f>'Stage 1 Inputs'!AU52</f>
        <v>1</v>
      </c>
      <c r="AB52" s="3">
        <f>'Stage 1 Inputs'!AV52</f>
        <v>0</v>
      </c>
      <c r="AC52" s="3">
        <f>'Stage 1 Inputs'!AW52</f>
        <v>3.9318256327243257</v>
      </c>
      <c r="AD52" s="3" t="str">
        <f>'Stage 1 Inputs'!AX52</f>
        <v>Historical official/source data</v>
      </c>
      <c r="AE52" s="3" t="str">
        <f>'Stage 1 Inputs'!AY52</f>
        <v>No special note</v>
      </c>
    </row>
    <row r="53" spans="1:31" ht="19.95" customHeight="1" x14ac:dyDescent="0.3">
      <c r="A53" s="3" t="str">
        <f>'Stage 1 Inputs'!A53</f>
        <v>2014Q4</v>
      </c>
      <c r="B53" s="3" t="str">
        <f>'Stage 1 Inputs'!B53</f>
        <v>Dec 2014</v>
      </c>
      <c r="C53" s="17">
        <f>'Stage 1 Inputs'!G53</f>
        <v>60828000000</v>
      </c>
      <c r="D53" s="17">
        <f>'Stage 1 Inputs'!H53</f>
        <v>4564400</v>
      </c>
      <c r="E53" s="17">
        <f>'Stage 1 Inputs'!I53</f>
        <v>13326.614670055209</v>
      </c>
      <c r="F53" s="17">
        <f>'Stage 1 Inputs'!E53</f>
        <v>1106</v>
      </c>
      <c r="G53" s="17">
        <f>'Stage 1 Inputs'!F53</f>
        <v>1.4113924050632911</v>
      </c>
      <c r="H53" s="17">
        <f>'Stage 1 Inputs'!K53</f>
        <v>18809.08273052096</v>
      </c>
      <c r="I53" s="18">
        <f>'Stage 1 Inputs'!M53</f>
        <v>9.8420951561151142</v>
      </c>
      <c r="J53" s="19">
        <f>'Stage 1 Inputs'!N53</f>
        <v>200.40000004413727</v>
      </c>
      <c r="K53" s="19">
        <f>'Stage 1 Inputs'!D53</f>
        <v>1.3719262295081966</v>
      </c>
      <c r="L53" s="19">
        <f>'Stage 1 Inputs'!O53</f>
        <v>274.9340164539957</v>
      </c>
      <c r="M53" s="18">
        <f>'Stage 1 Inputs'!P53</f>
        <v>5.6165311287090356</v>
      </c>
      <c r="N53" s="3">
        <f>'Stage 1 Inputs'!T53</f>
        <v>1686.1617935287663</v>
      </c>
      <c r="O53" s="3">
        <f>'Stage 1 Inputs'!U53</f>
        <v>7696316890.3827009</v>
      </c>
      <c r="P53" s="3">
        <f>'Stage 1 Inputs'!V53</f>
        <v>7.4302100969047258</v>
      </c>
      <c r="Q53" s="3">
        <f>'Stage 1 Inputs'!W53</f>
        <v>22.764007725447389</v>
      </c>
      <c r="R53" s="3">
        <f>'Stage 1 Inputs'!X53</f>
        <v>5.5</v>
      </c>
      <c r="S53" s="3">
        <f>'Stage 1 Inputs'!Y53</f>
        <v>5.5E-2</v>
      </c>
      <c r="T53" s="3">
        <f>'Stage 1 Inputs'!Z53</f>
        <v>-2.9004220937496661</v>
      </c>
      <c r="U53" s="3">
        <f>'Stage 1 Inputs'!AO53</f>
        <v>52</v>
      </c>
      <c r="V53" s="3">
        <f>'Stage 1 Inputs'!AP53</f>
        <v>3.9512437185814275</v>
      </c>
      <c r="W53" s="3">
        <f>'Stage 1 Inputs'!AQ53</f>
        <v>1</v>
      </c>
      <c r="X53" s="3">
        <f>'Stage 1 Inputs'!AR53</f>
        <v>0</v>
      </c>
      <c r="Y53" s="3">
        <f>'Stage 1 Inputs'!AS53</f>
        <v>0</v>
      </c>
      <c r="Z53" s="3">
        <f>'Stage 1 Inputs'!AT53</f>
        <v>0</v>
      </c>
      <c r="AA53" s="3">
        <f>'Stage 1 Inputs'!AU53</f>
        <v>0</v>
      </c>
      <c r="AB53" s="3">
        <f>'Stage 1 Inputs'!AV53</f>
        <v>1</v>
      </c>
      <c r="AC53" s="3">
        <f>'Stage 1 Inputs'!AW53</f>
        <v>3.9512437185814275</v>
      </c>
      <c r="AD53" s="3" t="str">
        <f>'Stage 1 Inputs'!AX53</f>
        <v>Historical official/source data</v>
      </c>
      <c r="AE53" s="3" t="str">
        <f>'Stage 1 Inputs'!AY53</f>
        <v>No special note</v>
      </c>
    </row>
    <row r="54" spans="1:31" ht="19.95" customHeight="1" x14ac:dyDescent="0.3">
      <c r="A54" s="3" t="str">
        <f>'Stage 1 Inputs'!A54</f>
        <v>2015Q1</v>
      </c>
      <c r="B54" s="3" t="str">
        <f>'Stage 1 Inputs'!B54</f>
        <v>Mar 2015</v>
      </c>
      <c r="C54" s="17">
        <f>'Stage 1 Inputs'!G54</f>
        <v>61674000000</v>
      </c>
      <c r="D54" s="17">
        <f>'Stage 1 Inputs'!H54</f>
        <v>4591900</v>
      </c>
      <c r="E54" s="17">
        <f>'Stage 1 Inputs'!I54</f>
        <v>13431.041616759947</v>
      </c>
      <c r="F54" s="17">
        <f>'Stage 1 Inputs'!E54</f>
        <v>1113</v>
      </c>
      <c r="G54" s="17">
        <f>'Stage 1 Inputs'!F54</f>
        <v>1.4025157232704402</v>
      </c>
      <c r="H54" s="17">
        <f>'Stage 1 Inputs'!K54</f>
        <v>18837.247047405457</v>
      </c>
      <c r="I54" s="18">
        <f>'Stage 1 Inputs'!M54</f>
        <v>9.8435914147042052</v>
      </c>
      <c r="J54" s="19">
        <f>'Stage 1 Inputs'!N54</f>
        <v>178.80000004940177</v>
      </c>
      <c r="K54" s="19">
        <f>'Stage 1 Inputs'!D54</f>
        <v>1.3733333333333333</v>
      </c>
      <c r="L54" s="19">
        <f>'Stage 1 Inputs'!O54</f>
        <v>245.55200006784509</v>
      </c>
      <c r="M54" s="18">
        <f>'Stage 1 Inputs'!P54</f>
        <v>5.5035087377090353</v>
      </c>
      <c r="N54" s="3">
        <f>'Stage 1 Inputs'!T54</f>
        <v>1666.9199328413833</v>
      </c>
      <c r="O54" s="3">
        <f>'Stage 1 Inputs'!U54</f>
        <v>7654329639.6143484</v>
      </c>
      <c r="P54" s="3">
        <f>'Stage 1 Inputs'!V54</f>
        <v>7.4187328509082517</v>
      </c>
      <c r="Q54" s="3">
        <f>'Stage 1 Inputs'!W54</f>
        <v>22.758537290649183</v>
      </c>
      <c r="R54" s="3">
        <f>'Stage 1 Inputs'!X54</f>
        <v>5.5</v>
      </c>
      <c r="S54" s="3">
        <f>'Stage 1 Inputs'!Y54</f>
        <v>5.5E-2</v>
      </c>
      <c r="T54" s="3">
        <f>'Stage 1 Inputs'!Z54</f>
        <v>-2.9004220937496661</v>
      </c>
      <c r="U54" s="3">
        <f>'Stage 1 Inputs'!AO54</f>
        <v>53</v>
      </c>
      <c r="V54" s="3">
        <f>'Stage 1 Inputs'!AP54</f>
        <v>3.970291913552122</v>
      </c>
      <c r="W54" s="3">
        <f>'Stage 1 Inputs'!AQ54</f>
        <v>1</v>
      </c>
      <c r="X54" s="3">
        <f>'Stage 1 Inputs'!AR54</f>
        <v>0</v>
      </c>
      <c r="Y54" s="3">
        <f>'Stage 1 Inputs'!AS54</f>
        <v>0</v>
      </c>
      <c r="Z54" s="3">
        <f>'Stage 1 Inputs'!AT54</f>
        <v>0</v>
      </c>
      <c r="AA54" s="3">
        <f>'Stage 1 Inputs'!AU54</f>
        <v>0</v>
      </c>
      <c r="AB54" s="3">
        <f>'Stage 1 Inputs'!AV54</f>
        <v>0</v>
      </c>
      <c r="AC54" s="3">
        <f>'Stage 1 Inputs'!AW54</f>
        <v>3.970291913552122</v>
      </c>
      <c r="AD54" s="3" t="str">
        <f>'Stage 1 Inputs'!AX54</f>
        <v>Historical official/source data</v>
      </c>
      <c r="AE54" s="3" t="str">
        <f>'Stage 1 Inputs'!AY54</f>
        <v>No special note</v>
      </c>
    </row>
    <row r="55" spans="1:31" ht="19.95" customHeight="1" x14ac:dyDescent="0.3">
      <c r="A55" s="3" t="str">
        <f>'Stage 1 Inputs'!A55</f>
        <v>2015Q2</v>
      </c>
      <c r="B55" s="3" t="str">
        <f>'Stage 1 Inputs'!B55</f>
        <v>Jun 2015</v>
      </c>
      <c r="C55" s="17">
        <f>'Stage 1 Inputs'!G55</f>
        <v>62935000000</v>
      </c>
      <c r="D55" s="17">
        <f>'Stage 1 Inputs'!H55</f>
        <v>4609400</v>
      </c>
      <c r="E55" s="17">
        <f>'Stage 1 Inputs'!I55</f>
        <v>13653.62086171736</v>
      </c>
      <c r="F55" s="17">
        <f>'Stage 1 Inputs'!E55</f>
        <v>1126</v>
      </c>
      <c r="G55" s="17">
        <f>'Stage 1 Inputs'!F55</f>
        <v>1.3863232682060391</v>
      </c>
      <c r="H55" s="17">
        <f>'Stage 1 Inputs'!K55</f>
        <v>18928.332295862168</v>
      </c>
      <c r="I55" s="18">
        <f>'Stage 1 Inputs'!M55</f>
        <v>9.8484151418471484</v>
      </c>
      <c r="J55" s="19">
        <f>'Stage 1 Inputs'!N55</f>
        <v>194.59999996039289</v>
      </c>
      <c r="K55" s="19">
        <f>'Stage 1 Inputs'!D55</f>
        <v>1.3677221654749745</v>
      </c>
      <c r="L55" s="19">
        <f>'Stage 1 Inputs'!O55</f>
        <v>266.15873334725853</v>
      </c>
      <c r="M55" s="18">
        <f>'Stage 1 Inputs'!P55</f>
        <v>5.5840928727090358</v>
      </c>
      <c r="N55" s="3">
        <f>'Stage 1 Inputs'!T55</f>
        <v>1666.6828675687345</v>
      </c>
      <c r="O55" s="3">
        <f>'Stage 1 Inputs'!U55</f>
        <v>7682408009.7713251</v>
      </c>
      <c r="P55" s="3">
        <f>'Stage 1 Inputs'!V55</f>
        <v>7.4185906232421246</v>
      </c>
      <c r="Q55" s="3">
        <f>'Stage 1 Inputs'!W55</f>
        <v>22.762198877900651</v>
      </c>
      <c r="R55" s="3">
        <f>'Stage 1 Inputs'!X55</f>
        <v>5.5</v>
      </c>
      <c r="S55" s="3">
        <f>'Stage 1 Inputs'!Y55</f>
        <v>5.5E-2</v>
      </c>
      <c r="T55" s="3">
        <f>'Stage 1 Inputs'!Z55</f>
        <v>-2.9004220937496661</v>
      </c>
      <c r="U55" s="3">
        <f>'Stage 1 Inputs'!AO55</f>
        <v>54</v>
      </c>
      <c r="V55" s="3">
        <f>'Stage 1 Inputs'!AP55</f>
        <v>3.9889840465642745</v>
      </c>
      <c r="W55" s="3">
        <f>'Stage 1 Inputs'!AQ55</f>
        <v>1</v>
      </c>
      <c r="X55" s="3">
        <f>'Stage 1 Inputs'!AR55</f>
        <v>0</v>
      </c>
      <c r="Y55" s="3">
        <f>'Stage 1 Inputs'!AS55</f>
        <v>0</v>
      </c>
      <c r="Z55" s="3">
        <f>'Stage 1 Inputs'!AT55</f>
        <v>1</v>
      </c>
      <c r="AA55" s="3">
        <f>'Stage 1 Inputs'!AU55</f>
        <v>0</v>
      </c>
      <c r="AB55" s="3">
        <f>'Stage 1 Inputs'!AV55</f>
        <v>0</v>
      </c>
      <c r="AC55" s="3">
        <f>'Stage 1 Inputs'!AW55</f>
        <v>3.9889840465642745</v>
      </c>
      <c r="AD55" s="3" t="str">
        <f>'Stage 1 Inputs'!AX55</f>
        <v>Historical official/source data</v>
      </c>
      <c r="AE55" s="3" t="str">
        <f>'Stage 1 Inputs'!AY55</f>
        <v>No special note</v>
      </c>
    </row>
    <row r="56" spans="1:31" ht="19.95" customHeight="1" x14ac:dyDescent="0.3">
      <c r="A56" s="3" t="str">
        <f>'Stage 1 Inputs'!A56</f>
        <v>2015Q3</v>
      </c>
      <c r="B56" s="3" t="str">
        <f>'Stage 1 Inputs'!B56</f>
        <v>Sep 2015</v>
      </c>
      <c r="C56" s="17">
        <f>'Stage 1 Inputs'!G56</f>
        <v>63542000000</v>
      </c>
      <c r="D56" s="17">
        <f>'Stage 1 Inputs'!H56</f>
        <v>4636300</v>
      </c>
      <c r="E56" s="17">
        <f>'Stage 1 Inputs'!I56</f>
        <v>13705.325367210922</v>
      </c>
      <c r="F56" s="17">
        <f>'Stage 1 Inputs'!E56</f>
        <v>1122</v>
      </c>
      <c r="G56" s="17">
        <f>'Stage 1 Inputs'!F56</f>
        <v>1.3912655971479502</v>
      </c>
      <c r="H56" s="17">
        <f>'Stage 1 Inputs'!K56</f>
        <v>19067.747681119654</v>
      </c>
      <c r="I56" s="18">
        <f>'Stage 1 Inputs'!M56</f>
        <v>9.8557535836548098</v>
      </c>
      <c r="J56" s="19">
        <f>'Stage 1 Inputs'!N56</f>
        <v>197.89999995325775</v>
      </c>
      <c r="K56" s="19">
        <f>'Stage 1 Inputs'!D56</f>
        <v>1.3635437881873727</v>
      </c>
      <c r="L56" s="19">
        <f>'Stage 1 Inputs'!O56</f>
        <v>269.84531561854595</v>
      </c>
      <c r="M56" s="18">
        <f>'Stage 1 Inputs'!P56</f>
        <v>5.5978488897090353</v>
      </c>
      <c r="N56" s="3">
        <f>'Stage 1 Inputs'!T56</f>
        <v>1677.2011820521823</v>
      </c>
      <c r="O56" s="3">
        <f>'Stage 1 Inputs'!U56</f>
        <v>7776007840.3485327</v>
      </c>
      <c r="P56" s="3">
        <f>'Stage 1 Inputs'!V56</f>
        <v>7.4248817200734774</v>
      </c>
      <c r="Q56" s="3">
        <f>'Stage 1 Inputs'!W56</f>
        <v>22.774308912379315</v>
      </c>
      <c r="R56" s="3">
        <f>'Stage 1 Inputs'!X56</f>
        <v>5.7</v>
      </c>
      <c r="S56" s="3">
        <f>'Stage 1 Inputs'!Y56</f>
        <v>5.7000000000000002E-2</v>
      </c>
      <c r="T56" s="3">
        <f>'Stage 1 Inputs'!Z56</f>
        <v>-2.864704011147587</v>
      </c>
      <c r="U56" s="3">
        <f>'Stage 1 Inputs'!AO56</f>
        <v>55</v>
      </c>
      <c r="V56" s="3">
        <f>'Stage 1 Inputs'!AP56</f>
        <v>4.0073331852324712</v>
      </c>
      <c r="W56" s="3">
        <f>'Stage 1 Inputs'!AQ56</f>
        <v>1</v>
      </c>
      <c r="X56" s="3">
        <f>'Stage 1 Inputs'!AR56</f>
        <v>0</v>
      </c>
      <c r="Y56" s="3">
        <f>'Stage 1 Inputs'!AS56</f>
        <v>0</v>
      </c>
      <c r="Z56" s="3">
        <f>'Stage 1 Inputs'!AT56</f>
        <v>0</v>
      </c>
      <c r="AA56" s="3">
        <f>'Stage 1 Inputs'!AU56</f>
        <v>1</v>
      </c>
      <c r="AB56" s="3">
        <f>'Stage 1 Inputs'!AV56</f>
        <v>0</v>
      </c>
      <c r="AC56" s="3">
        <f>'Stage 1 Inputs'!AW56</f>
        <v>4.0073331852324712</v>
      </c>
      <c r="AD56" s="3" t="str">
        <f>'Stage 1 Inputs'!AX56</f>
        <v>Historical official/source data</v>
      </c>
      <c r="AE56" s="3" t="str">
        <f>'Stage 1 Inputs'!AY56</f>
        <v>No special note</v>
      </c>
    </row>
    <row r="57" spans="1:31" ht="19.95" customHeight="1" x14ac:dyDescent="0.3">
      <c r="A57" s="3" t="str">
        <f>'Stage 1 Inputs'!A57</f>
        <v>2015Q4</v>
      </c>
      <c r="B57" s="3" t="str">
        <f>'Stage 1 Inputs'!B57</f>
        <v>Dec 2015</v>
      </c>
      <c r="C57" s="17">
        <f>'Stage 1 Inputs'!G57</f>
        <v>63719000000</v>
      </c>
      <c r="D57" s="17">
        <f>'Stage 1 Inputs'!H57</f>
        <v>4663700</v>
      </c>
      <c r="E57" s="17">
        <f>'Stage 1 Inputs'!I57</f>
        <v>13662.757038402984</v>
      </c>
      <c r="F57" s="17">
        <f>'Stage 1 Inputs'!E57</f>
        <v>1114</v>
      </c>
      <c r="G57" s="17">
        <f>'Stage 1 Inputs'!F57</f>
        <v>1.4012567324955116</v>
      </c>
      <c r="H57" s="17">
        <f>'Stage 1 Inputs'!K57</f>
        <v>19145.030284512617</v>
      </c>
      <c r="I57" s="18">
        <f>'Stage 1 Inputs'!M57</f>
        <v>9.85979844575985</v>
      </c>
      <c r="J57" s="19">
        <f>'Stage 1 Inputs'!N57</f>
        <v>183.49999992036476</v>
      </c>
      <c r="K57" s="19">
        <f>'Stage 1 Inputs'!D57</f>
        <v>1.3705220061412486</v>
      </c>
      <c r="L57" s="19">
        <f>'Stage 1 Inputs'!O57</f>
        <v>251.49078801777728</v>
      </c>
      <c r="M57" s="18">
        <f>'Stage 1 Inputs'!P57</f>
        <v>5.5274063607090351</v>
      </c>
      <c r="N57" s="3">
        <f>'Stage 1 Inputs'!T57</f>
        <v>1707.2822797111921</v>
      </c>
      <c r="O57" s="3">
        <f>'Stage 1 Inputs'!U57</f>
        <v>7962252367.8890867</v>
      </c>
      <c r="P57" s="3">
        <f>'Stage 1 Inputs'!V57</f>
        <v>7.442658075093231</v>
      </c>
      <c r="Q57" s="3">
        <f>'Stage 1 Inputs'!W57</f>
        <v>22.797977757566937</v>
      </c>
      <c r="R57" s="3">
        <f>'Stage 1 Inputs'!X57</f>
        <v>5</v>
      </c>
      <c r="S57" s="3">
        <f>'Stage 1 Inputs'!Y57</f>
        <v>0.05</v>
      </c>
      <c r="T57" s="3">
        <f>'Stage 1 Inputs'!Z57</f>
        <v>-2.9957322735539909</v>
      </c>
      <c r="U57" s="3">
        <f>'Stage 1 Inputs'!AO57</f>
        <v>56</v>
      </c>
      <c r="V57" s="3">
        <f>'Stage 1 Inputs'!AP57</f>
        <v>4.0253516907351496</v>
      </c>
      <c r="W57" s="3">
        <f>'Stage 1 Inputs'!AQ57</f>
        <v>1</v>
      </c>
      <c r="X57" s="3">
        <f>'Stage 1 Inputs'!AR57</f>
        <v>0</v>
      </c>
      <c r="Y57" s="3">
        <f>'Stage 1 Inputs'!AS57</f>
        <v>0</v>
      </c>
      <c r="Z57" s="3">
        <f>'Stage 1 Inputs'!AT57</f>
        <v>0</v>
      </c>
      <c r="AA57" s="3">
        <f>'Stage 1 Inputs'!AU57</f>
        <v>0</v>
      </c>
      <c r="AB57" s="3">
        <f>'Stage 1 Inputs'!AV57</f>
        <v>1</v>
      </c>
      <c r="AC57" s="3">
        <f>'Stage 1 Inputs'!AW57</f>
        <v>4.0253516907351496</v>
      </c>
      <c r="AD57" s="3" t="str">
        <f>'Stage 1 Inputs'!AX57</f>
        <v>Historical official/source data</v>
      </c>
      <c r="AE57" s="3" t="str">
        <f>'Stage 1 Inputs'!AY57</f>
        <v>No special note</v>
      </c>
    </row>
    <row r="58" spans="1:31" ht="19.95" customHeight="1" x14ac:dyDescent="0.3">
      <c r="A58" s="3" t="str">
        <f>'Stage 1 Inputs'!A58</f>
        <v>2016Q1</v>
      </c>
      <c r="B58" s="3" t="str">
        <f>'Stage 1 Inputs'!B58</f>
        <v>Mar 2016</v>
      </c>
      <c r="C58" s="17">
        <f>'Stage 1 Inputs'!G58</f>
        <v>65293000000</v>
      </c>
      <c r="D58" s="17">
        <f>'Stage 1 Inputs'!H58</f>
        <v>4695000</v>
      </c>
      <c r="E58" s="17">
        <f>'Stage 1 Inputs'!I58</f>
        <v>13906.92225772098</v>
      </c>
      <c r="F58" s="17">
        <f>'Stage 1 Inputs'!E58</f>
        <v>1130</v>
      </c>
      <c r="G58" s="17">
        <f>'Stage 1 Inputs'!F58</f>
        <v>1.3814159292035397</v>
      </c>
      <c r="H58" s="17">
        <f>'Stage 1 Inputs'!K58</f>
        <v>19211.243933011017</v>
      </c>
      <c r="I58" s="18">
        <f>'Stage 1 Inputs'!M58</f>
        <v>9.8632510081175031</v>
      </c>
      <c r="J58" s="19">
        <f>'Stage 1 Inputs'!N58</f>
        <v>168.99999993667564</v>
      </c>
      <c r="K58" s="19">
        <f>'Stage 1 Inputs'!D58</f>
        <v>1.3677221654749745</v>
      </c>
      <c r="L58" s="19">
        <f>'Stage 1 Inputs'!O58</f>
        <v>231.14504587866054</v>
      </c>
      <c r="M58" s="18">
        <f>'Stage 1 Inputs'!P58</f>
        <v>5.443045417709035</v>
      </c>
      <c r="N58" s="3">
        <f>'Stage 1 Inputs'!T58</f>
        <v>1705.794990531884</v>
      </c>
      <c r="O58" s="3">
        <f>'Stage 1 Inputs'!U58</f>
        <v>8008707480.5471954</v>
      </c>
      <c r="P58" s="3">
        <f>'Stage 1 Inputs'!V58</f>
        <v>7.4417865511541663</v>
      </c>
      <c r="Q58" s="3">
        <f>'Stage 1 Inputs'!W58</f>
        <v>22.803795221778667</v>
      </c>
      <c r="R58" s="3">
        <f>'Stage 1 Inputs'!X58</f>
        <v>5.3</v>
      </c>
      <c r="S58" s="3">
        <f>'Stage 1 Inputs'!Y58</f>
        <v>5.2999999999999999E-2</v>
      </c>
      <c r="T58" s="3">
        <f>'Stage 1 Inputs'!Z58</f>
        <v>-2.9374633654300153</v>
      </c>
      <c r="U58" s="3">
        <f>'Stage 1 Inputs'!AO58</f>
        <v>57</v>
      </c>
      <c r="V58" s="3">
        <f>'Stage 1 Inputs'!AP58</f>
        <v>4.0430512678345503</v>
      </c>
      <c r="W58" s="3">
        <f>'Stage 1 Inputs'!AQ58</f>
        <v>1</v>
      </c>
      <c r="X58" s="3">
        <f>'Stage 1 Inputs'!AR58</f>
        <v>0</v>
      </c>
      <c r="Y58" s="3">
        <f>'Stage 1 Inputs'!AS58</f>
        <v>0</v>
      </c>
      <c r="Z58" s="3">
        <f>'Stage 1 Inputs'!AT58</f>
        <v>0</v>
      </c>
      <c r="AA58" s="3">
        <f>'Stage 1 Inputs'!AU58</f>
        <v>0</v>
      </c>
      <c r="AB58" s="3">
        <f>'Stage 1 Inputs'!AV58</f>
        <v>0</v>
      </c>
      <c r="AC58" s="3">
        <f>'Stage 1 Inputs'!AW58</f>
        <v>4.0430512678345503</v>
      </c>
      <c r="AD58" s="3" t="str">
        <f>'Stage 1 Inputs'!AX58</f>
        <v>Historical official/source data</v>
      </c>
      <c r="AE58" s="3" t="str">
        <f>'Stage 1 Inputs'!AY58</f>
        <v>No special note</v>
      </c>
    </row>
    <row r="59" spans="1:31" ht="19.95" customHeight="1" x14ac:dyDescent="0.3">
      <c r="A59" s="3" t="str">
        <f>'Stage 1 Inputs'!A59</f>
        <v>2016Q2</v>
      </c>
      <c r="B59" s="3" t="str">
        <f>'Stage 1 Inputs'!B59</f>
        <v>Jun 2016</v>
      </c>
      <c r="C59" s="17">
        <f>'Stage 1 Inputs'!G59</f>
        <v>66273000000</v>
      </c>
      <c r="D59" s="17">
        <f>'Stage 1 Inputs'!H59</f>
        <v>4714100</v>
      </c>
      <c r="E59" s="17">
        <f>'Stage 1 Inputs'!I59</f>
        <v>14058.462909144906</v>
      </c>
      <c r="F59" s="17">
        <f>'Stage 1 Inputs'!E59</f>
        <v>1134</v>
      </c>
      <c r="G59" s="17">
        <f>'Stage 1 Inputs'!F59</f>
        <v>1.3765432098765431</v>
      </c>
      <c r="H59" s="17">
        <f>'Stage 1 Inputs'!K59</f>
        <v>19352.081658884654</v>
      </c>
      <c r="I59" s="18">
        <f>'Stage 1 Inputs'!M59</f>
        <v>9.8705552719422176</v>
      </c>
      <c r="J59" s="19">
        <f>'Stage 1 Inputs'!N59</f>
        <v>178.09999997674248</v>
      </c>
      <c r="K59" s="19">
        <f>'Stage 1 Inputs'!D59</f>
        <v>1.3621566632756867</v>
      </c>
      <c r="L59" s="19">
        <f>'Stage 1 Inputs'!O59</f>
        <v>242.60010169771942</v>
      </c>
      <c r="M59" s="18">
        <f>'Stage 1 Inputs'!P59</f>
        <v>5.491414415709035</v>
      </c>
      <c r="N59" s="3">
        <f>'Stage 1 Inputs'!T59</f>
        <v>1692.8710046610347</v>
      </c>
      <c r="O59" s="3">
        <f>'Stage 1 Inputs'!U59</f>
        <v>7980363203.0725842</v>
      </c>
      <c r="P59" s="3">
        <f>'Stage 1 Inputs'!V59</f>
        <v>7.4341811858818012</v>
      </c>
      <c r="Q59" s="3">
        <f>'Stage 1 Inputs'!W59</f>
        <v>22.800249761541888</v>
      </c>
      <c r="R59" s="3">
        <f>'Stage 1 Inputs'!X59</f>
        <v>5.0999999999999996</v>
      </c>
      <c r="S59" s="3">
        <f>'Stage 1 Inputs'!Y59</f>
        <v>5.0999999999999997E-2</v>
      </c>
      <c r="T59" s="3">
        <f>'Stage 1 Inputs'!Z59</f>
        <v>-2.9759296462578115</v>
      </c>
      <c r="U59" s="3">
        <f>'Stage 1 Inputs'!AO59</f>
        <v>58</v>
      </c>
      <c r="V59" s="3">
        <f>'Stage 1 Inputs'!AP59</f>
        <v>4.0604430105464191</v>
      </c>
      <c r="W59" s="3">
        <f>'Stage 1 Inputs'!AQ59</f>
        <v>1</v>
      </c>
      <c r="X59" s="3">
        <f>'Stage 1 Inputs'!AR59</f>
        <v>0</v>
      </c>
      <c r="Y59" s="3">
        <f>'Stage 1 Inputs'!AS59</f>
        <v>0</v>
      </c>
      <c r="Z59" s="3">
        <f>'Stage 1 Inputs'!AT59</f>
        <v>1</v>
      </c>
      <c r="AA59" s="3">
        <f>'Stage 1 Inputs'!AU59</f>
        <v>0</v>
      </c>
      <c r="AB59" s="3">
        <f>'Stage 1 Inputs'!AV59</f>
        <v>0</v>
      </c>
      <c r="AC59" s="3">
        <f>'Stage 1 Inputs'!AW59</f>
        <v>4.0604430105464191</v>
      </c>
      <c r="AD59" s="3" t="str">
        <f>'Stage 1 Inputs'!AX59</f>
        <v>Historical official/source data</v>
      </c>
      <c r="AE59" s="3" t="str">
        <f>'Stage 1 Inputs'!AY59</f>
        <v>No special note</v>
      </c>
    </row>
    <row r="60" spans="1:31" ht="19.95" customHeight="1" x14ac:dyDescent="0.3">
      <c r="A60" s="3" t="str">
        <f>'Stage 1 Inputs'!A60</f>
        <v>2016Q3</v>
      </c>
      <c r="B60" s="3" t="str">
        <f>'Stage 1 Inputs'!B60</f>
        <v>Sep 2016</v>
      </c>
      <c r="C60" s="17">
        <f>'Stage 1 Inputs'!G60</f>
        <v>67138000000</v>
      </c>
      <c r="D60" s="17">
        <f>'Stage 1 Inputs'!H60</f>
        <v>4741200</v>
      </c>
      <c r="E60" s="17">
        <f>'Stage 1 Inputs'!I60</f>
        <v>14160.550071711803</v>
      </c>
      <c r="F60" s="17">
        <f>'Stage 1 Inputs'!E60</f>
        <v>1139</v>
      </c>
      <c r="G60" s="17">
        <f>'Stage 1 Inputs'!F60</f>
        <v>1.3705004389815627</v>
      </c>
      <c r="H60" s="17">
        <f>'Stage 1 Inputs'!K60</f>
        <v>19407.040089501425</v>
      </c>
      <c r="I60" s="18">
        <f>'Stage 1 Inputs'!M60</f>
        <v>9.8733911704337434</v>
      </c>
      <c r="J60" s="19">
        <f>'Stage 1 Inputs'!N60</f>
        <v>175.29999994623722</v>
      </c>
      <c r="K60" s="19">
        <f>'Stage 1 Inputs'!D60</f>
        <v>1.3580121703853956</v>
      </c>
      <c r="L60" s="19">
        <f>'Stage 1 Inputs'!O60</f>
        <v>238.05953339554932</v>
      </c>
      <c r="M60" s="18">
        <f>'Stage 1 Inputs'!P60</f>
        <v>5.4725207827090356</v>
      </c>
      <c r="N60" s="3">
        <f>'Stage 1 Inputs'!T60</f>
        <v>1700.9157190921778</v>
      </c>
      <c r="O60" s="3">
        <f>'Stage 1 Inputs'!U60</f>
        <v>8064381607.3598337</v>
      </c>
      <c r="P60" s="3">
        <f>'Stage 1 Inputs'!V60</f>
        <v>7.4389220433095238</v>
      </c>
      <c r="Q60" s="3">
        <f>'Stage 1 Inputs'!W60</f>
        <v>22.810722869497006</v>
      </c>
      <c r="R60" s="3">
        <f>'Stage 1 Inputs'!X60</f>
        <v>5</v>
      </c>
      <c r="S60" s="3">
        <f>'Stage 1 Inputs'!Y60</f>
        <v>0.05</v>
      </c>
      <c r="T60" s="3">
        <f>'Stage 1 Inputs'!Z60</f>
        <v>-2.9957322735539909</v>
      </c>
      <c r="U60" s="3">
        <f>'Stage 1 Inputs'!AO60</f>
        <v>59</v>
      </c>
      <c r="V60" s="3">
        <f>'Stage 1 Inputs'!AP60</f>
        <v>4.0775374439057197</v>
      </c>
      <c r="W60" s="3">
        <f>'Stage 1 Inputs'!AQ60</f>
        <v>1</v>
      </c>
      <c r="X60" s="3">
        <f>'Stage 1 Inputs'!AR60</f>
        <v>0</v>
      </c>
      <c r="Y60" s="3">
        <f>'Stage 1 Inputs'!AS60</f>
        <v>0</v>
      </c>
      <c r="Z60" s="3">
        <f>'Stage 1 Inputs'!AT60</f>
        <v>0</v>
      </c>
      <c r="AA60" s="3">
        <f>'Stage 1 Inputs'!AU60</f>
        <v>1</v>
      </c>
      <c r="AB60" s="3">
        <f>'Stage 1 Inputs'!AV60</f>
        <v>0</v>
      </c>
      <c r="AC60" s="3">
        <f>'Stage 1 Inputs'!AW60</f>
        <v>4.0775374439057197</v>
      </c>
      <c r="AD60" s="3" t="str">
        <f>'Stage 1 Inputs'!AX60</f>
        <v>Historical official/source data</v>
      </c>
      <c r="AE60" s="3" t="str">
        <f>'Stage 1 Inputs'!AY60</f>
        <v>No special note</v>
      </c>
    </row>
    <row r="61" spans="1:31" ht="19.95" customHeight="1" x14ac:dyDescent="0.3">
      <c r="A61" s="3" t="str">
        <f>'Stage 1 Inputs'!A61</f>
        <v>2016Q4</v>
      </c>
      <c r="B61" s="3" t="str">
        <f>'Stage 1 Inputs'!B61</f>
        <v>Dec 2016</v>
      </c>
      <c r="C61" s="17">
        <f>'Stage 1 Inputs'!G61</f>
        <v>68058000000</v>
      </c>
      <c r="D61" s="17">
        <f>'Stage 1 Inputs'!H61</f>
        <v>4767600</v>
      </c>
      <c r="E61" s="17">
        <f>'Stage 1 Inputs'!I61</f>
        <v>14275.106972061414</v>
      </c>
      <c r="F61" s="17">
        <f>'Stage 1 Inputs'!E61</f>
        <v>1153</v>
      </c>
      <c r="G61" s="17">
        <f>'Stage 1 Inputs'!F61</f>
        <v>1.3538594969644406</v>
      </c>
      <c r="H61" s="17">
        <f>'Stage 1 Inputs'!K61</f>
        <v>19326.489144308645</v>
      </c>
      <c r="I61" s="18">
        <f>'Stage 1 Inputs'!M61</f>
        <v>9.8692319284070535</v>
      </c>
      <c r="J61" s="19">
        <f>'Stage 1 Inputs'!N61</f>
        <v>182.39999990994326</v>
      </c>
      <c r="K61" s="19">
        <f>'Stage 1 Inputs'!D61</f>
        <v>1.3525252525252525</v>
      </c>
      <c r="L61" s="19">
        <f>'Stage 1 Inputs'!O61</f>
        <v>246.70060593880203</v>
      </c>
      <c r="M61" s="18">
        <f>'Stage 1 Inputs'!P61</f>
        <v>5.5081754797090356</v>
      </c>
      <c r="N61" s="3">
        <f>'Stage 1 Inputs'!T61</f>
        <v>1723.6814859298343</v>
      </c>
      <c r="O61" s="3">
        <f>'Stage 1 Inputs'!U61</f>
        <v>8217823852.3190775</v>
      </c>
      <c r="P61" s="3">
        <f>'Stage 1 Inputs'!V61</f>
        <v>7.4522176812137797</v>
      </c>
      <c r="Q61" s="3">
        <f>'Stage 1 Inputs'!W61</f>
        <v>22.829571272804472</v>
      </c>
      <c r="R61" s="3">
        <f>'Stage 1 Inputs'!X61</f>
        <v>5.3</v>
      </c>
      <c r="S61" s="3">
        <f>'Stage 1 Inputs'!Y61</f>
        <v>5.2999999999999999E-2</v>
      </c>
      <c r="T61" s="3">
        <f>'Stage 1 Inputs'!Z61</f>
        <v>-2.9374633654300153</v>
      </c>
      <c r="U61" s="3">
        <f>'Stage 1 Inputs'!AO61</f>
        <v>60</v>
      </c>
      <c r="V61" s="3">
        <f>'Stage 1 Inputs'!AP61</f>
        <v>4.0943445622221004</v>
      </c>
      <c r="W61" s="3">
        <f>'Stage 1 Inputs'!AQ61</f>
        <v>1</v>
      </c>
      <c r="X61" s="3">
        <f>'Stage 1 Inputs'!AR61</f>
        <v>0</v>
      </c>
      <c r="Y61" s="3">
        <f>'Stage 1 Inputs'!AS61</f>
        <v>0</v>
      </c>
      <c r="Z61" s="3">
        <f>'Stage 1 Inputs'!AT61</f>
        <v>0</v>
      </c>
      <c r="AA61" s="3">
        <f>'Stage 1 Inputs'!AU61</f>
        <v>0</v>
      </c>
      <c r="AB61" s="3">
        <f>'Stage 1 Inputs'!AV61</f>
        <v>1</v>
      </c>
      <c r="AC61" s="3">
        <f>'Stage 1 Inputs'!AW61</f>
        <v>4.0943445622221004</v>
      </c>
      <c r="AD61" s="3" t="str">
        <f>'Stage 1 Inputs'!AX61</f>
        <v>Historical official/source data</v>
      </c>
      <c r="AE61" s="3" t="str">
        <f>'Stage 1 Inputs'!AY61</f>
        <v>No special note</v>
      </c>
    </row>
    <row r="62" spans="1:31" ht="19.95" customHeight="1" x14ac:dyDescent="0.3">
      <c r="A62" s="3" t="str">
        <f>'Stage 1 Inputs'!A62</f>
        <v>2017Q1</v>
      </c>
      <c r="B62" s="3" t="str">
        <f>'Stage 1 Inputs'!B62</f>
        <v>Mar 2017</v>
      </c>
      <c r="C62" s="17">
        <f>'Stage 1 Inputs'!G62</f>
        <v>70034000000</v>
      </c>
      <c r="D62" s="17">
        <f>'Stage 1 Inputs'!H62</f>
        <v>4796700</v>
      </c>
      <c r="E62" s="17">
        <f>'Stage 1 Inputs'!I62</f>
        <v>14600.454479121063</v>
      </c>
      <c r="F62" s="17">
        <f>'Stage 1 Inputs'!E62</f>
        <v>1169</v>
      </c>
      <c r="G62" s="17">
        <f>'Stage 1 Inputs'!F62</f>
        <v>1.3353293413173652</v>
      </c>
      <c r="H62" s="17">
        <f>'Stage 1 Inputs'!K62</f>
        <v>19496.415262538903</v>
      </c>
      <c r="I62" s="18">
        <f>'Stage 1 Inputs'!M62</f>
        <v>9.8779858949622259</v>
      </c>
      <c r="J62" s="19">
        <f>'Stage 1 Inputs'!N62</f>
        <v>189.79999996662801</v>
      </c>
      <c r="K62" s="19">
        <f>'Stage 1 Inputs'!D62</f>
        <v>1.339</v>
      </c>
      <c r="L62" s="19">
        <f>'Stage 1 Inputs'!O62</f>
        <v>254.14219995531491</v>
      </c>
      <c r="M62" s="18">
        <f>'Stage 1 Inputs'!P62</f>
        <v>5.5378939527090356</v>
      </c>
      <c r="N62" s="3">
        <f>'Stage 1 Inputs'!T62</f>
        <v>1698.6307856250419</v>
      </c>
      <c r="O62" s="3">
        <f>'Stage 1 Inputs'!U62</f>
        <v>8147822289.4076385</v>
      </c>
      <c r="P62" s="3">
        <f>'Stage 1 Inputs'!V62</f>
        <v>7.4375777852986138</v>
      </c>
      <c r="Q62" s="3">
        <f>'Stage 1 Inputs'!W62</f>
        <v>22.821016524740234</v>
      </c>
      <c r="R62" s="3">
        <f>'Stage 1 Inputs'!X62</f>
        <v>4.9000000000000004</v>
      </c>
      <c r="S62" s="3">
        <f>'Stage 1 Inputs'!Y62</f>
        <v>4.9000000000000002E-2</v>
      </c>
      <c r="T62" s="3">
        <f>'Stage 1 Inputs'!Z62</f>
        <v>-3.0159349808715104</v>
      </c>
      <c r="U62" s="3">
        <f>'Stage 1 Inputs'!AO62</f>
        <v>61</v>
      </c>
      <c r="V62" s="3">
        <f>'Stage 1 Inputs'!AP62</f>
        <v>4.1108738641733114</v>
      </c>
      <c r="W62" s="3">
        <f>'Stage 1 Inputs'!AQ62</f>
        <v>1</v>
      </c>
      <c r="X62" s="3">
        <f>'Stage 1 Inputs'!AR62</f>
        <v>0</v>
      </c>
      <c r="Y62" s="3">
        <f>'Stage 1 Inputs'!AS62</f>
        <v>0</v>
      </c>
      <c r="Z62" s="3">
        <f>'Stage 1 Inputs'!AT62</f>
        <v>0</v>
      </c>
      <c r="AA62" s="3">
        <f>'Stage 1 Inputs'!AU62</f>
        <v>0</v>
      </c>
      <c r="AB62" s="3">
        <f>'Stage 1 Inputs'!AV62</f>
        <v>0</v>
      </c>
      <c r="AC62" s="3">
        <f>'Stage 1 Inputs'!AW62</f>
        <v>4.1108738641733114</v>
      </c>
      <c r="AD62" s="3" t="str">
        <f>'Stage 1 Inputs'!AX62</f>
        <v>Historical official/source data</v>
      </c>
      <c r="AE62" s="3" t="str">
        <f>'Stage 1 Inputs'!AY62</f>
        <v>No special note</v>
      </c>
    </row>
    <row r="63" spans="1:31" ht="19.95" customHeight="1" x14ac:dyDescent="0.3">
      <c r="A63" s="3" t="str">
        <f>'Stage 1 Inputs'!A63</f>
        <v>2017Q2</v>
      </c>
      <c r="B63" s="3" t="str">
        <f>'Stage 1 Inputs'!B63</f>
        <v>Jun 2017</v>
      </c>
      <c r="C63" s="17">
        <f>'Stage 1 Inputs'!G63</f>
        <v>70463000000</v>
      </c>
      <c r="D63" s="17">
        <f>'Stage 1 Inputs'!H63</f>
        <v>4813600</v>
      </c>
      <c r="E63" s="17">
        <f>'Stage 1 Inputs'!I63</f>
        <v>14638.316436762507</v>
      </c>
      <c r="F63" s="17">
        <f>'Stage 1 Inputs'!E63</f>
        <v>1164</v>
      </c>
      <c r="G63" s="17">
        <f>'Stage 1 Inputs'!F63</f>
        <v>1.3410652920962198</v>
      </c>
      <c r="H63" s="17">
        <f>'Stage 1 Inputs'!K63</f>
        <v>19630.938108063805</v>
      </c>
      <c r="I63" s="18">
        <f>'Stage 1 Inputs'!M63</f>
        <v>9.8848620756377326</v>
      </c>
      <c r="J63" s="19">
        <f>'Stage 1 Inputs'!N63</f>
        <v>186.10000006546903</v>
      </c>
      <c r="K63" s="19">
        <f>'Stage 1 Inputs'!D63</f>
        <v>1.339</v>
      </c>
      <c r="L63" s="19">
        <f>'Stage 1 Inputs'!O63</f>
        <v>249.18790008766302</v>
      </c>
      <c r="M63" s="18">
        <f>'Stage 1 Inputs'!P63</f>
        <v>5.5182072307090353</v>
      </c>
      <c r="N63" s="3">
        <f>'Stage 1 Inputs'!T63</f>
        <v>1698.9649958845876</v>
      </c>
      <c r="O63" s="3">
        <f>'Stage 1 Inputs'!U63</f>
        <v>8178137904.1900511</v>
      </c>
      <c r="P63" s="3">
        <f>'Stage 1 Inputs'!V63</f>
        <v>7.4377745186842876</v>
      </c>
      <c r="Q63" s="3">
        <f>'Stage 1 Inputs'!W63</f>
        <v>22.824730321572567</v>
      </c>
      <c r="R63" s="3">
        <f>'Stage 1 Inputs'!X63</f>
        <v>4.9000000000000004</v>
      </c>
      <c r="S63" s="3">
        <f>'Stage 1 Inputs'!Y63</f>
        <v>4.9000000000000002E-2</v>
      </c>
      <c r="T63" s="3">
        <f>'Stage 1 Inputs'!Z63</f>
        <v>-3.0159349808715104</v>
      </c>
      <c r="U63" s="3">
        <f>'Stage 1 Inputs'!AO63</f>
        <v>62</v>
      </c>
      <c r="V63" s="3">
        <f>'Stage 1 Inputs'!AP63</f>
        <v>4.1271343850450917</v>
      </c>
      <c r="W63" s="3">
        <f>'Stage 1 Inputs'!AQ63</f>
        <v>1</v>
      </c>
      <c r="X63" s="3">
        <f>'Stage 1 Inputs'!AR63</f>
        <v>0</v>
      </c>
      <c r="Y63" s="3">
        <f>'Stage 1 Inputs'!AS63</f>
        <v>0</v>
      </c>
      <c r="Z63" s="3">
        <f>'Stage 1 Inputs'!AT63</f>
        <v>1</v>
      </c>
      <c r="AA63" s="3">
        <f>'Stage 1 Inputs'!AU63</f>
        <v>0</v>
      </c>
      <c r="AB63" s="3">
        <f>'Stage 1 Inputs'!AV63</f>
        <v>0</v>
      </c>
      <c r="AC63" s="3">
        <f>'Stage 1 Inputs'!AW63</f>
        <v>4.1271343850450917</v>
      </c>
      <c r="AD63" s="3" t="str">
        <f>'Stage 1 Inputs'!AX63</f>
        <v>Historical official/source data</v>
      </c>
      <c r="AE63" s="3" t="str">
        <f>'Stage 1 Inputs'!AY63</f>
        <v>No special note</v>
      </c>
    </row>
    <row r="64" spans="1:31" ht="19.95" customHeight="1" x14ac:dyDescent="0.3">
      <c r="A64" s="3" t="str">
        <f>'Stage 1 Inputs'!A64</f>
        <v>2017Q3</v>
      </c>
      <c r="B64" s="3" t="str">
        <f>'Stage 1 Inputs'!B64</f>
        <v>Sep 2017</v>
      </c>
      <c r="C64" s="17">
        <f>'Stage 1 Inputs'!G64</f>
        <v>72079000000</v>
      </c>
      <c r="D64" s="17">
        <f>'Stage 1 Inputs'!H64</f>
        <v>4836300</v>
      </c>
      <c r="E64" s="17">
        <f>'Stage 1 Inputs'!I64</f>
        <v>14903.748733535967</v>
      </c>
      <c r="F64" s="17">
        <f>'Stage 1 Inputs'!E64</f>
        <v>1178</v>
      </c>
      <c r="G64" s="17">
        <f>'Stage 1 Inputs'!F64</f>
        <v>1.3251273344651953</v>
      </c>
      <c r="H64" s="17">
        <f>'Stage 1 Inputs'!K64</f>
        <v>19749.364832809548</v>
      </c>
      <c r="I64" s="18">
        <f>'Stage 1 Inputs'!M64</f>
        <v>9.8908766094480391</v>
      </c>
      <c r="J64" s="19">
        <f>'Stage 1 Inputs'!N64</f>
        <v>183.20000004964888</v>
      </c>
      <c r="K64" s="19">
        <f>'Stage 1 Inputs'!D64</f>
        <v>1.3323383084577114</v>
      </c>
      <c r="L64" s="19">
        <f>'Stage 1 Inputs'!O64</f>
        <v>244.08437817560184</v>
      </c>
      <c r="M64" s="18">
        <f>'Stage 1 Inputs'!P64</f>
        <v>5.4975139777090352</v>
      </c>
      <c r="N64" s="3">
        <f>'Stage 1 Inputs'!T64</f>
        <v>1705.0527201927173</v>
      </c>
      <c r="O64" s="3">
        <f>'Stage 1 Inputs'!U64</f>
        <v>8246146470.6680384</v>
      </c>
      <c r="P64" s="3">
        <f>'Stage 1 Inputs'!V64</f>
        <v>7.4413513101737196</v>
      </c>
      <c r="Q64" s="3">
        <f>'Stage 1 Inputs'!W64</f>
        <v>22.833011833705921</v>
      </c>
      <c r="R64" s="3">
        <f>'Stage 1 Inputs'!X64</f>
        <v>4.7</v>
      </c>
      <c r="S64" s="3">
        <f>'Stage 1 Inputs'!Y64</f>
        <v>4.7E-2</v>
      </c>
      <c r="T64" s="3">
        <f>'Stage 1 Inputs'!Z64</f>
        <v>-3.0576076772720784</v>
      </c>
      <c r="U64" s="3">
        <f>'Stage 1 Inputs'!AO64</f>
        <v>63</v>
      </c>
      <c r="V64" s="3">
        <f>'Stage 1 Inputs'!AP64</f>
        <v>4.1431347263915326</v>
      </c>
      <c r="W64" s="3">
        <f>'Stage 1 Inputs'!AQ64</f>
        <v>1</v>
      </c>
      <c r="X64" s="3">
        <f>'Stage 1 Inputs'!AR64</f>
        <v>0</v>
      </c>
      <c r="Y64" s="3">
        <f>'Stage 1 Inputs'!AS64</f>
        <v>0</v>
      </c>
      <c r="Z64" s="3">
        <f>'Stage 1 Inputs'!AT64</f>
        <v>0</v>
      </c>
      <c r="AA64" s="3">
        <f>'Stage 1 Inputs'!AU64</f>
        <v>1</v>
      </c>
      <c r="AB64" s="3">
        <f>'Stage 1 Inputs'!AV64</f>
        <v>0</v>
      </c>
      <c r="AC64" s="3">
        <f>'Stage 1 Inputs'!AW64</f>
        <v>4.1431347263915326</v>
      </c>
      <c r="AD64" s="3" t="str">
        <f>'Stage 1 Inputs'!AX64</f>
        <v>Historical official/source data</v>
      </c>
      <c r="AE64" s="3" t="str">
        <f>'Stage 1 Inputs'!AY64</f>
        <v>No special note</v>
      </c>
    </row>
    <row r="65" spans="1:31" ht="19.95" customHeight="1" x14ac:dyDescent="0.3">
      <c r="A65" s="3" t="str">
        <f>'Stage 1 Inputs'!A65</f>
        <v>2017Q4</v>
      </c>
      <c r="B65" s="3" t="str">
        <f>'Stage 1 Inputs'!B65</f>
        <v>Dec 2017</v>
      </c>
      <c r="C65" s="17">
        <f>'Stage 1 Inputs'!G65</f>
        <v>73799000000</v>
      </c>
      <c r="D65" s="17">
        <f>'Stage 1 Inputs'!H65</f>
        <v>4859500</v>
      </c>
      <c r="E65" s="17">
        <f>'Stage 1 Inputs'!I65</f>
        <v>15186.541825290667</v>
      </c>
      <c r="F65" s="17">
        <f>'Stage 1 Inputs'!E65</f>
        <v>1191</v>
      </c>
      <c r="G65" s="17">
        <f>'Stage 1 Inputs'!F65</f>
        <v>1.3106633081444166</v>
      </c>
      <c r="H65" s="17">
        <f>'Stage 1 Inputs'!K65</f>
        <v>19904.443148009013</v>
      </c>
      <c r="I65" s="18">
        <f>'Stage 1 Inputs'!M65</f>
        <v>9.8986982595600033</v>
      </c>
      <c r="J65" s="19">
        <f>'Stage 1 Inputs'!N65</f>
        <v>194.30000005715391</v>
      </c>
      <c r="K65" s="19">
        <f>'Stage 1 Inputs'!D65</f>
        <v>1.331013916500994</v>
      </c>
      <c r="L65" s="19">
        <f>'Stage 1 Inputs'!O65</f>
        <v>258.61600405221577</v>
      </c>
      <c r="M65" s="18">
        <f>'Stage 1 Inputs'!P65</f>
        <v>5.5553443517090351</v>
      </c>
      <c r="N65" s="3">
        <f>'Stage 1 Inputs'!T65</f>
        <v>1723.526899255977</v>
      </c>
      <c r="O65" s="3">
        <f>'Stage 1 Inputs'!U65</f>
        <v>8375478966.9344206</v>
      </c>
      <c r="P65" s="3">
        <f>'Stage 1 Inputs'!V65</f>
        <v>7.4521279931783102</v>
      </c>
      <c r="Q65" s="3">
        <f>'Stage 1 Inputs'!W65</f>
        <v>22.848574103103974</v>
      </c>
      <c r="R65" s="3">
        <f>'Stage 1 Inputs'!X65</f>
        <v>4.5</v>
      </c>
      <c r="S65" s="3">
        <f>'Stage 1 Inputs'!Y65</f>
        <v>4.4999999999999998E-2</v>
      </c>
      <c r="T65" s="3">
        <f>'Stage 1 Inputs'!Z65</f>
        <v>-3.1010927892118172</v>
      </c>
      <c r="U65" s="3">
        <f>'Stage 1 Inputs'!AO65</f>
        <v>64</v>
      </c>
      <c r="V65" s="3">
        <f>'Stage 1 Inputs'!AP65</f>
        <v>4.1588830833596715</v>
      </c>
      <c r="W65" s="3">
        <f>'Stage 1 Inputs'!AQ65</f>
        <v>1</v>
      </c>
      <c r="X65" s="3">
        <f>'Stage 1 Inputs'!AR65</f>
        <v>0</v>
      </c>
      <c r="Y65" s="3">
        <f>'Stage 1 Inputs'!AS65</f>
        <v>0</v>
      </c>
      <c r="Z65" s="3">
        <f>'Stage 1 Inputs'!AT65</f>
        <v>0</v>
      </c>
      <c r="AA65" s="3">
        <f>'Stage 1 Inputs'!AU65</f>
        <v>0</v>
      </c>
      <c r="AB65" s="3">
        <f>'Stage 1 Inputs'!AV65</f>
        <v>1</v>
      </c>
      <c r="AC65" s="3">
        <f>'Stage 1 Inputs'!AW65</f>
        <v>4.1588830833596715</v>
      </c>
      <c r="AD65" s="3" t="str">
        <f>'Stage 1 Inputs'!AX65</f>
        <v>Historical official/source data</v>
      </c>
      <c r="AE65" s="3" t="str">
        <f>'Stage 1 Inputs'!AY65</f>
        <v>No special note</v>
      </c>
    </row>
    <row r="66" spans="1:31" ht="19.95" customHeight="1" x14ac:dyDescent="0.3">
      <c r="A66" s="3" t="str">
        <f>'Stage 1 Inputs'!A66</f>
        <v>2018Q1</v>
      </c>
      <c r="B66" s="3" t="str">
        <f>'Stage 1 Inputs'!B66</f>
        <v>Mar 2018</v>
      </c>
      <c r="C66" s="17">
        <f>'Stage 1 Inputs'!G66</f>
        <v>74376000000</v>
      </c>
      <c r="D66" s="17">
        <f>'Stage 1 Inputs'!H66</f>
        <v>4886100</v>
      </c>
      <c r="E66" s="17">
        <f>'Stage 1 Inputs'!I66</f>
        <v>15221.956161355682</v>
      </c>
      <c r="F66" s="17">
        <f>'Stage 1 Inputs'!E66</f>
        <v>1187</v>
      </c>
      <c r="G66" s="17">
        <f>'Stage 1 Inputs'!F66</f>
        <v>1.3150800336983994</v>
      </c>
      <c r="H66" s="17">
        <f>'Stage 1 Inputs'!K66</f>
        <v>20018.090621631189</v>
      </c>
      <c r="I66" s="18">
        <f>'Stage 1 Inputs'!M66</f>
        <v>9.9043916747759706</v>
      </c>
      <c r="J66" s="19">
        <f>'Stage 1 Inputs'!N66</f>
        <v>200.00000009805953</v>
      </c>
      <c r="K66" s="19">
        <f>'Stage 1 Inputs'!D66</f>
        <v>1.324431256181998</v>
      </c>
      <c r="L66" s="19">
        <f>'Stage 1 Inputs'!O66</f>
        <v>264.88625136627269</v>
      </c>
      <c r="M66" s="18">
        <f>'Stage 1 Inputs'!P66</f>
        <v>5.5793004937090354</v>
      </c>
      <c r="N66" s="3">
        <f>'Stage 1 Inputs'!T66</f>
        <v>1694.3477081425301</v>
      </c>
      <c r="O66" s="3">
        <f>'Stage 1 Inputs'!U66</f>
        <v>8278752336.7552166</v>
      </c>
      <c r="P66" s="3">
        <f>'Stage 1 Inputs'!V66</f>
        <v>7.4350531127930868</v>
      </c>
      <c r="Q66" s="3">
        <f>'Stage 1 Inputs'!W66</f>
        <v>22.836958110022849</v>
      </c>
      <c r="R66" s="3">
        <f>'Stage 1 Inputs'!X66</f>
        <v>4.4000000000000004</v>
      </c>
      <c r="S66" s="3">
        <f>'Stage 1 Inputs'!Y66</f>
        <v>4.4000000000000004E-2</v>
      </c>
      <c r="T66" s="3">
        <f>'Stage 1 Inputs'!Z66</f>
        <v>-3.1235656450638758</v>
      </c>
      <c r="U66" s="3">
        <f>'Stage 1 Inputs'!AO66</f>
        <v>65</v>
      </c>
      <c r="V66" s="3">
        <f>'Stage 1 Inputs'!AP66</f>
        <v>4.1743872698956368</v>
      </c>
      <c r="W66" s="3">
        <f>'Stage 1 Inputs'!AQ66</f>
        <v>1</v>
      </c>
      <c r="X66" s="3">
        <f>'Stage 1 Inputs'!AR66</f>
        <v>0</v>
      </c>
      <c r="Y66" s="3">
        <f>'Stage 1 Inputs'!AS66</f>
        <v>0</v>
      </c>
      <c r="Z66" s="3">
        <f>'Stage 1 Inputs'!AT66</f>
        <v>0</v>
      </c>
      <c r="AA66" s="3">
        <f>'Stage 1 Inputs'!AU66</f>
        <v>0</v>
      </c>
      <c r="AB66" s="3">
        <f>'Stage 1 Inputs'!AV66</f>
        <v>0</v>
      </c>
      <c r="AC66" s="3">
        <f>'Stage 1 Inputs'!AW66</f>
        <v>4.1743872698956368</v>
      </c>
      <c r="AD66" s="3" t="str">
        <f>'Stage 1 Inputs'!AX66</f>
        <v>Historical official/source data</v>
      </c>
      <c r="AE66" s="3" t="str">
        <f>'Stage 1 Inputs'!AY66</f>
        <v>No special note</v>
      </c>
    </row>
    <row r="67" spans="1:31" ht="19.95" customHeight="1" x14ac:dyDescent="0.3">
      <c r="A67" s="3" t="str">
        <f>'Stage 1 Inputs'!A67</f>
        <v>2018Q2</v>
      </c>
      <c r="B67" s="3" t="str">
        <f>'Stage 1 Inputs'!B67</f>
        <v>Jun 2018</v>
      </c>
      <c r="C67" s="17">
        <f>'Stage 1 Inputs'!G67</f>
        <v>75236000000</v>
      </c>
      <c r="D67" s="17">
        <f>'Stage 1 Inputs'!H67</f>
        <v>4900600</v>
      </c>
      <c r="E67" s="17">
        <f>'Stage 1 Inputs'!I67</f>
        <v>15352.405827857814</v>
      </c>
      <c r="F67" s="17">
        <f>'Stage 1 Inputs'!E67</f>
        <v>1191</v>
      </c>
      <c r="G67" s="17">
        <f>'Stage 1 Inputs'!F67</f>
        <v>1.3106633081444166</v>
      </c>
      <c r="H67" s="17">
        <f>'Stage 1 Inputs'!K67</f>
        <v>20121.835010315743</v>
      </c>
      <c r="I67" s="18">
        <f>'Stage 1 Inputs'!M67</f>
        <v>9.9095608233509189</v>
      </c>
      <c r="J67" s="19">
        <f>'Stage 1 Inputs'!N67</f>
        <v>206.0999999170113</v>
      </c>
      <c r="K67" s="19">
        <f>'Stage 1 Inputs'!D67</f>
        <v>1.3192118226600986</v>
      </c>
      <c r="L67" s="19">
        <f>'Stage 1 Inputs'!O67</f>
        <v>271.88955654076665</v>
      </c>
      <c r="M67" s="18">
        <f>'Stage 1 Inputs'!P67</f>
        <v>5.6053959417090358</v>
      </c>
      <c r="N67" s="3">
        <f>'Stage 1 Inputs'!T67</f>
        <v>1688.7039559909049</v>
      </c>
      <c r="O67" s="3">
        <f>'Stage 1 Inputs'!U67</f>
        <v>8275662606.7290287</v>
      </c>
      <c r="P67" s="3">
        <f>'Stage 1 Inputs'!V67</f>
        <v>7.4317166237603862</v>
      </c>
      <c r="Q67" s="3">
        <f>'Stage 1 Inputs'!W67</f>
        <v>22.836584828324568</v>
      </c>
      <c r="R67" s="3">
        <f>'Stage 1 Inputs'!X67</f>
        <v>4.5999999999999996</v>
      </c>
      <c r="S67" s="3">
        <f>'Stage 1 Inputs'!Y67</f>
        <v>4.5999999999999999E-2</v>
      </c>
      <c r="T67" s="3">
        <f>'Stage 1 Inputs'!Z67</f>
        <v>-3.0791138824930422</v>
      </c>
      <c r="U67" s="3">
        <f>'Stage 1 Inputs'!AO67</f>
        <v>66</v>
      </c>
      <c r="V67" s="3">
        <f>'Stage 1 Inputs'!AP67</f>
        <v>4.1896547420264252</v>
      </c>
      <c r="W67" s="3">
        <f>'Stage 1 Inputs'!AQ67</f>
        <v>1</v>
      </c>
      <c r="X67" s="3">
        <f>'Stage 1 Inputs'!AR67</f>
        <v>0</v>
      </c>
      <c r="Y67" s="3">
        <f>'Stage 1 Inputs'!AS67</f>
        <v>0</v>
      </c>
      <c r="Z67" s="3">
        <f>'Stage 1 Inputs'!AT67</f>
        <v>1</v>
      </c>
      <c r="AA67" s="3">
        <f>'Stage 1 Inputs'!AU67</f>
        <v>0</v>
      </c>
      <c r="AB67" s="3">
        <f>'Stage 1 Inputs'!AV67</f>
        <v>0</v>
      </c>
      <c r="AC67" s="3">
        <f>'Stage 1 Inputs'!AW67</f>
        <v>4.1896547420264252</v>
      </c>
      <c r="AD67" s="3" t="str">
        <f>'Stage 1 Inputs'!AX67</f>
        <v>Historical official/source data</v>
      </c>
      <c r="AE67" s="3" t="str">
        <f>'Stage 1 Inputs'!AY67</f>
        <v>No special note</v>
      </c>
    </row>
    <row r="68" spans="1:31" ht="19.95" customHeight="1" x14ac:dyDescent="0.3">
      <c r="A68" s="3" t="str">
        <f>'Stage 1 Inputs'!A68</f>
        <v>2018Q3</v>
      </c>
      <c r="B68" s="3" t="str">
        <f>'Stage 1 Inputs'!B68</f>
        <v>Sep 2018</v>
      </c>
      <c r="C68" s="17">
        <f>'Stage 1 Inputs'!G68</f>
        <v>75785000000</v>
      </c>
      <c r="D68" s="17">
        <f>'Stage 1 Inputs'!H68</f>
        <v>4919100</v>
      </c>
      <c r="E68" s="17">
        <f>'Stage 1 Inputs'!I68</f>
        <v>15406.273505316012</v>
      </c>
      <c r="F68" s="17">
        <f>'Stage 1 Inputs'!E68</f>
        <v>1199</v>
      </c>
      <c r="G68" s="17">
        <f>'Stage 1 Inputs'!F68</f>
        <v>1.3019182652210175</v>
      </c>
      <c r="H68" s="17">
        <f>'Stage 1 Inputs'!K68</f>
        <v>20057.708875561548</v>
      </c>
      <c r="I68" s="18">
        <f>'Stage 1 Inputs'!M68</f>
        <v>9.9063688414118793</v>
      </c>
      <c r="J68" s="19">
        <f>'Stage 1 Inputs'!N68</f>
        <v>217.8000000257997</v>
      </c>
      <c r="K68" s="19">
        <f>'Stage 1 Inputs'!D68</f>
        <v>1.3076171875</v>
      </c>
      <c r="L68" s="19">
        <f>'Stage 1 Inputs'!O68</f>
        <v>284.79902347123613</v>
      </c>
      <c r="M68" s="18">
        <f>'Stage 1 Inputs'!P68</f>
        <v>5.6517837507090354</v>
      </c>
      <c r="N68" s="3">
        <f>'Stage 1 Inputs'!T68</f>
        <v>1690.809020794082</v>
      </c>
      <c r="O68" s="3">
        <f>'Stage 1 Inputs'!U68</f>
        <v>8317258654.1881685</v>
      </c>
      <c r="P68" s="3">
        <f>'Stage 1 Inputs'!V68</f>
        <v>7.4329624039008309</v>
      </c>
      <c r="Q68" s="3">
        <f>'Stage 1 Inputs'!W68</f>
        <v>22.8415985488069</v>
      </c>
      <c r="R68" s="3">
        <f>'Stage 1 Inputs'!X68</f>
        <v>4</v>
      </c>
      <c r="S68" s="3">
        <f>'Stage 1 Inputs'!Y68</f>
        <v>0.04</v>
      </c>
      <c r="T68" s="3">
        <f>'Stage 1 Inputs'!Z68</f>
        <v>-3.2188758248682006</v>
      </c>
      <c r="U68" s="3">
        <f>'Stage 1 Inputs'!AO68</f>
        <v>67</v>
      </c>
      <c r="V68" s="3">
        <f>'Stage 1 Inputs'!AP68</f>
        <v>4.2046926193909657</v>
      </c>
      <c r="W68" s="3">
        <f>'Stage 1 Inputs'!AQ68</f>
        <v>1</v>
      </c>
      <c r="X68" s="3">
        <f>'Stage 1 Inputs'!AR68</f>
        <v>0</v>
      </c>
      <c r="Y68" s="3">
        <f>'Stage 1 Inputs'!AS68</f>
        <v>0</v>
      </c>
      <c r="Z68" s="3">
        <f>'Stage 1 Inputs'!AT68</f>
        <v>0</v>
      </c>
      <c r="AA68" s="3">
        <f>'Stage 1 Inputs'!AU68</f>
        <v>1</v>
      </c>
      <c r="AB68" s="3">
        <f>'Stage 1 Inputs'!AV68</f>
        <v>0</v>
      </c>
      <c r="AC68" s="3">
        <f>'Stage 1 Inputs'!AW68</f>
        <v>4.2046926193909657</v>
      </c>
      <c r="AD68" s="3" t="str">
        <f>'Stage 1 Inputs'!AX68</f>
        <v>Historical official/source data</v>
      </c>
      <c r="AE68" s="3" t="str">
        <f>'Stage 1 Inputs'!AY68</f>
        <v>No special note</v>
      </c>
    </row>
    <row r="69" spans="1:31" ht="19.95" customHeight="1" x14ac:dyDescent="0.3">
      <c r="A69" s="3" t="str">
        <f>'Stage 1 Inputs'!A69</f>
        <v>2018Q4</v>
      </c>
      <c r="B69" s="3" t="str">
        <f>'Stage 1 Inputs'!B69</f>
        <v>Dec 2018</v>
      </c>
      <c r="C69" s="17">
        <f>'Stage 1 Inputs'!G69</f>
        <v>76787000000</v>
      </c>
      <c r="D69" s="17">
        <f>'Stage 1 Inputs'!H69</f>
        <v>4936700</v>
      </c>
      <c r="E69" s="17">
        <f>'Stage 1 Inputs'!I69</f>
        <v>15554.317661595804</v>
      </c>
      <c r="F69" s="17">
        <f>'Stage 1 Inputs'!E69</f>
        <v>1195</v>
      </c>
      <c r="G69" s="17">
        <f>'Stage 1 Inputs'!F69</f>
        <v>1.306276150627615</v>
      </c>
      <c r="H69" s="17">
        <f>'Stage 1 Inputs'!K69</f>
        <v>20318.234200628493</v>
      </c>
      <c r="I69" s="18">
        <f>'Stage 1 Inputs'!M69</f>
        <v>9.9192739983410618</v>
      </c>
      <c r="J69" s="19">
        <f>'Stage 1 Inputs'!N69</f>
        <v>216.60000000508612</v>
      </c>
      <c r="K69" s="19">
        <f>'Stage 1 Inputs'!D69</f>
        <v>1.3063414634146342</v>
      </c>
      <c r="L69" s="19">
        <f>'Stage 1 Inputs'!O69</f>
        <v>282.95356098225398</v>
      </c>
      <c r="M69" s="18">
        <f>'Stage 1 Inputs'!P69</f>
        <v>5.6452827887090358</v>
      </c>
      <c r="N69" s="3">
        <f>'Stage 1 Inputs'!T69</f>
        <v>1702.5580537077526</v>
      </c>
      <c r="O69" s="3">
        <f>'Stage 1 Inputs'!U69</f>
        <v>8405018343.7390623</v>
      </c>
      <c r="P69" s="3">
        <f>'Stage 1 Inputs'!V69</f>
        <v>7.4398871365364343</v>
      </c>
      <c r="Q69" s="3">
        <f>'Stage 1 Inputs'!W69</f>
        <v>22.852094786283974</v>
      </c>
      <c r="R69" s="3">
        <f>'Stage 1 Inputs'!X69</f>
        <v>4.3</v>
      </c>
      <c r="S69" s="3">
        <f>'Stage 1 Inputs'!Y69</f>
        <v>4.2999999999999997E-2</v>
      </c>
      <c r="T69" s="3">
        <f>'Stage 1 Inputs'!Z69</f>
        <v>-3.1465551632885749</v>
      </c>
      <c r="U69" s="3">
        <f>'Stage 1 Inputs'!AO69</f>
        <v>68</v>
      </c>
      <c r="V69" s="3">
        <f>'Stage 1 Inputs'!AP69</f>
        <v>4.219507705176107</v>
      </c>
      <c r="W69" s="3">
        <f>'Stage 1 Inputs'!AQ69</f>
        <v>1</v>
      </c>
      <c r="X69" s="3">
        <f>'Stage 1 Inputs'!AR69</f>
        <v>0</v>
      </c>
      <c r="Y69" s="3">
        <f>'Stage 1 Inputs'!AS69</f>
        <v>0</v>
      </c>
      <c r="Z69" s="3">
        <f>'Stage 1 Inputs'!AT69</f>
        <v>0</v>
      </c>
      <c r="AA69" s="3">
        <f>'Stage 1 Inputs'!AU69</f>
        <v>0</v>
      </c>
      <c r="AB69" s="3">
        <f>'Stage 1 Inputs'!AV69</f>
        <v>1</v>
      </c>
      <c r="AC69" s="3">
        <f>'Stage 1 Inputs'!AW69</f>
        <v>4.219507705176107</v>
      </c>
      <c r="AD69" s="3" t="str">
        <f>'Stage 1 Inputs'!AX69</f>
        <v>Historical official/source data</v>
      </c>
      <c r="AE69" s="3" t="str">
        <f>'Stage 1 Inputs'!AY69</f>
        <v>No special note</v>
      </c>
    </row>
    <row r="70" spans="1:31" ht="19.95" customHeight="1" x14ac:dyDescent="0.3">
      <c r="A70" s="3" t="str">
        <f>'Stage 1 Inputs'!A70</f>
        <v>2019Q1</v>
      </c>
      <c r="B70" s="3" t="str">
        <f>'Stage 1 Inputs'!B70</f>
        <v>Mar 2019</v>
      </c>
      <c r="C70" s="17">
        <f>'Stage 1 Inputs'!G70</f>
        <v>78271000000</v>
      </c>
      <c r="D70" s="17">
        <f>'Stage 1 Inputs'!H70</f>
        <v>4958700</v>
      </c>
      <c r="E70" s="17">
        <f>'Stage 1 Inputs'!I70</f>
        <v>15784.580636053804</v>
      </c>
      <c r="F70" s="17">
        <f>'Stage 1 Inputs'!E70</f>
        <v>1203</v>
      </c>
      <c r="G70" s="17">
        <f>'Stage 1 Inputs'!F70</f>
        <v>1.2975893599334996</v>
      </c>
      <c r="H70" s="17">
        <f>'Stage 1 Inputs'!K70</f>
        <v>20481.903884355768</v>
      </c>
      <c r="I70" s="18">
        <f>'Stage 1 Inputs'!M70</f>
        <v>9.9272970379359524</v>
      </c>
      <c r="J70" s="19">
        <f>'Stage 1 Inputs'!N70</f>
        <v>201.19999990402636</v>
      </c>
      <c r="K70" s="19">
        <f>'Stage 1 Inputs'!D70</f>
        <v>1.3050682261208577</v>
      </c>
      <c r="L70" s="19">
        <f>'Stage 1 Inputs'!O70</f>
        <v>262.5797269702644</v>
      </c>
      <c r="M70" s="18">
        <f>'Stage 1 Inputs'!P70</f>
        <v>5.5705547577090355</v>
      </c>
      <c r="N70" s="3">
        <f>'Stage 1 Inputs'!T70</f>
        <v>1664.9907275407782</v>
      </c>
      <c r="O70" s="3">
        <f>'Stage 1 Inputs'!U70</f>
        <v>8256189520.6564569</v>
      </c>
      <c r="P70" s="3">
        <f>'Stage 1 Inputs'!V70</f>
        <v>7.4175748333544593</v>
      </c>
      <c r="Q70" s="3">
        <f>'Stage 1 Inputs'!W70</f>
        <v>22.834229000928016</v>
      </c>
      <c r="R70" s="3">
        <f>'Stage 1 Inputs'!X70</f>
        <v>4.2</v>
      </c>
      <c r="S70" s="3">
        <f>'Stage 1 Inputs'!Y70</f>
        <v>4.2000000000000003E-2</v>
      </c>
      <c r="T70" s="3">
        <f>'Stage 1 Inputs'!Z70</f>
        <v>-3.1700856606987688</v>
      </c>
      <c r="U70" s="3">
        <f>'Stage 1 Inputs'!AO70</f>
        <v>69</v>
      </c>
      <c r="V70" s="3">
        <f>'Stage 1 Inputs'!AP70</f>
        <v>4.2341065045972597</v>
      </c>
      <c r="W70" s="3">
        <f>'Stage 1 Inputs'!AQ70</f>
        <v>1</v>
      </c>
      <c r="X70" s="3">
        <f>'Stage 1 Inputs'!AR70</f>
        <v>0</v>
      </c>
      <c r="Y70" s="3">
        <f>'Stage 1 Inputs'!AS70</f>
        <v>0</v>
      </c>
      <c r="Z70" s="3">
        <f>'Stage 1 Inputs'!AT70</f>
        <v>0</v>
      </c>
      <c r="AA70" s="3">
        <f>'Stage 1 Inputs'!AU70</f>
        <v>0</v>
      </c>
      <c r="AB70" s="3">
        <f>'Stage 1 Inputs'!AV70</f>
        <v>0</v>
      </c>
      <c r="AC70" s="3">
        <f>'Stage 1 Inputs'!AW70</f>
        <v>4.2341065045972597</v>
      </c>
      <c r="AD70" s="3" t="str">
        <f>'Stage 1 Inputs'!AX70</f>
        <v>Historical official/source data</v>
      </c>
      <c r="AE70" s="3" t="str">
        <f>'Stage 1 Inputs'!AY70</f>
        <v>No special note</v>
      </c>
    </row>
    <row r="71" spans="1:31" ht="19.95" customHeight="1" x14ac:dyDescent="0.3">
      <c r="A71" s="3" t="str">
        <f>'Stage 1 Inputs'!A71</f>
        <v>2019Q2</v>
      </c>
      <c r="B71" s="3" t="str">
        <f>'Stage 1 Inputs'!B71</f>
        <v>Jun 2019</v>
      </c>
      <c r="C71" s="17">
        <f>'Stage 1 Inputs'!G71</f>
        <v>79331000000</v>
      </c>
      <c r="D71" s="17">
        <f>'Stage 1 Inputs'!H71</f>
        <v>4970300</v>
      </c>
      <c r="E71" s="17">
        <f>'Stage 1 Inputs'!I71</f>
        <v>15961.008389835624</v>
      </c>
      <c r="F71" s="17">
        <f>'Stage 1 Inputs'!E71</f>
        <v>1220</v>
      </c>
      <c r="G71" s="17">
        <f>'Stage 1 Inputs'!F71</f>
        <v>1.2795081967213116</v>
      </c>
      <c r="H71" s="17">
        <f>'Stage 1 Inputs'!K71</f>
        <v>20422.241062732304</v>
      </c>
      <c r="I71" s="18">
        <f>'Stage 1 Inputs'!M71</f>
        <v>9.9243798341165395</v>
      </c>
      <c r="J71" s="19">
        <f>'Stage 1 Inputs'!N71</f>
        <v>213.09999999036768</v>
      </c>
      <c r="K71" s="19">
        <f>'Stage 1 Inputs'!D71</f>
        <v>1.2974806201550388</v>
      </c>
      <c r="L71" s="19">
        <f>'Stage 1 Inputs'!O71</f>
        <v>276.49312014254104</v>
      </c>
      <c r="M71" s="18">
        <f>'Stage 1 Inputs'!P71</f>
        <v>5.6221859387090349</v>
      </c>
      <c r="N71" s="3">
        <f>'Stage 1 Inputs'!T71</f>
        <v>1644.7482969301275</v>
      </c>
      <c r="O71" s="3">
        <f>'Stage 1 Inputs'!U71</f>
        <v>8174892460.2318125</v>
      </c>
      <c r="P71" s="3">
        <f>'Stage 1 Inputs'!V71</f>
        <v>7.4053426405073726</v>
      </c>
      <c r="Q71" s="3">
        <f>'Stage 1 Inputs'!W71</f>
        <v>22.8243333989315</v>
      </c>
      <c r="R71" s="3">
        <f>'Stage 1 Inputs'!X71</f>
        <v>4.0999999999999996</v>
      </c>
      <c r="S71" s="3">
        <f>'Stage 1 Inputs'!Y71</f>
        <v>4.0999999999999995E-2</v>
      </c>
      <c r="T71" s="3">
        <f>'Stage 1 Inputs'!Z71</f>
        <v>-3.1941832122778293</v>
      </c>
      <c r="U71" s="3">
        <f>'Stage 1 Inputs'!AO71</f>
        <v>70</v>
      </c>
      <c r="V71" s="3">
        <f>'Stage 1 Inputs'!AP71</f>
        <v>4.2484952420493594</v>
      </c>
      <c r="W71" s="3">
        <f>'Stage 1 Inputs'!AQ71</f>
        <v>1</v>
      </c>
      <c r="X71" s="3">
        <f>'Stage 1 Inputs'!AR71</f>
        <v>0</v>
      </c>
      <c r="Y71" s="3">
        <f>'Stage 1 Inputs'!AS71</f>
        <v>0</v>
      </c>
      <c r="Z71" s="3">
        <f>'Stage 1 Inputs'!AT71</f>
        <v>1</v>
      </c>
      <c r="AA71" s="3">
        <f>'Stage 1 Inputs'!AU71</f>
        <v>0</v>
      </c>
      <c r="AB71" s="3">
        <f>'Stage 1 Inputs'!AV71</f>
        <v>0</v>
      </c>
      <c r="AC71" s="3">
        <f>'Stage 1 Inputs'!AW71</f>
        <v>4.2484952420493594</v>
      </c>
      <c r="AD71" s="3" t="str">
        <f>'Stage 1 Inputs'!AX71</f>
        <v>Historical official/source data</v>
      </c>
      <c r="AE71" s="3" t="str">
        <f>'Stage 1 Inputs'!AY71</f>
        <v>No special note</v>
      </c>
    </row>
    <row r="72" spans="1:31" ht="19.95" customHeight="1" x14ac:dyDescent="0.3">
      <c r="A72" s="3" t="str">
        <f>'Stage 1 Inputs'!A72</f>
        <v>2019Q3</v>
      </c>
      <c r="B72" s="3" t="str">
        <f>'Stage 1 Inputs'!B72</f>
        <v>Sep 2019</v>
      </c>
      <c r="C72" s="17">
        <f>'Stage 1 Inputs'!G72</f>
        <v>80380000000</v>
      </c>
      <c r="D72" s="17">
        <f>'Stage 1 Inputs'!H72</f>
        <v>4995800</v>
      </c>
      <c r="E72" s="17">
        <f>'Stage 1 Inputs'!I72</f>
        <v>16089.515192761921</v>
      </c>
      <c r="F72" s="17">
        <f>'Stage 1 Inputs'!E72</f>
        <v>1226</v>
      </c>
      <c r="G72" s="17">
        <f>'Stage 1 Inputs'!F72</f>
        <v>1.2732463295269167</v>
      </c>
      <c r="H72" s="17">
        <f>'Stage 1 Inputs'!K72</f>
        <v>20485.916163051676</v>
      </c>
      <c r="I72" s="18">
        <f>'Stage 1 Inputs'!M72</f>
        <v>9.9274929125860591</v>
      </c>
      <c r="J72" s="19">
        <f>'Stage 1 Inputs'!N72</f>
        <v>211.20000006018864</v>
      </c>
      <c r="K72" s="19">
        <f>'Stage 1 Inputs'!D72</f>
        <v>1.2887391722810395</v>
      </c>
      <c r="L72" s="19">
        <f>'Stage 1 Inputs'!O72</f>
        <v>272.18171326332299</v>
      </c>
      <c r="M72" s="18">
        <f>'Stage 1 Inputs'!P72</f>
        <v>5.6064699067090356</v>
      </c>
      <c r="N72" s="3">
        <f>'Stage 1 Inputs'!T72</f>
        <v>1616.2718490221559</v>
      </c>
      <c r="O72" s="3">
        <f>'Stage 1 Inputs'!U72</f>
        <v>8074570903.3448868</v>
      </c>
      <c r="P72" s="3">
        <f>'Stage 1 Inputs'!V72</f>
        <v>7.3878774483378695</v>
      </c>
      <c r="Q72" s="3">
        <f>'Stage 1 Inputs'!W72</f>
        <v>22.811985565738553</v>
      </c>
      <c r="R72" s="3">
        <f>'Stage 1 Inputs'!X72</f>
        <v>4.0999999999999996</v>
      </c>
      <c r="S72" s="3">
        <f>'Stage 1 Inputs'!Y72</f>
        <v>4.0999999999999995E-2</v>
      </c>
      <c r="T72" s="3">
        <f>'Stage 1 Inputs'!Z72</f>
        <v>-3.1941832122778293</v>
      </c>
      <c r="U72" s="3">
        <f>'Stage 1 Inputs'!AO72</f>
        <v>71</v>
      </c>
      <c r="V72" s="3">
        <f>'Stage 1 Inputs'!AP72</f>
        <v>4.2626798770413155</v>
      </c>
      <c r="W72" s="3">
        <f>'Stage 1 Inputs'!AQ72</f>
        <v>1</v>
      </c>
      <c r="X72" s="3">
        <f>'Stage 1 Inputs'!AR72</f>
        <v>0</v>
      </c>
      <c r="Y72" s="3">
        <f>'Stage 1 Inputs'!AS72</f>
        <v>0</v>
      </c>
      <c r="Z72" s="3">
        <f>'Stage 1 Inputs'!AT72</f>
        <v>0</v>
      </c>
      <c r="AA72" s="3">
        <f>'Stage 1 Inputs'!AU72</f>
        <v>1</v>
      </c>
      <c r="AB72" s="3">
        <f>'Stage 1 Inputs'!AV72</f>
        <v>0</v>
      </c>
      <c r="AC72" s="3">
        <f>'Stage 1 Inputs'!AW72</f>
        <v>4.2626798770413155</v>
      </c>
      <c r="AD72" s="3" t="str">
        <f>'Stage 1 Inputs'!AX72</f>
        <v>Historical official/source data</v>
      </c>
      <c r="AE72" s="3" t="str">
        <f>'Stage 1 Inputs'!AY72</f>
        <v>No special note</v>
      </c>
    </row>
    <row r="73" spans="1:31" ht="19.95" customHeight="1" x14ac:dyDescent="0.3">
      <c r="A73" s="3" t="str">
        <f>'Stage 1 Inputs'!A73</f>
        <v>2019Q4</v>
      </c>
      <c r="B73" s="3" t="str">
        <f>'Stage 1 Inputs'!B73</f>
        <v>Dec 2019</v>
      </c>
      <c r="C73" s="17">
        <f>'Stage 1 Inputs'!G73</f>
        <v>81861000000</v>
      </c>
      <c r="D73" s="17">
        <f>'Stage 1 Inputs'!H73</f>
        <v>5027100</v>
      </c>
      <c r="E73" s="17">
        <f>'Stage 1 Inputs'!I73</f>
        <v>16283.941039565554</v>
      </c>
      <c r="F73" s="17">
        <f>'Stage 1 Inputs'!E73</f>
        <v>1240</v>
      </c>
      <c r="G73" s="17">
        <f>'Stage 1 Inputs'!F73</f>
        <v>1.2588709677419354</v>
      </c>
      <c r="H73" s="17">
        <f>'Stage 1 Inputs'!K73</f>
        <v>20499.380615130507</v>
      </c>
      <c r="I73" s="18">
        <f>'Stage 1 Inputs'!M73</f>
        <v>9.9281499507739781</v>
      </c>
      <c r="J73" s="19">
        <f>'Stage 1 Inputs'!N73</f>
        <v>214.00000009385948</v>
      </c>
      <c r="K73" s="19">
        <f>'Stage 1 Inputs'!D73</f>
        <v>1.2825670498084292</v>
      </c>
      <c r="L73" s="19">
        <f>'Stage 1 Inputs'!O73</f>
        <v>274.46934877938492</v>
      </c>
      <c r="M73" s="18">
        <f>'Stage 1 Inputs'!P73</f>
        <v>5.6148395927090355</v>
      </c>
      <c r="N73" s="3">
        <f>'Stage 1 Inputs'!T73</f>
        <v>1578.7822651969495</v>
      </c>
      <c r="O73" s="3">
        <f>'Stage 1 Inputs'!U73</f>
        <v>7936696325.3715849</v>
      </c>
      <c r="P73" s="3">
        <f>'Stage 1 Inputs'!V73</f>
        <v>7.3644091106352469</v>
      </c>
      <c r="Q73" s="3">
        <f>'Stage 1 Inputs'!W73</f>
        <v>22.79476294569217</v>
      </c>
      <c r="R73" s="3">
        <f>'Stage 1 Inputs'!X73</f>
        <v>4.0999999999999996</v>
      </c>
      <c r="S73" s="3">
        <f>'Stage 1 Inputs'!Y73</f>
        <v>4.0999999999999995E-2</v>
      </c>
      <c r="T73" s="3">
        <f>'Stage 1 Inputs'!Z73</f>
        <v>-3.1941832122778293</v>
      </c>
      <c r="U73" s="3">
        <f>'Stage 1 Inputs'!AO73</f>
        <v>72</v>
      </c>
      <c r="V73" s="3">
        <f>'Stage 1 Inputs'!AP73</f>
        <v>4.2766661190160553</v>
      </c>
      <c r="W73" s="3">
        <f>'Stage 1 Inputs'!AQ73</f>
        <v>1</v>
      </c>
      <c r="X73" s="3">
        <f>'Stage 1 Inputs'!AR73</f>
        <v>0</v>
      </c>
      <c r="Y73" s="3">
        <f>'Stage 1 Inputs'!AS73</f>
        <v>0</v>
      </c>
      <c r="Z73" s="3">
        <f>'Stage 1 Inputs'!AT73</f>
        <v>0</v>
      </c>
      <c r="AA73" s="3">
        <f>'Stage 1 Inputs'!AU73</f>
        <v>0</v>
      </c>
      <c r="AB73" s="3">
        <f>'Stage 1 Inputs'!AV73</f>
        <v>1</v>
      </c>
      <c r="AC73" s="3">
        <f>'Stage 1 Inputs'!AW73</f>
        <v>4.2766661190160553</v>
      </c>
      <c r="AD73" s="3" t="str">
        <f>'Stage 1 Inputs'!AX73</f>
        <v>Historical official/source data</v>
      </c>
      <c r="AE73" s="3" t="str">
        <f>'Stage 1 Inputs'!AY73</f>
        <v>No special note</v>
      </c>
    </row>
    <row r="74" spans="1:31" ht="19.95" customHeight="1" x14ac:dyDescent="0.3">
      <c r="A74" s="3" t="str">
        <f>'Stage 1 Inputs'!A74</f>
        <v>2020Q1</v>
      </c>
      <c r="B74" s="3" t="str">
        <f>'Stage 1 Inputs'!B74</f>
        <v>Mar 2020</v>
      </c>
      <c r="C74" s="17">
        <f>'Stage 1 Inputs'!G74</f>
        <v>81939000000</v>
      </c>
      <c r="D74" s="17">
        <f>'Stage 1 Inputs'!H74</f>
        <v>5067300</v>
      </c>
      <c r="E74" s="17">
        <f>'Stage 1 Inputs'!I74</f>
        <v>16170.14978390859</v>
      </c>
      <c r="F74" s="17">
        <f>'Stage 1 Inputs'!E74</f>
        <v>1251</v>
      </c>
      <c r="G74" s="17">
        <f>'Stage 1 Inputs'!F74</f>
        <v>1.2478017585931256</v>
      </c>
      <c r="H74" s="17">
        <f>'Stage 1 Inputs'!K74</f>
        <v>20177.141337075391</v>
      </c>
      <c r="I74" s="18">
        <f>'Stage 1 Inputs'!M74</f>
        <v>9.9123056256508963</v>
      </c>
      <c r="J74" s="19">
        <f>'Stage 1 Inputs'!N74</f>
        <v>208.89999994840122</v>
      </c>
      <c r="K74" s="19">
        <f>'Stage 1 Inputs'!D74</f>
        <v>1.2728136882129277</v>
      </c>
      <c r="L74" s="19">
        <f>'Stage 1 Inputs'!O74</f>
        <v>265.89077940200497</v>
      </c>
      <c r="M74" s="18">
        <f>'Stage 1 Inputs'!P74</f>
        <v>5.5830856207090349</v>
      </c>
      <c r="N74" s="3">
        <f>'Stage 1 Inputs'!T74</f>
        <v>1506.7858332566739</v>
      </c>
      <c r="O74" s="3">
        <f>'Stage 1 Inputs'!U74</f>
        <v>7635335852.8615437</v>
      </c>
      <c r="P74" s="3">
        <f>'Stage 1 Inputs'!V74</f>
        <v>7.317734073899965</v>
      </c>
      <c r="Q74" s="3">
        <f>'Stage 1 Inputs'!W74</f>
        <v>22.756052763236511</v>
      </c>
      <c r="R74" s="3">
        <f>'Stage 1 Inputs'!X74</f>
        <v>4.2</v>
      </c>
      <c r="S74" s="3">
        <f>'Stage 1 Inputs'!Y74</f>
        <v>4.2000000000000003E-2</v>
      </c>
      <c r="T74" s="3">
        <f>'Stage 1 Inputs'!Z74</f>
        <v>-3.1700856606987688</v>
      </c>
      <c r="U74" s="3">
        <f>'Stage 1 Inputs'!AO74</f>
        <v>73</v>
      </c>
      <c r="V74" s="3">
        <f>'Stage 1 Inputs'!AP74</f>
        <v>4.290459441148391</v>
      </c>
      <c r="W74" s="3">
        <f>'Stage 1 Inputs'!AQ74</f>
        <v>1</v>
      </c>
      <c r="X74" s="3">
        <f>'Stage 1 Inputs'!AR74</f>
        <v>1</v>
      </c>
      <c r="Y74" s="3">
        <f>'Stage 1 Inputs'!AS74</f>
        <v>0</v>
      </c>
      <c r="Z74" s="3">
        <f>'Stage 1 Inputs'!AT74</f>
        <v>0</v>
      </c>
      <c r="AA74" s="3">
        <f>'Stage 1 Inputs'!AU74</f>
        <v>0</v>
      </c>
      <c r="AB74" s="3">
        <f>'Stage 1 Inputs'!AV74</f>
        <v>0</v>
      </c>
      <c r="AC74" s="3">
        <f>'Stage 1 Inputs'!AW74</f>
        <v>4.290459441148391</v>
      </c>
      <c r="AD74" s="3" t="str">
        <f>'Stage 1 Inputs'!AX74</f>
        <v>Historical official/source data</v>
      </c>
      <c r="AE74" s="3" t="str">
        <f>'Stage 1 Inputs'!AY74</f>
        <v>No special note</v>
      </c>
    </row>
    <row r="75" spans="1:31" ht="19.95" customHeight="1" x14ac:dyDescent="0.3">
      <c r="A75" s="3" t="str">
        <f>'Stage 1 Inputs'!A75</f>
        <v>2020Q2</v>
      </c>
      <c r="B75" s="3" t="str">
        <f>'Stage 1 Inputs'!B75</f>
        <v>Jun 2020</v>
      </c>
      <c r="C75" s="17">
        <f>'Stage 1 Inputs'!G75</f>
        <v>73696000000</v>
      </c>
      <c r="D75" s="17">
        <f>'Stage 1 Inputs'!H75</f>
        <v>5072400</v>
      </c>
      <c r="E75" s="17">
        <f>'Stage 1 Inputs'!I75</f>
        <v>14528.822648056146</v>
      </c>
      <c r="F75" s="17">
        <f>'Stage 1 Inputs'!E75</f>
        <v>1250</v>
      </c>
      <c r="G75" s="17">
        <f>'Stage 1 Inputs'!F75</f>
        <v>1.2487999999999999</v>
      </c>
      <c r="H75" s="17">
        <f>'Stage 1 Inputs'!K75</f>
        <v>18143.593722892518</v>
      </c>
      <c r="I75" s="18">
        <f>'Stage 1 Inputs'!M75</f>
        <v>9.8060728144608902</v>
      </c>
      <c r="J75" s="19">
        <f>'Stage 1 Inputs'!N75</f>
        <v>183.00000000859706</v>
      </c>
      <c r="K75" s="19">
        <f>'Stage 1 Inputs'!D75</f>
        <v>1.2788920725883477</v>
      </c>
      <c r="L75" s="19">
        <f>'Stage 1 Inputs'!O75</f>
        <v>234.03724929466233</v>
      </c>
      <c r="M75" s="18">
        <f>'Stage 1 Inputs'!P75</f>
        <v>5.4554802877090349</v>
      </c>
      <c r="N75" s="3">
        <f>'Stage 1 Inputs'!T75</f>
        <v>1476.9731528047046</v>
      </c>
      <c r="O75" s="3">
        <f>'Stage 1 Inputs'!U75</f>
        <v>7491798620.2865839</v>
      </c>
      <c r="P75" s="3">
        <f>'Stage 1 Inputs'!V75</f>
        <v>7.2977501055244085</v>
      </c>
      <c r="Q75" s="3">
        <f>'Stage 1 Inputs'!W75</f>
        <v>22.737074741867289</v>
      </c>
      <c r="R75" s="3">
        <f>'Stage 1 Inputs'!X75</f>
        <v>4.0999999999999996</v>
      </c>
      <c r="S75" s="3">
        <f>'Stage 1 Inputs'!Y75</f>
        <v>4.0999999999999995E-2</v>
      </c>
      <c r="T75" s="3">
        <f>'Stage 1 Inputs'!Z75</f>
        <v>-3.1941832122778293</v>
      </c>
      <c r="U75" s="3">
        <f>'Stage 1 Inputs'!AO75</f>
        <v>74</v>
      </c>
      <c r="V75" s="3">
        <f>'Stage 1 Inputs'!AP75</f>
        <v>4.3040650932041702</v>
      </c>
      <c r="W75" s="3">
        <f>'Stage 1 Inputs'!AQ75</f>
        <v>1</v>
      </c>
      <c r="X75" s="3">
        <f>'Stage 1 Inputs'!AR75</f>
        <v>1</v>
      </c>
      <c r="Y75" s="3">
        <f>'Stage 1 Inputs'!AS75</f>
        <v>0</v>
      </c>
      <c r="Z75" s="3">
        <f>'Stage 1 Inputs'!AT75</f>
        <v>1</v>
      </c>
      <c r="AA75" s="3">
        <f>'Stage 1 Inputs'!AU75</f>
        <v>0</v>
      </c>
      <c r="AB75" s="3">
        <f>'Stage 1 Inputs'!AV75</f>
        <v>0</v>
      </c>
      <c r="AC75" s="3">
        <f>'Stage 1 Inputs'!AW75</f>
        <v>4.3040650932041702</v>
      </c>
      <c r="AD75" s="3" t="str">
        <f>'Stage 1 Inputs'!AX75</f>
        <v>Historical official/source data</v>
      </c>
      <c r="AE75" s="3" t="str">
        <f>'Stage 1 Inputs'!AY75</f>
        <v>No special note</v>
      </c>
    </row>
    <row r="76" spans="1:31" ht="19.95" customHeight="1" x14ac:dyDescent="0.3">
      <c r="A76" s="3" t="str">
        <f>'Stage 1 Inputs'!A76</f>
        <v>2020Q3</v>
      </c>
      <c r="B76" s="3" t="str">
        <f>'Stage 1 Inputs'!B76</f>
        <v>Sep 2020</v>
      </c>
      <c r="C76" s="17">
        <f>'Stage 1 Inputs'!G76</f>
        <v>84045000000</v>
      </c>
      <c r="D76" s="17">
        <f>'Stage 1 Inputs'!H76</f>
        <v>5078700</v>
      </c>
      <c r="E76" s="17">
        <f>'Stage 1 Inputs'!I76</f>
        <v>16548.526197649004</v>
      </c>
      <c r="F76" s="17">
        <f>'Stage 1 Inputs'!E76</f>
        <v>1250</v>
      </c>
      <c r="G76" s="17">
        <f>'Stage 1 Inputs'!F76</f>
        <v>1.2487999999999999</v>
      </c>
      <c r="H76" s="17">
        <f>'Stage 1 Inputs'!K76</f>
        <v>20665.799515624076</v>
      </c>
      <c r="I76" s="18">
        <f>'Stage 1 Inputs'!M76</f>
        <v>9.9362354155574035</v>
      </c>
      <c r="J76" s="19">
        <f>'Stage 1 Inputs'!N76</f>
        <v>186.39999997533559</v>
      </c>
      <c r="K76" s="19">
        <f>'Stage 1 Inputs'!D76</f>
        <v>1.2703984819734346</v>
      </c>
      <c r="L76" s="19">
        <f>'Stage 1 Inputs'!O76</f>
        <v>236.80227700851458</v>
      </c>
      <c r="M76" s="18">
        <f>'Stage 1 Inputs'!P76</f>
        <v>5.4672255187090357</v>
      </c>
      <c r="N76" s="3">
        <f>'Stage 1 Inputs'!T76</f>
        <v>1518.7948311969797</v>
      </c>
      <c r="O76" s="3">
        <f>'Stage 1 Inputs'!U76</f>
        <v>7713503309.2001009</v>
      </c>
      <c r="P76" s="3">
        <f>'Stage 1 Inputs'!V76</f>
        <v>7.3256724251368048</v>
      </c>
      <c r="Q76" s="3">
        <f>'Stage 1 Inputs'!W76</f>
        <v>22.766238306430257</v>
      </c>
      <c r="R76" s="3">
        <f>'Stage 1 Inputs'!X76</f>
        <v>5.2</v>
      </c>
      <c r="S76" s="3">
        <f>'Stage 1 Inputs'!Y76</f>
        <v>5.2000000000000005E-2</v>
      </c>
      <c r="T76" s="3">
        <f>'Stage 1 Inputs'!Z76</f>
        <v>-2.9565115604007097</v>
      </c>
      <c r="U76" s="3">
        <f>'Stage 1 Inputs'!AO76</f>
        <v>75</v>
      </c>
      <c r="V76" s="3">
        <f>'Stage 1 Inputs'!AP76</f>
        <v>4.3174881135363101</v>
      </c>
      <c r="W76" s="3">
        <f>'Stage 1 Inputs'!AQ76</f>
        <v>1</v>
      </c>
      <c r="X76" s="3">
        <f>'Stage 1 Inputs'!AR76</f>
        <v>1</v>
      </c>
      <c r="Y76" s="3">
        <f>'Stage 1 Inputs'!AS76</f>
        <v>0</v>
      </c>
      <c r="Z76" s="3">
        <f>'Stage 1 Inputs'!AT76</f>
        <v>0</v>
      </c>
      <c r="AA76" s="3">
        <f>'Stage 1 Inputs'!AU76</f>
        <v>1</v>
      </c>
      <c r="AB76" s="3">
        <f>'Stage 1 Inputs'!AV76</f>
        <v>0</v>
      </c>
      <c r="AC76" s="3">
        <f>'Stage 1 Inputs'!AW76</f>
        <v>4.3174881135363101</v>
      </c>
      <c r="AD76" s="3" t="str">
        <f>'Stage 1 Inputs'!AX76</f>
        <v>Historical official/source data</v>
      </c>
      <c r="AE76" s="3" t="str">
        <f>'Stage 1 Inputs'!AY76</f>
        <v>No special note</v>
      </c>
    </row>
    <row r="77" spans="1:31" ht="19.95" customHeight="1" x14ac:dyDescent="0.3">
      <c r="A77" s="3" t="str">
        <f>'Stage 1 Inputs'!A77</f>
        <v>2020Q4</v>
      </c>
      <c r="B77" s="3" t="str">
        <f>'Stage 1 Inputs'!B77</f>
        <v>Dec 2020</v>
      </c>
      <c r="C77" s="17">
        <f>'Stage 1 Inputs'!G77</f>
        <v>84539000000</v>
      </c>
      <c r="D77" s="17">
        <f>'Stage 1 Inputs'!H77</f>
        <v>5081400</v>
      </c>
      <c r="E77" s="17">
        <f>'Stage 1 Inputs'!I77</f>
        <v>16636.950446727278</v>
      </c>
      <c r="F77" s="17">
        <f>'Stage 1 Inputs'!E77</f>
        <v>1252</v>
      </c>
      <c r="G77" s="17">
        <f>'Stage 1 Inputs'!F77</f>
        <v>1.2468051118210863</v>
      </c>
      <c r="H77" s="17">
        <f>'Stage 1 Inputs'!K77</f>
        <v>20743.034862093678</v>
      </c>
      <c r="I77" s="18">
        <f>'Stage 1 Inputs'!M77</f>
        <v>9.9399658000126063</v>
      </c>
      <c r="J77" s="19">
        <f>'Stage 1 Inputs'!N77</f>
        <v>186.79999996722162</v>
      </c>
      <c r="K77" s="19">
        <f>'Stage 1 Inputs'!D77</f>
        <v>1.2644003777148254</v>
      </c>
      <c r="L77" s="19">
        <f>'Stage 1 Inputs'!O77</f>
        <v>236.1899905156844</v>
      </c>
      <c r="M77" s="18">
        <f>'Stage 1 Inputs'!P77</f>
        <v>5.464636525709035</v>
      </c>
      <c r="N77" s="3">
        <f>'Stage 1 Inputs'!T77</f>
        <v>1541.7142427336294</v>
      </c>
      <c r="O77" s="3">
        <f>'Stage 1 Inputs'!U77</f>
        <v>7834066753.0266638</v>
      </c>
      <c r="P77" s="3">
        <f>'Stage 1 Inputs'!V77</f>
        <v>7.3406502209537949</v>
      </c>
      <c r="Q77" s="3">
        <f>'Stage 1 Inputs'!W77</f>
        <v>22.781747593091541</v>
      </c>
      <c r="R77" s="3">
        <f>'Stage 1 Inputs'!X77</f>
        <v>4.9000000000000004</v>
      </c>
      <c r="S77" s="3">
        <f>'Stage 1 Inputs'!Y77</f>
        <v>4.9000000000000002E-2</v>
      </c>
      <c r="T77" s="3">
        <f>'Stage 1 Inputs'!Z77</f>
        <v>-3.0159349808715104</v>
      </c>
      <c r="U77" s="3">
        <f>'Stage 1 Inputs'!AO77</f>
        <v>76</v>
      </c>
      <c r="V77" s="3">
        <f>'Stage 1 Inputs'!AP77</f>
        <v>4.3307333402863311</v>
      </c>
      <c r="W77" s="3">
        <f>'Stage 1 Inputs'!AQ77</f>
        <v>1</v>
      </c>
      <c r="X77" s="3">
        <f>'Stage 1 Inputs'!AR77</f>
        <v>1</v>
      </c>
      <c r="Y77" s="3">
        <f>'Stage 1 Inputs'!AS77</f>
        <v>0</v>
      </c>
      <c r="Z77" s="3">
        <f>'Stage 1 Inputs'!AT77</f>
        <v>0</v>
      </c>
      <c r="AA77" s="3">
        <f>'Stage 1 Inputs'!AU77</f>
        <v>0</v>
      </c>
      <c r="AB77" s="3">
        <f>'Stage 1 Inputs'!AV77</f>
        <v>1</v>
      </c>
      <c r="AC77" s="3">
        <f>'Stage 1 Inputs'!AW77</f>
        <v>4.3307333402863311</v>
      </c>
      <c r="AD77" s="3" t="str">
        <f>'Stage 1 Inputs'!AX77</f>
        <v>Historical official/source data</v>
      </c>
      <c r="AE77" s="3" t="str">
        <f>'Stage 1 Inputs'!AY77</f>
        <v>No special note</v>
      </c>
    </row>
    <row r="78" spans="1:31" ht="19.95" customHeight="1" x14ac:dyDescent="0.3">
      <c r="A78" s="3" t="str">
        <f>'Stage 1 Inputs'!A78</f>
        <v>2021Q1</v>
      </c>
      <c r="B78" s="3" t="str">
        <f>'Stage 1 Inputs'!B78</f>
        <v>Mar 2021</v>
      </c>
      <c r="C78" s="17">
        <f>'Stage 1 Inputs'!G78</f>
        <v>86716000000</v>
      </c>
      <c r="D78" s="17">
        <f>'Stage 1 Inputs'!H78</f>
        <v>5083400</v>
      </c>
      <c r="E78" s="17">
        <f>'Stage 1 Inputs'!I78</f>
        <v>17058.661525750482</v>
      </c>
      <c r="F78" s="17">
        <f>'Stage 1 Inputs'!E78</f>
        <v>1258</v>
      </c>
      <c r="G78" s="17">
        <f>'Stage 1 Inputs'!F78</f>
        <v>1.2408585055643879</v>
      </c>
      <c r="H78" s="17">
        <f>'Stage 1 Inputs'!K78</f>
        <v>21167.385247771464</v>
      </c>
      <c r="I78" s="18">
        <f>'Stage 1 Inputs'!M78</f>
        <v>9.9602168443500414</v>
      </c>
      <c r="J78" s="19">
        <f>'Stage 1 Inputs'!N78</f>
        <v>200.29999997320598</v>
      </c>
      <c r="K78" s="19">
        <f>'Stage 1 Inputs'!D78</f>
        <v>1.2537453183520599</v>
      </c>
      <c r="L78" s="19">
        <f>'Stage 1 Inputs'!O78</f>
        <v>251.12518723232472</v>
      </c>
      <c r="M78" s="18">
        <f>'Stage 1 Inputs'!P78</f>
        <v>5.5259515687090355</v>
      </c>
      <c r="N78" s="3">
        <f>'Stage 1 Inputs'!T78</f>
        <v>1517.525141584026</v>
      </c>
      <c r="O78" s="3">
        <f>'Stage 1 Inputs'!U78</f>
        <v>7714187304.7282372</v>
      </c>
      <c r="P78" s="3">
        <f>'Stage 1 Inputs'!V78</f>
        <v>7.3248360905618304</v>
      </c>
      <c r="Q78" s="3">
        <f>'Stage 1 Inputs'!W78</f>
        <v>22.766326977579517</v>
      </c>
      <c r="R78" s="3">
        <f>'Stage 1 Inputs'!X78</f>
        <v>4.5999999999999996</v>
      </c>
      <c r="S78" s="3">
        <f>'Stage 1 Inputs'!Y78</f>
        <v>4.5999999999999999E-2</v>
      </c>
      <c r="T78" s="3">
        <f>'Stage 1 Inputs'!Z78</f>
        <v>-3.0791138824930422</v>
      </c>
      <c r="U78" s="3">
        <f>'Stage 1 Inputs'!AO78</f>
        <v>77</v>
      </c>
      <c r="V78" s="3">
        <f>'Stage 1 Inputs'!AP78</f>
        <v>4.3438054218536841</v>
      </c>
      <c r="W78" s="3">
        <f>'Stage 1 Inputs'!AQ78</f>
        <v>1</v>
      </c>
      <c r="X78" s="3">
        <f>'Stage 1 Inputs'!AR78</f>
        <v>0</v>
      </c>
      <c r="Y78" s="3">
        <f>'Stage 1 Inputs'!AS78</f>
        <v>1</v>
      </c>
      <c r="Z78" s="3">
        <f>'Stage 1 Inputs'!AT78</f>
        <v>0</v>
      </c>
      <c r="AA78" s="3">
        <f>'Stage 1 Inputs'!AU78</f>
        <v>0</v>
      </c>
      <c r="AB78" s="3">
        <f>'Stage 1 Inputs'!AV78</f>
        <v>0</v>
      </c>
      <c r="AC78" s="3">
        <f>'Stage 1 Inputs'!AW78</f>
        <v>4.3438054218536841</v>
      </c>
      <c r="AD78" s="3" t="str">
        <f>'Stage 1 Inputs'!AX78</f>
        <v>Historical official/source data</v>
      </c>
      <c r="AE78" s="3" t="str">
        <f>'Stage 1 Inputs'!AY78</f>
        <v>No special note</v>
      </c>
    </row>
    <row r="79" spans="1:31" ht="19.95" customHeight="1" x14ac:dyDescent="0.3">
      <c r="A79" s="3" t="str">
        <f>'Stage 1 Inputs'!A79</f>
        <v>2021Q2</v>
      </c>
      <c r="B79" s="3" t="str">
        <f>'Stage 1 Inputs'!B79</f>
        <v>Jun 2021</v>
      </c>
      <c r="C79" s="17">
        <f>'Stage 1 Inputs'!G79</f>
        <v>88442000000</v>
      </c>
      <c r="D79" s="17">
        <f>'Stage 1 Inputs'!H79</f>
        <v>5084600</v>
      </c>
      <c r="E79" s="17">
        <f>'Stage 1 Inputs'!I79</f>
        <v>17394.091963969633</v>
      </c>
      <c r="F79" s="17">
        <f>'Stage 1 Inputs'!E79</f>
        <v>1273</v>
      </c>
      <c r="G79" s="17">
        <f>'Stage 1 Inputs'!F79</f>
        <v>1.2262372348782404</v>
      </c>
      <c r="H79" s="17">
        <f>'Stage 1 Inputs'!K79</f>
        <v>21329.283233115944</v>
      </c>
      <c r="I79" s="18">
        <f>'Stage 1 Inputs'!M79</f>
        <v>9.9678362072025113</v>
      </c>
      <c r="J79" s="19">
        <f>'Stage 1 Inputs'!N79</f>
        <v>212.89999989884188</v>
      </c>
      <c r="K79" s="19">
        <f>'Stage 1 Inputs'!D79</f>
        <v>1.2375231053604436</v>
      </c>
      <c r="L79" s="19">
        <f>'Stage 1 Inputs'!O79</f>
        <v>263.46866900605295</v>
      </c>
      <c r="M79" s="18">
        <f>'Stage 1 Inputs'!P79</f>
        <v>5.5739344577090355</v>
      </c>
      <c r="N79" s="3">
        <f>'Stage 1 Inputs'!T79</f>
        <v>1521.0163063402231</v>
      </c>
      <c r="O79" s="3">
        <f>'Stage 1 Inputs'!U79</f>
        <v>7733759511.2174978</v>
      </c>
      <c r="P79" s="3">
        <f>'Stage 1 Inputs'!V79</f>
        <v>7.3271340130040761</v>
      </c>
      <c r="Q79" s="3">
        <f>'Stage 1 Inputs'!W79</f>
        <v>22.768860934641268</v>
      </c>
      <c r="R79" s="3">
        <f>'Stage 1 Inputs'!X79</f>
        <v>4</v>
      </c>
      <c r="S79" s="3">
        <f>'Stage 1 Inputs'!Y79</f>
        <v>0.04</v>
      </c>
      <c r="T79" s="3">
        <f>'Stage 1 Inputs'!Z79</f>
        <v>-3.2188758248682006</v>
      </c>
      <c r="U79" s="3">
        <f>'Stage 1 Inputs'!AO79</f>
        <v>78</v>
      </c>
      <c r="V79" s="3">
        <f>'Stage 1 Inputs'!AP79</f>
        <v>4.3567088266895917</v>
      </c>
      <c r="W79" s="3">
        <f>'Stage 1 Inputs'!AQ79</f>
        <v>1</v>
      </c>
      <c r="X79" s="3">
        <f>'Stage 1 Inputs'!AR79</f>
        <v>0</v>
      </c>
      <c r="Y79" s="3">
        <f>'Stage 1 Inputs'!AS79</f>
        <v>1</v>
      </c>
      <c r="Z79" s="3">
        <f>'Stage 1 Inputs'!AT79</f>
        <v>1</v>
      </c>
      <c r="AA79" s="3">
        <f>'Stage 1 Inputs'!AU79</f>
        <v>0</v>
      </c>
      <c r="AB79" s="3">
        <f>'Stage 1 Inputs'!AV79</f>
        <v>0</v>
      </c>
      <c r="AC79" s="3">
        <f>'Stage 1 Inputs'!AW79</f>
        <v>4.3567088266895917</v>
      </c>
      <c r="AD79" s="3" t="str">
        <f>'Stage 1 Inputs'!AX79</f>
        <v>Historical official/source data</v>
      </c>
      <c r="AE79" s="3" t="str">
        <f>'Stage 1 Inputs'!AY79</f>
        <v>No special note</v>
      </c>
    </row>
    <row r="80" spans="1:31" ht="19.95" customHeight="1" x14ac:dyDescent="0.3">
      <c r="A80" s="3" t="str">
        <f>'Stage 1 Inputs'!A80</f>
        <v>2021Q3</v>
      </c>
      <c r="B80" s="3" t="str">
        <f>'Stage 1 Inputs'!B80</f>
        <v>Sep 2021</v>
      </c>
      <c r="C80" s="17">
        <f>'Stage 1 Inputs'!G80</f>
        <v>86465000000</v>
      </c>
      <c r="D80" s="17">
        <f>'Stage 1 Inputs'!H80</f>
        <v>5086100</v>
      </c>
      <c r="E80" s="17">
        <f>'Stage 1 Inputs'!I80</f>
        <v>17000.255598592241</v>
      </c>
      <c r="F80" s="17">
        <f>'Stage 1 Inputs'!E80</f>
        <v>1302</v>
      </c>
      <c r="G80" s="17">
        <f>'Stage 1 Inputs'!F80</f>
        <v>1.1989247311827957</v>
      </c>
      <c r="H80" s="17">
        <f>'Stage 1 Inputs'!K80</f>
        <v>20382.02687358102</v>
      </c>
      <c r="I80" s="18">
        <f>'Stage 1 Inputs'!M80</f>
        <v>9.9224087558835521</v>
      </c>
      <c r="J80" s="19">
        <f>'Stage 1 Inputs'!N80</f>
        <v>227.39999995081513</v>
      </c>
      <c r="K80" s="19">
        <f>'Stage 1 Inputs'!D80</f>
        <v>1.2106690777576854</v>
      </c>
      <c r="L80" s="19">
        <f>'Stage 1 Inputs'!O80</f>
        <v>275.30614822255103</v>
      </c>
      <c r="M80" s="18">
        <f>'Stage 1 Inputs'!P80</f>
        <v>5.6178837447090357</v>
      </c>
      <c r="N80" s="3">
        <f>'Stage 1 Inputs'!T80</f>
        <v>1489.1106467848222</v>
      </c>
      <c r="O80" s="3">
        <f>'Stage 1 Inputs'!U80</f>
        <v>7573765660.6122837</v>
      </c>
      <c r="P80" s="3">
        <f>'Stage 1 Inputs'!V80</f>
        <v>7.3059343393824472</v>
      </c>
      <c r="Q80" s="3">
        <f>'Stage 1 Inputs'!W80</f>
        <v>22.74795622597011</v>
      </c>
      <c r="R80" s="3">
        <f>'Stage 1 Inputs'!X80</f>
        <v>3.3</v>
      </c>
      <c r="S80" s="3">
        <f>'Stage 1 Inputs'!Y80</f>
        <v>3.3000000000000002E-2</v>
      </c>
      <c r="T80" s="3">
        <f>'Stage 1 Inputs'!Z80</f>
        <v>-3.4112477175156566</v>
      </c>
      <c r="U80" s="3">
        <f>'Stage 1 Inputs'!AO80</f>
        <v>79</v>
      </c>
      <c r="V80" s="3">
        <f>'Stage 1 Inputs'!AP80</f>
        <v>4.3694478524670215</v>
      </c>
      <c r="W80" s="3">
        <f>'Stage 1 Inputs'!AQ80</f>
        <v>1</v>
      </c>
      <c r="X80" s="3">
        <f>'Stage 1 Inputs'!AR80</f>
        <v>0</v>
      </c>
      <c r="Y80" s="3">
        <f>'Stage 1 Inputs'!AS80</f>
        <v>1</v>
      </c>
      <c r="Z80" s="3">
        <f>'Stage 1 Inputs'!AT80</f>
        <v>0</v>
      </c>
      <c r="AA80" s="3">
        <f>'Stage 1 Inputs'!AU80</f>
        <v>1</v>
      </c>
      <c r="AB80" s="3">
        <f>'Stage 1 Inputs'!AV80</f>
        <v>0</v>
      </c>
      <c r="AC80" s="3">
        <f>'Stage 1 Inputs'!AW80</f>
        <v>4.3694478524670215</v>
      </c>
      <c r="AD80" s="3" t="str">
        <f>'Stage 1 Inputs'!AX80</f>
        <v>Historical official/source data</v>
      </c>
      <c r="AE80" s="3" t="str">
        <f>'Stage 1 Inputs'!AY80</f>
        <v>No special note</v>
      </c>
    </row>
    <row r="81" spans="1:31" ht="19.95" customHeight="1" x14ac:dyDescent="0.3">
      <c r="A81" s="3" t="str">
        <f>'Stage 1 Inputs'!A81</f>
        <v>2021Q4</v>
      </c>
      <c r="B81" s="3" t="str">
        <f>'Stage 1 Inputs'!B81</f>
        <v>Dec 2021</v>
      </c>
      <c r="C81" s="17">
        <f>'Stage 1 Inputs'!G81</f>
        <v>91173000000</v>
      </c>
      <c r="D81" s="17">
        <f>'Stage 1 Inputs'!H81</f>
        <v>5085400</v>
      </c>
      <c r="E81" s="17">
        <f>'Stage 1 Inputs'!I81</f>
        <v>17928.383214693044</v>
      </c>
      <c r="F81" s="17">
        <f>'Stage 1 Inputs'!E81</f>
        <v>1320</v>
      </c>
      <c r="G81" s="17">
        <f>'Stage 1 Inputs'!F81</f>
        <v>1.1825757575757576</v>
      </c>
      <c r="H81" s="17">
        <f>'Stage 1 Inputs'!K81</f>
        <v>21201.671362224122</v>
      </c>
      <c r="I81" s="18">
        <f>'Stage 1 Inputs'!M81</f>
        <v>9.9618352953933247</v>
      </c>
      <c r="J81" s="19">
        <f>'Stage 1 Inputs'!N81</f>
        <v>245.39999995673443</v>
      </c>
      <c r="K81" s="19">
        <f>'Stage 1 Inputs'!D81</f>
        <v>1.1934046345811051</v>
      </c>
      <c r="L81" s="19">
        <f>'Stage 1 Inputs'!O81</f>
        <v>292.86149727456984</v>
      </c>
      <c r="M81" s="18">
        <f>'Stage 1 Inputs'!P81</f>
        <v>5.6796997917090355</v>
      </c>
      <c r="N81" s="3">
        <f>'Stage 1 Inputs'!T81</f>
        <v>1475.7690225316271</v>
      </c>
      <c r="O81" s="3">
        <f>'Stage 1 Inputs'!U81</f>
        <v>7504875787.1823368</v>
      </c>
      <c r="P81" s="3">
        <f>'Stage 1 Inputs'!V81</f>
        <v>7.2969345041150575</v>
      </c>
      <c r="Q81" s="3">
        <f>'Stage 1 Inputs'!W81</f>
        <v>22.738818751219632</v>
      </c>
      <c r="R81" s="3">
        <f>'Stage 1 Inputs'!X81</f>
        <v>3.2</v>
      </c>
      <c r="S81" s="3">
        <f>'Stage 1 Inputs'!Y81</f>
        <v>3.2000000000000001E-2</v>
      </c>
      <c r="T81" s="3">
        <f>'Stage 1 Inputs'!Z81</f>
        <v>-3.4420193761824103</v>
      </c>
      <c r="U81" s="3">
        <f>'Stage 1 Inputs'!AO81</f>
        <v>80</v>
      </c>
      <c r="V81" s="3">
        <f>'Stage 1 Inputs'!AP81</f>
        <v>4.3820266346738812</v>
      </c>
      <c r="W81" s="3">
        <f>'Stage 1 Inputs'!AQ81</f>
        <v>1</v>
      </c>
      <c r="X81" s="3">
        <f>'Stage 1 Inputs'!AR81</f>
        <v>0</v>
      </c>
      <c r="Y81" s="3">
        <f>'Stage 1 Inputs'!AS81</f>
        <v>1</v>
      </c>
      <c r="Z81" s="3">
        <f>'Stage 1 Inputs'!AT81</f>
        <v>0</v>
      </c>
      <c r="AA81" s="3">
        <f>'Stage 1 Inputs'!AU81</f>
        <v>0</v>
      </c>
      <c r="AB81" s="3">
        <f>'Stage 1 Inputs'!AV81</f>
        <v>1</v>
      </c>
      <c r="AC81" s="3">
        <f>'Stage 1 Inputs'!AW81</f>
        <v>4.3820266346738812</v>
      </c>
      <c r="AD81" s="3" t="str">
        <f>'Stage 1 Inputs'!AX81</f>
        <v>Historical official/source data</v>
      </c>
      <c r="AE81" s="3" t="str">
        <f>'Stage 1 Inputs'!AY81</f>
        <v>No special note</v>
      </c>
    </row>
    <row r="82" spans="1:31" ht="19.95" customHeight="1" x14ac:dyDescent="0.3">
      <c r="A82" s="3" t="str">
        <f>'Stage 1 Inputs'!A82</f>
        <v>2022Q1</v>
      </c>
      <c r="B82" s="3" t="str">
        <f>'Stage 1 Inputs'!B82</f>
        <v>Mar 2022</v>
      </c>
      <c r="C82" s="17">
        <f>'Stage 1 Inputs'!G82</f>
        <v>92559000000</v>
      </c>
      <c r="D82" s="17">
        <f>'Stage 1 Inputs'!H82</f>
        <v>5081800</v>
      </c>
      <c r="E82" s="17">
        <f>'Stage 1 Inputs'!I82</f>
        <v>18213.821874139085</v>
      </c>
      <c r="F82" s="17">
        <f>'Stage 1 Inputs'!E82</f>
        <v>1339</v>
      </c>
      <c r="G82" s="17">
        <f>'Stage 1 Inputs'!F82</f>
        <v>1.1657953696788648</v>
      </c>
      <c r="H82" s="17">
        <f>'Stage 1 Inputs'!K82</f>
        <v>21233.589205026969</v>
      </c>
      <c r="I82" s="18">
        <f>'Stage 1 Inputs'!M82</f>
        <v>9.9633396032917663</v>
      </c>
      <c r="J82" s="19">
        <f>'Stage 1 Inputs'!N82</f>
        <v>266.80000005131899</v>
      </c>
      <c r="K82" s="19">
        <f>'Stage 1 Inputs'!D82</f>
        <v>1.1725043782837128</v>
      </c>
      <c r="L82" s="19">
        <f>'Stage 1 Inputs'!O82</f>
        <v>312.82416818626632</v>
      </c>
      <c r="M82" s="18">
        <f>'Stage 1 Inputs'!P82</f>
        <v>5.7456412697090355</v>
      </c>
      <c r="N82" s="3">
        <f>'Stage 1 Inputs'!T82</f>
        <v>1455.9408190336771</v>
      </c>
      <c r="O82" s="3">
        <f>'Stage 1 Inputs'!U82</f>
        <v>7398800054.1653404</v>
      </c>
      <c r="P82" s="3">
        <f>'Stage 1 Inputs'!V82</f>
        <v>7.2834075816624706</v>
      </c>
      <c r="Q82" s="3">
        <f>'Stage 1 Inputs'!W82</f>
        <v>22.724583669165497</v>
      </c>
      <c r="R82" s="3">
        <f>'Stage 1 Inputs'!X82</f>
        <v>3.3</v>
      </c>
      <c r="S82" s="3">
        <f>'Stage 1 Inputs'!Y82</f>
        <v>3.3000000000000002E-2</v>
      </c>
      <c r="T82" s="3">
        <f>'Stage 1 Inputs'!Z82</f>
        <v>-3.4112477175156566</v>
      </c>
      <c r="U82" s="3">
        <f>'Stage 1 Inputs'!AO82</f>
        <v>81</v>
      </c>
      <c r="V82" s="3">
        <f>'Stage 1 Inputs'!AP82</f>
        <v>4.3944491546724391</v>
      </c>
      <c r="W82" s="3">
        <f>'Stage 1 Inputs'!AQ82</f>
        <v>1</v>
      </c>
      <c r="X82" s="3">
        <f>'Stage 1 Inputs'!AR82</f>
        <v>0</v>
      </c>
      <c r="Y82" s="3">
        <f>'Stage 1 Inputs'!AS82</f>
        <v>1</v>
      </c>
      <c r="Z82" s="3">
        <f>'Stage 1 Inputs'!AT82</f>
        <v>0</v>
      </c>
      <c r="AA82" s="3">
        <f>'Stage 1 Inputs'!AU82</f>
        <v>0</v>
      </c>
      <c r="AB82" s="3">
        <f>'Stage 1 Inputs'!AV82</f>
        <v>0</v>
      </c>
      <c r="AC82" s="3">
        <f>'Stage 1 Inputs'!AW82</f>
        <v>4.3944491546724391</v>
      </c>
      <c r="AD82" s="3" t="str">
        <f>'Stage 1 Inputs'!AX82</f>
        <v>Historical official/source data</v>
      </c>
      <c r="AE82" s="3" t="str">
        <f>'Stage 1 Inputs'!AY82</f>
        <v>No special note</v>
      </c>
    </row>
    <row r="83" spans="1:31" ht="19.95" customHeight="1" x14ac:dyDescent="0.3">
      <c r="A83" s="3" t="str">
        <f>'Stage 1 Inputs'!A83</f>
        <v>2022Q2</v>
      </c>
      <c r="B83" s="3" t="str">
        <f>'Stage 1 Inputs'!B83</f>
        <v>Jun 2022</v>
      </c>
      <c r="C83" s="17">
        <f>'Stage 1 Inputs'!G83</f>
        <v>95107000000</v>
      </c>
      <c r="D83" s="17">
        <f>'Stage 1 Inputs'!H83</f>
        <v>5081700</v>
      </c>
      <c r="E83" s="17">
        <f>'Stage 1 Inputs'!I83</f>
        <v>18715.587303461441</v>
      </c>
      <c r="F83" s="17">
        <f>'Stage 1 Inputs'!E83</f>
        <v>1358</v>
      </c>
      <c r="G83" s="17">
        <f>'Stage 1 Inputs'!F83</f>
        <v>1.1494845360824741</v>
      </c>
      <c r="H83" s="17">
        <f>'Stage 1 Inputs'!K83</f>
        <v>21513.278189030414</v>
      </c>
      <c r="I83" s="18">
        <f>'Stage 1 Inputs'!M83</f>
        <v>9.9764256136728786</v>
      </c>
      <c r="J83" s="19">
        <f>'Stage 1 Inputs'!N83</f>
        <v>283.6999999718991</v>
      </c>
      <c r="K83" s="19">
        <f>'Stage 1 Inputs'!D83</f>
        <v>1.1533161068044788</v>
      </c>
      <c r="L83" s="19">
        <f>'Stage 1 Inputs'!O83</f>
        <v>327.19577946802144</v>
      </c>
      <c r="M83" s="18">
        <f>'Stage 1 Inputs'!P83</f>
        <v>5.7905587057090351</v>
      </c>
      <c r="N83" s="3">
        <f>'Stage 1 Inputs'!T83</f>
        <v>1488.8600080881081</v>
      </c>
      <c r="O83" s="3">
        <f>'Stage 1 Inputs'!U83</f>
        <v>7565939903.1013393</v>
      </c>
      <c r="P83" s="3">
        <f>'Stage 1 Inputs'!V83</f>
        <v>7.3057660108618849</v>
      </c>
      <c r="Q83" s="3">
        <f>'Stage 1 Inputs'!W83</f>
        <v>22.746922420104468</v>
      </c>
      <c r="R83" s="3">
        <f>'Stage 1 Inputs'!X83</f>
        <v>3.3</v>
      </c>
      <c r="S83" s="3">
        <f>'Stage 1 Inputs'!Y83</f>
        <v>3.3000000000000002E-2</v>
      </c>
      <c r="T83" s="3">
        <f>'Stage 1 Inputs'!Z83</f>
        <v>-3.4112477175156566</v>
      </c>
      <c r="U83" s="3">
        <f>'Stage 1 Inputs'!AO83</f>
        <v>82</v>
      </c>
      <c r="V83" s="3">
        <f>'Stage 1 Inputs'!AP83</f>
        <v>4.4067192472642533</v>
      </c>
      <c r="W83" s="3">
        <f>'Stage 1 Inputs'!AQ83</f>
        <v>1</v>
      </c>
      <c r="X83" s="3">
        <f>'Stage 1 Inputs'!AR83</f>
        <v>0</v>
      </c>
      <c r="Y83" s="3">
        <f>'Stage 1 Inputs'!AS83</f>
        <v>1</v>
      </c>
      <c r="Z83" s="3">
        <f>'Stage 1 Inputs'!AT83</f>
        <v>1</v>
      </c>
      <c r="AA83" s="3">
        <f>'Stage 1 Inputs'!AU83</f>
        <v>0</v>
      </c>
      <c r="AB83" s="3">
        <f>'Stage 1 Inputs'!AV83</f>
        <v>0</v>
      </c>
      <c r="AC83" s="3">
        <f>'Stage 1 Inputs'!AW83</f>
        <v>4.4067192472642533</v>
      </c>
      <c r="AD83" s="3" t="str">
        <f>'Stage 1 Inputs'!AX83</f>
        <v>Historical official/source data</v>
      </c>
      <c r="AE83" s="3" t="str">
        <f>'Stage 1 Inputs'!AY83</f>
        <v>No special note</v>
      </c>
    </row>
    <row r="84" spans="1:31" ht="19.95" customHeight="1" x14ac:dyDescent="0.3">
      <c r="A84" s="3" t="str">
        <f>'Stage 1 Inputs'!A84</f>
        <v>2022Q3</v>
      </c>
      <c r="B84" s="3" t="str">
        <f>'Stage 1 Inputs'!B84</f>
        <v>Sep 2022</v>
      </c>
      <c r="C84" s="17">
        <f>'Stage 1 Inputs'!G84</f>
        <v>97704000000</v>
      </c>
      <c r="D84" s="17">
        <f>'Stage 1 Inputs'!H84</f>
        <v>5093700</v>
      </c>
      <c r="E84" s="17">
        <f>'Stage 1 Inputs'!I84</f>
        <v>19181.341657341422</v>
      </c>
      <c r="F84" s="17">
        <f>'Stage 1 Inputs'!E84</f>
        <v>1364</v>
      </c>
      <c r="G84" s="17">
        <f>'Stage 1 Inputs'!F84</f>
        <v>1.1444281524926687</v>
      </c>
      <c r="H84" s="17">
        <f>'Stage 1 Inputs'!K84</f>
        <v>21951.667395241908</v>
      </c>
      <c r="I84" s="18">
        <f>'Stage 1 Inputs'!M84</f>
        <v>9.9965983789550101</v>
      </c>
      <c r="J84" s="19">
        <f>'Stage 1 Inputs'!N84</f>
        <v>271.89999998289994</v>
      </c>
      <c r="K84" s="19">
        <f>'Stage 1 Inputs'!D84</f>
        <v>1.1290050590219225</v>
      </c>
      <c r="L84" s="19">
        <f>'Stage 1 Inputs'!O84</f>
        <v>306.97647552875469</v>
      </c>
      <c r="M84" s="18">
        <f>'Stage 1 Inputs'!P84</f>
        <v>5.7267711177090357</v>
      </c>
      <c r="N84" s="3">
        <f>'Stage 1 Inputs'!T84</f>
        <v>1524.7505981978798</v>
      </c>
      <c r="O84" s="3">
        <f>'Stage 1 Inputs'!U84</f>
        <v>7766622122.0405397</v>
      </c>
      <c r="P84" s="3">
        <f>'Stage 1 Inputs'!V84</f>
        <v>7.3295861335017092</v>
      </c>
      <c r="Q84" s="3">
        <f>'Stage 1 Inputs'!W84</f>
        <v>22.773101173473922</v>
      </c>
      <c r="R84" s="3">
        <f>'Stage 1 Inputs'!X84</f>
        <v>3.3</v>
      </c>
      <c r="S84" s="3">
        <f>'Stage 1 Inputs'!Y84</f>
        <v>3.3000000000000002E-2</v>
      </c>
      <c r="T84" s="3">
        <f>'Stage 1 Inputs'!Z84</f>
        <v>-3.4112477175156566</v>
      </c>
      <c r="U84" s="3">
        <f>'Stage 1 Inputs'!AO84</f>
        <v>83</v>
      </c>
      <c r="V84" s="3">
        <f>'Stage 1 Inputs'!AP84</f>
        <v>4.4188406077965983</v>
      </c>
      <c r="W84" s="3">
        <f>'Stage 1 Inputs'!AQ84</f>
        <v>1</v>
      </c>
      <c r="X84" s="3">
        <f>'Stage 1 Inputs'!AR84</f>
        <v>0</v>
      </c>
      <c r="Y84" s="3">
        <f>'Stage 1 Inputs'!AS84</f>
        <v>1</v>
      </c>
      <c r="Z84" s="3">
        <f>'Stage 1 Inputs'!AT84</f>
        <v>0</v>
      </c>
      <c r="AA84" s="3">
        <f>'Stage 1 Inputs'!AU84</f>
        <v>1</v>
      </c>
      <c r="AB84" s="3">
        <f>'Stage 1 Inputs'!AV84</f>
        <v>0</v>
      </c>
      <c r="AC84" s="3">
        <f>'Stage 1 Inputs'!AW84</f>
        <v>4.4188406077965983</v>
      </c>
      <c r="AD84" s="3" t="str">
        <f>'Stage 1 Inputs'!AX84</f>
        <v>Historical official/source data</v>
      </c>
      <c r="AE84" s="3" t="str">
        <f>'Stage 1 Inputs'!AY84</f>
        <v>No special note</v>
      </c>
    </row>
    <row r="85" spans="1:31" ht="19.95" customHeight="1" x14ac:dyDescent="0.3">
      <c r="A85" s="3" t="str">
        <f>'Stage 1 Inputs'!A85</f>
        <v>2022Q4</v>
      </c>
      <c r="B85" s="3" t="str">
        <f>'Stage 1 Inputs'!B85</f>
        <v>Dec 2022</v>
      </c>
      <c r="C85" s="17">
        <f>'Stage 1 Inputs'!G85</f>
        <v>99981000000</v>
      </c>
      <c r="D85" s="17">
        <f>'Stage 1 Inputs'!H85</f>
        <v>5120700</v>
      </c>
      <c r="E85" s="17">
        <f>'Stage 1 Inputs'!I85</f>
        <v>19524.869646727988</v>
      </c>
      <c r="F85" s="17">
        <f>'Stage 1 Inputs'!E85</f>
        <v>1392</v>
      </c>
      <c r="G85" s="17">
        <f>'Stage 1 Inputs'!F85</f>
        <v>1.1214080459770115</v>
      </c>
      <c r="H85" s="17">
        <f>'Stage 1 Inputs'!K85</f>
        <v>21895.345918493094</v>
      </c>
      <c r="I85" s="18">
        <f>'Stage 1 Inputs'!M85</f>
        <v>9.9940293780827485</v>
      </c>
      <c r="J85" s="19">
        <f>'Stage 1 Inputs'!N85</f>
        <v>252.09999994924408</v>
      </c>
      <c r="K85" s="19">
        <f>'Stage 1 Inputs'!D85</f>
        <v>1.113050706566916</v>
      </c>
      <c r="L85" s="19">
        <f>'Stage 1 Inputs'!O85</f>
        <v>280.60008306902557</v>
      </c>
      <c r="M85" s="18">
        <f>'Stage 1 Inputs'!P85</f>
        <v>5.6369304637090352</v>
      </c>
      <c r="N85" s="3">
        <f>'Stage 1 Inputs'!T85</f>
        <v>1549.0269452327714</v>
      </c>
      <c r="O85" s="3">
        <f>'Stage 1 Inputs'!U85</f>
        <v>7932102278.4534521</v>
      </c>
      <c r="P85" s="3">
        <f>'Stage 1 Inputs'!V85</f>
        <v>7.3453822355094536</v>
      </c>
      <c r="Q85" s="3">
        <f>'Stage 1 Inputs'!W85</f>
        <v>22.794183941929987</v>
      </c>
      <c r="R85" s="3">
        <f>'Stage 1 Inputs'!X85</f>
        <v>3.4</v>
      </c>
      <c r="S85" s="3">
        <f>'Stage 1 Inputs'!Y85</f>
        <v>3.4000000000000002E-2</v>
      </c>
      <c r="T85" s="3">
        <f>'Stage 1 Inputs'!Z85</f>
        <v>-3.3813947543659757</v>
      </c>
      <c r="U85" s="3">
        <f>'Stage 1 Inputs'!AO85</f>
        <v>84</v>
      </c>
      <c r="V85" s="3">
        <f>'Stage 1 Inputs'!AP85</f>
        <v>4.4308167988433134</v>
      </c>
      <c r="W85" s="3">
        <f>'Stage 1 Inputs'!AQ85</f>
        <v>1</v>
      </c>
      <c r="X85" s="3">
        <f>'Stage 1 Inputs'!AR85</f>
        <v>0</v>
      </c>
      <c r="Y85" s="3">
        <f>'Stage 1 Inputs'!AS85</f>
        <v>1</v>
      </c>
      <c r="Z85" s="3">
        <f>'Stage 1 Inputs'!AT85</f>
        <v>0</v>
      </c>
      <c r="AA85" s="3">
        <f>'Stage 1 Inputs'!AU85</f>
        <v>0</v>
      </c>
      <c r="AB85" s="3">
        <f>'Stage 1 Inputs'!AV85</f>
        <v>1</v>
      </c>
      <c r="AC85" s="3">
        <f>'Stage 1 Inputs'!AW85</f>
        <v>4.4308167988433134</v>
      </c>
      <c r="AD85" s="3" t="str">
        <f>'Stage 1 Inputs'!AX85</f>
        <v>Historical official/source data</v>
      </c>
      <c r="AE85" s="3" t="str">
        <f>'Stage 1 Inputs'!AY85</f>
        <v>No special note</v>
      </c>
    </row>
    <row r="86" spans="1:31" ht="19.95" customHeight="1" x14ac:dyDescent="0.3">
      <c r="A86" s="3" t="str">
        <f>'Stage 1 Inputs'!A86</f>
        <v>2023Q1</v>
      </c>
      <c r="B86" s="3" t="str">
        <f>'Stage 1 Inputs'!B86</f>
        <v>Mar 2023</v>
      </c>
      <c r="C86" s="17">
        <f>'Stage 1 Inputs'!G86</f>
        <v>100996000000</v>
      </c>
      <c r="D86" s="17">
        <f>'Stage 1 Inputs'!H86</f>
        <v>5165900</v>
      </c>
      <c r="E86" s="17">
        <f>'Stage 1 Inputs'!I86</f>
        <v>19550.51394723088</v>
      </c>
      <c r="F86" s="17">
        <f>'Stage 1 Inputs'!E86</f>
        <v>1409</v>
      </c>
      <c r="G86" s="17">
        <f>'Stage 1 Inputs'!F86</f>
        <v>1.1078779276082329</v>
      </c>
      <c r="H86" s="17">
        <f>'Stage 1 Inputs'!K86</f>
        <v>21659.582875533997</v>
      </c>
      <c r="I86" s="18">
        <f>'Stage 1 Inputs'!M86</f>
        <v>9.9832032625456328</v>
      </c>
      <c r="J86" s="19">
        <f>'Stage 1 Inputs'!N86</f>
        <v>245.09999993961685</v>
      </c>
      <c r="K86" s="19">
        <f>'Stage 1 Inputs'!D86</f>
        <v>1.0993431855500821</v>
      </c>
      <c r="L86" s="19">
        <f>'Stage 1 Inputs'!O86</f>
        <v>269.44901471194333</v>
      </c>
      <c r="M86" s="18">
        <f>'Stage 1 Inputs'!P86</f>
        <v>5.5963791877090356</v>
      </c>
      <c r="N86" s="3">
        <f>'Stage 1 Inputs'!T86</f>
        <v>1521.7618781648694</v>
      </c>
      <c r="O86" s="3">
        <f>'Stage 1 Inputs'!U86</f>
        <v>7861269686.4118986</v>
      </c>
      <c r="P86" s="3">
        <f>'Stage 1 Inputs'!V86</f>
        <v>7.3276240729390159</v>
      </c>
      <c r="Q86" s="3">
        <f>'Stage 1 Inputs'!W86</f>
        <v>22.785213968053153</v>
      </c>
      <c r="R86" s="3">
        <f>'Stage 1 Inputs'!X86</f>
        <v>3.5</v>
      </c>
      <c r="S86" s="3">
        <f>'Stage 1 Inputs'!Y86</f>
        <v>3.5000000000000003E-2</v>
      </c>
      <c r="T86" s="3">
        <f>'Stage 1 Inputs'!Z86</f>
        <v>-3.3524072174927233</v>
      </c>
      <c r="U86" s="3">
        <f>'Stage 1 Inputs'!AO86</f>
        <v>85</v>
      </c>
      <c r="V86" s="3">
        <f>'Stage 1 Inputs'!AP86</f>
        <v>4.4426512564903167</v>
      </c>
      <c r="W86" s="3">
        <f>'Stage 1 Inputs'!AQ86</f>
        <v>1</v>
      </c>
      <c r="X86" s="3">
        <f>'Stage 1 Inputs'!AR86</f>
        <v>0</v>
      </c>
      <c r="Y86" s="3">
        <f>'Stage 1 Inputs'!AS86</f>
        <v>1</v>
      </c>
      <c r="Z86" s="3">
        <f>'Stage 1 Inputs'!AT86</f>
        <v>0</v>
      </c>
      <c r="AA86" s="3">
        <f>'Stage 1 Inputs'!AU86</f>
        <v>0</v>
      </c>
      <c r="AB86" s="3">
        <f>'Stage 1 Inputs'!AV86</f>
        <v>0</v>
      </c>
      <c r="AC86" s="3">
        <f>'Stage 1 Inputs'!AW86</f>
        <v>4.4426512564903167</v>
      </c>
      <c r="AD86" s="3" t="str">
        <f>'Stage 1 Inputs'!AX86</f>
        <v>Historical official/source data</v>
      </c>
      <c r="AE86" s="3" t="str">
        <f>'Stage 1 Inputs'!AY86</f>
        <v>No special note</v>
      </c>
    </row>
    <row r="87" spans="1:31" ht="19.95" customHeight="1" x14ac:dyDescent="0.3">
      <c r="A87" s="3" t="str">
        <f>'Stage 1 Inputs'!A87</f>
        <v>2023Q2</v>
      </c>
      <c r="B87" s="3" t="str">
        <f>'Stage 1 Inputs'!B87</f>
        <v>Jun 2023</v>
      </c>
      <c r="C87" s="17">
        <f>'Stage 1 Inputs'!G87</f>
        <v>103162000000</v>
      </c>
      <c r="D87" s="17">
        <f>'Stage 1 Inputs'!H87</f>
        <v>5200000</v>
      </c>
      <c r="E87" s="17">
        <f>'Stage 1 Inputs'!I87</f>
        <v>19838.846153846152</v>
      </c>
      <c r="F87" s="17">
        <f>'Stage 1 Inputs'!E87</f>
        <v>1429</v>
      </c>
      <c r="G87" s="17">
        <f>'Stage 1 Inputs'!F87</f>
        <v>1.0923722883135059</v>
      </c>
      <c r="H87" s="17">
        <f>'Stage 1 Inputs'!K87</f>
        <v>21671.405770576519</v>
      </c>
      <c r="I87" s="18">
        <f>'Stage 1 Inputs'!M87</f>
        <v>9.9837489641649739</v>
      </c>
      <c r="J87" s="19">
        <f>'Stage 1 Inputs'!N87</f>
        <v>241.89999989993441</v>
      </c>
      <c r="K87" s="19">
        <f>'Stage 1 Inputs'!D87</f>
        <v>1.0877335499593825</v>
      </c>
      <c r="L87" s="19">
        <f>'Stage 1 Inputs'!O87</f>
        <v>263.12274562632996</v>
      </c>
      <c r="M87" s="18">
        <f>'Stage 1 Inputs'!P87</f>
        <v>5.5726206367090354</v>
      </c>
      <c r="N87" s="3">
        <f>'Stage 1 Inputs'!T87</f>
        <v>1532.8575398021367</v>
      </c>
      <c r="O87" s="3">
        <f>'Stage 1 Inputs'!U87</f>
        <v>7970859206.9711103</v>
      </c>
      <c r="P87" s="3">
        <f>'Stage 1 Inputs'!V87</f>
        <v>7.3348889455269886</v>
      </c>
      <c r="Q87" s="3">
        <f>'Stage 1 Inputs'!W87</f>
        <v>22.799058129078645</v>
      </c>
      <c r="R87" s="3">
        <f>'Stage 1 Inputs'!X87</f>
        <v>3.7</v>
      </c>
      <c r="S87" s="3">
        <f>'Stage 1 Inputs'!Y87</f>
        <v>3.7000000000000005E-2</v>
      </c>
      <c r="T87" s="3">
        <f>'Stage 1 Inputs'!Z87</f>
        <v>-3.2968373663379125</v>
      </c>
      <c r="U87" s="3">
        <f>'Stage 1 Inputs'!AO87</f>
        <v>86</v>
      </c>
      <c r="V87" s="3">
        <f>'Stage 1 Inputs'!AP87</f>
        <v>4.4543472962535073</v>
      </c>
      <c r="W87" s="3">
        <f>'Stage 1 Inputs'!AQ87</f>
        <v>1</v>
      </c>
      <c r="X87" s="3">
        <f>'Stage 1 Inputs'!AR87</f>
        <v>0</v>
      </c>
      <c r="Y87" s="3">
        <f>'Stage 1 Inputs'!AS87</f>
        <v>1</v>
      </c>
      <c r="Z87" s="3">
        <f>'Stage 1 Inputs'!AT87</f>
        <v>1</v>
      </c>
      <c r="AA87" s="3">
        <f>'Stage 1 Inputs'!AU87</f>
        <v>0</v>
      </c>
      <c r="AB87" s="3">
        <f>'Stage 1 Inputs'!AV87</f>
        <v>0</v>
      </c>
      <c r="AC87" s="3">
        <f>'Stage 1 Inputs'!AW87</f>
        <v>4.4543472962535073</v>
      </c>
      <c r="AD87" s="3" t="str">
        <f>'Stage 1 Inputs'!AX87</f>
        <v>Historical official/source data</v>
      </c>
      <c r="AE87" s="3" t="str">
        <f>'Stage 1 Inputs'!AY87</f>
        <v>No special note</v>
      </c>
    </row>
    <row r="88" spans="1:31" ht="19.95" customHeight="1" x14ac:dyDescent="0.3">
      <c r="A88" s="3" t="str">
        <f>'Stage 1 Inputs'!A88</f>
        <v>2023Q3</v>
      </c>
      <c r="B88" s="3" t="str">
        <f>'Stage 1 Inputs'!B88</f>
        <v>Sep 2023</v>
      </c>
      <c r="C88" s="17">
        <f>'Stage 1 Inputs'!G88</f>
        <v>104531000000</v>
      </c>
      <c r="D88" s="17">
        <f>'Stage 1 Inputs'!H88</f>
        <v>5238700</v>
      </c>
      <c r="E88" s="17">
        <f>'Stage 1 Inputs'!I88</f>
        <v>19953.614446332107</v>
      </c>
      <c r="F88" s="17">
        <f>'Stage 1 Inputs'!E88</f>
        <v>1448</v>
      </c>
      <c r="G88" s="17">
        <f>'Stage 1 Inputs'!F88</f>
        <v>1.0780386740331491</v>
      </c>
      <c r="H88" s="17">
        <f>'Stage 1 Inputs'!K88</f>
        <v>21510.768059892554</v>
      </c>
      <c r="I88" s="18">
        <f>'Stage 1 Inputs'!M88</f>
        <v>9.9763089287322675</v>
      </c>
      <c r="J88" s="19">
        <f>'Stage 1 Inputs'!N88</f>
        <v>282.79999996932003</v>
      </c>
      <c r="K88" s="19">
        <f>'Stage 1 Inputs'!D88</f>
        <v>1.0686352753391859</v>
      </c>
      <c r="L88" s="19">
        <f>'Stage 1 Inputs'!O88</f>
        <v>302.2100558331361</v>
      </c>
      <c r="M88" s="18">
        <f>'Stage 1 Inputs'!P88</f>
        <v>5.7111223247090352</v>
      </c>
      <c r="N88" s="3">
        <f>'Stage 1 Inputs'!T88</f>
        <v>1531.4092323893383</v>
      </c>
      <c r="O88" s="3">
        <f>'Stage 1 Inputs'!U88</f>
        <v>8022593545.7180262</v>
      </c>
      <c r="P88" s="3">
        <f>'Stage 1 Inputs'!V88</f>
        <v>7.3339436573857677</v>
      </c>
      <c r="Q88" s="3">
        <f>'Stage 1 Inputs'!W88</f>
        <v>22.805527591300127</v>
      </c>
      <c r="R88" s="3">
        <f>'Stage 1 Inputs'!X88</f>
        <v>4</v>
      </c>
      <c r="S88" s="3">
        <f>'Stage 1 Inputs'!Y88</f>
        <v>0.04</v>
      </c>
      <c r="T88" s="3">
        <f>'Stage 1 Inputs'!Z88</f>
        <v>-3.2188758248682006</v>
      </c>
      <c r="U88" s="3">
        <f>'Stage 1 Inputs'!AO88</f>
        <v>87</v>
      </c>
      <c r="V88" s="3">
        <f>'Stage 1 Inputs'!AP88</f>
        <v>4.4659081186545837</v>
      </c>
      <c r="W88" s="3">
        <f>'Stage 1 Inputs'!AQ88</f>
        <v>1</v>
      </c>
      <c r="X88" s="3">
        <f>'Stage 1 Inputs'!AR88</f>
        <v>0</v>
      </c>
      <c r="Y88" s="3">
        <f>'Stage 1 Inputs'!AS88</f>
        <v>1</v>
      </c>
      <c r="Z88" s="3">
        <f>'Stage 1 Inputs'!AT88</f>
        <v>0</v>
      </c>
      <c r="AA88" s="3">
        <f>'Stage 1 Inputs'!AU88</f>
        <v>1</v>
      </c>
      <c r="AB88" s="3">
        <f>'Stage 1 Inputs'!AV88</f>
        <v>0</v>
      </c>
      <c r="AC88" s="3">
        <f>'Stage 1 Inputs'!AW88</f>
        <v>4.4659081186545837</v>
      </c>
      <c r="AD88" s="3" t="str">
        <f>'Stage 1 Inputs'!AX88</f>
        <v>Historical official/source data</v>
      </c>
      <c r="AE88" s="3" t="str">
        <f>'Stage 1 Inputs'!AY88</f>
        <v>No special note</v>
      </c>
    </row>
    <row r="89" spans="1:31" ht="19.95" customHeight="1" x14ac:dyDescent="0.3">
      <c r="A89" s="3" t="str">
        <f>'Stage 1 Inputs'!A89</f>
        <v>2023Q4</v>
      </c>
      <c r="B89" s="3" t="str">
        <f>'Stage 1 Inputs'!B89</f>
        <v>Dec 2023</v>
      </c>
      <c r="C89" s="17">
        <f>'Stage 1 Inputs'!G89</f>
        <v>103942000000</v>
      </c>
      <c r="D89" s="17">
        <f>'Stage 1 Inputs'!H89</f>
        <v>5263100</v>
      </c>
      <c r="E89" s="17">
        <f>'Stage 1 Inputs'!I89</f>
        <v>19749.197241169652</v>
      </c>
      <c r="F89" s="17">
        <f>'Stage 1 Inputs'!E89</f>
        <v>1435</v>
      </c>
      <c r="G89" s="17">
        <f>'Stage 1 Inputs'!F89</f>
        <v>1.0878048780487806</v>
      </c>
      <c r="H89" s="17">
        <f>'Stage 1 Inputs'!K89</f>
        <v>21483.273096491866</v>
      </c>
      <c r="I89" s="18">
        <f>'Stage 1 Inputs'!M89</f>
        <v>9.9750299158081805</v>
      </c>
      <c r="J89" s="19">
        <f>'Stage 1 Inputs'!N89</f>
        <v>280.99999992369857</v>
      </c>
      <c r="K89" s="19">
        <f>'Stage 1 Inputs'!D89</f>
        <v>1.0635424940428913</v>
      </c>
      <c r="L89" s="19">
        <f>'Stage 1 Inputs'!O89</f>
        <v>298.85544074490264</v>
      </c>
      <c r="M89" s="18">
        <f>'Stage 1 Inputs'!P89</f>
        <v>5.6999599807090355</v>
      </c>
      <c r="N89" s="3">
        <f>'Stage 1 Inputs'!T89</f>
        <v>1537.9692201421399</v>
      </c>
      <c r="O89" s="3">
        <f>'Stage 1 Inputs'!U89</f>
        <v>8094485802.5300961</v>
      </c>
      <c r="P89" s="3">
        <f>'Stage 1 Inputs'!V89</f>
        <v>7.3382181369538459</v>
      </c>
      <c r="Q89" s="3">
        <f>'Stage 1 Inputs'!W89</f>
        <v>22.81444890167927</v>
      </c>
      <c r="R89" s="3">
        <f>'Stage 1 Inputs'!X89</f>
        <v>4</v>
      </c>
      <c r="S89" s="3">
        <f>'Stage 1 Inputs'!Y89</f>
        <v>0.04</v>
      </c>
      <c r="T89" s="3">
        <f>'Stage 1 Inputs'!Z89</f>
        <v>-3.2188758248682006</v>
      </c>
      <c r="U89" s="3">
        <f>'Stage 1 Inputs'!AO89</f>
        <v>88</v>
      </c>
      <c r="V89" s="3">
        <f>'Stage 1 Inputs'!AP89</f>
        <v>4.4773368144782069</v>
      </c>
      <c r="W89" s="3">
        <f>'Stage 1 Inputs'!AQ89</f>
        <v>1</v>
      </c>
      <c r="X89" s="3">
        <f>'Stage 1 Inputs'!AR89</f>
        <v>0</v>
      </c>
      <c r="Y89" s="3">
        <f>'Stage 1 Inputs'!AS89</f>
        <v>1</v>
      </c>
      <c r="Z89" s="3">
        <f>'Stage 1 Inputs'!AT89</f>
        <v>0</v>
      </c>
      <c r="AA89" s="3">
        <f>'Stage 1 Inputs'!AU89</f>
        <v>0</v>
      </c>
      <c r="AB89" s="3">
        <f>'Stage 1 Inputs'!AV89</f>
        <v>1</v>
      </c>
      <c r="AC89" s="3">
        <f>'Stage 1 Inputs'!AW89</f>
        <v>4.4773368144782069</v>
      </c>
      <c r="AD89" s="3" t="str">
        <f>'Stage 1 Inputs'!AX89</f>
        <v>Historical official/source data</v>
      </c>
      <c r="AE89" s="3" t="str">
        <f>'Stage 1 Inputs'!AY89</f>
        <v>No special note</v>
      </c>
    </row>
    <row r="90" spans="1:31" ht="19.95" customHeight="1" x14ac:dyDescent="0.3">
      <c r="A90" s="3" t="str">
        <f>'Stage 1 Inputs'!A90</f>
        <v>2024Q1</v>
      </c>
      <c r="B90" s="3" t="str">
        <f>'Stage 1 Inputs'!B90</f>
        <v>Mar 2024</v>
      </c>
      <c r="C90" s="17">
        <f>'Stage 1 Inputs'!G90</f>
        <v>105841000000</v>
      </c>
      <c r="D90" s="17">
        <f>'Stage 1 Inputs'!H90</f>
        <v>5283100</v>
      </c>
      <c r="E90" s="17">
        <f>'Stage 1 Inputs'!I90</f>
        <v>20033.881622532226</v>
      </c>
      <c r="F90" s="17">
        <f>'Stage 1 Inputs'!E90</f>
        <v>1460</v>
      </c>
      <c r="G90" s="17">
        <f>'Stage 1 Inputs'!F90</f>
        <v>1.0691780821917809</v>
      </c>
      <c r="H90" s="17">
        <f>'Stage 1 Inputs'!K90</f>
        <v>21419.78713203617</v>
      </c>
      <c r="I90" s="18">
        <f>'Stage 1 Inputs'!M90</f>
        <v>9.972070406138922</v>
      </c>
      <c r="J90" s="19">
        <f>'Stage 1 Inputs'!N90</f>
        <v>274.50000010689484</v>
      </c>
      <c r="K90" s="19">
        <f>'Stage 1 Inputs'!D90</f>
        <v>1.0568271507498026</v>
      </c>
      <c r="L90" s="19">
        <f>'Stage 1 Inputs'!O90</f>
        <v>290.09905299379017</v>
      </c>
      <c r="M90" s="18">
        <f>'Stage 1 Inputs'!P90</f>
        <v>5.6702224267090351</v>
      </c>
      <c r="N90" s="3">
        <f>'Stage 1 Inputs'!T90</f>
        <v>1520.2757620778643</v>
      </c>
      <c r="O90" s="3">
        <f>'Stage 1 Inputs'!U90</f>
        <v>8031768878.6335649</v>
      </c>
      <c r="P90" s="3">
        <f>'Stage 1 Inputs'!V90</f>
        <v>7.3266470198049127</v>
      </c>
      <c r="Q90" s="3">
        <f>'Stage 1 Inputs'!W90</f>
        <v>22.80667062441125</v>
      </c>
      <c r="R90" s="3">
        <f>'Stage 1 Inputs'!X90</f>
        <v>4.4000000000000004</v>
      </c>
      <c r="S90" s="3">
        <f>'Stage 1 Inputs'!Y90</f>
        <v>4.4000000000000004E-2</v>
      </c>
      <c r="T90" s="3">
        <f>'Stage 1 Inputs'!Z90</f>
        <v>-3.1235656450638758</v>
      </c>
      <c r="U90" s="3">
        <f>'Stage 1 Inputs'!AO90</f>
        <v>89</v>
      </c>
      <c r="V90" s="3">
        <f>'Stage 1 Inputs'!AP90</f>
        <v>4.4886363697321396</v>
      </c>
      <c r="W90" s="3">
        <f>'Stage 1 Inputs'!AQ90</f>
        <v>1</v>
      </c>
      <c r="X90" s="3">
        <f>'Stage 1 Inputs'!AR90</f>
        <v>0</v>
      </c>
      <c r="Y90" s="3">
        <f>'Stage 1 Inputs'!AS90</f>
        <v>1</v>
      </c>
      <c r="Z90" s="3">
        <f>'Stage 1 Inputs'!AT90</f>
        <v>0</v>
      </c>
      <c r="AA90" s="3">
        <f>'Stage 1 Inputs'!AU90</f>
        <v>0</v>
      </c>
      <c r="AB90" s="3">
        <f>'Stage 1 Inputs'!AV90</f>
        <v>0</v>
      </c>
      <c r="AC90" s="3">
        <f>'Stage 1 Inputs'!AW90</f>
        <v>4.4886363697321396</v>
      </c>
      <c r="AD90" s="3" t="str">
        <f>'Stage 1 Inputs'!AX90</f>
        <v>Historical official/source data</v>
      </c>
      <c r="AE90" s="3" t="str">
        <f>'Stage 1 Inputs'!AY90</f>
        <v>No special note</v>
      </c>
    </row>
    <row r="91" spans="1:31" ht="19.95" customHeight="1" x14ac:dyDescent="0.3">
      <c r="A91" s="3" t="str">
        <f>'Stage 1 Inputs'!A91</f>
        <v>2024Q2</v>
      </c>
      <c r="B91" s="3" t="str">
        <f>'Stage 1 Inputs'!B91</f>
        <v>Jun 2024</v>
      </c>
      <c r="C91" s="17">
        <f>'Stage 1 Inputs'!G91</f>
        <v>106539000000</v>
      </c>
      <c r="D91" s="17">
        <f>'Stage 1 Inputs'!H91</f>
        <v>5289900</v>
      </c>
      <c r="E91" s="17">
        <f>'Stage 1 Inputs'!I91</f>
        <v>20140.078262349005</v>
      </c>
      <c r="F91" s="17">
        <f>'Stage 1 Inputs'!E91</f>
        <v>1475</v>
      </c>
      <c r="G91" s="17">
        <f>'Stage 1 Inputs'!F91</f>
        <v>1.0583050847457627</v>
      </c>
      <c r="H91" s="17">
        <f>'Stage 1 Inputs'!K91</f>
        <v>21314.347232221557</v>
      </c>
      <c r="I91" s="18">
        <f>'Stage 1 Inputs'!M91</f>
        <v>9.967135703922553</v>
      </c>
      <c r="J91" s="19">
        <f>'Stage 1 Inputs'!N91</f>
        <v>276.40000000674854</v>
      </c>
      <c r="K91" s="19">
        <f>'Stage 1 Inputs'!D91</f>
        <v>1.0526729559748427</v>
      </c>
      <c r="L91" s="19">
        <f>'Stage 1 Inputs'!O91</f>
        <v>290.95880503855051</v>
      </c>
      <c r="M91" s="18">
        <f>'Stage 1 Inputs'!P91</f>
        <v>5.6731816937090356</v>
      </c>
      <c r="N91" s="3">
        <f>'Stage 1 Inputs'!T91</f>
        <v>1507.4384642146947</v>
      </c>
      <c r="O91" s="3">
        <f>'Stage 1 Inputs'!U91</f>
        <v>7974198731.8493137</v>
      </c>
      <c r="P91" s="3">
        <f>'Stage 1 Inputs'!V91</f>
        <v>7.3181671080101118</v>
      </c>
      <c r="Q91" s="3">
        <f>'Stage 1 Inputs'!W91</f>
        <v>22.799477008074238</v>
      </c>
      <c r="R91" s="3">
        <f>'Stage 1 Inputs'!X91</f>
        <v>4.7</v>
      </c>
      <c r="S91" s="3">
        <f>'Stage 1 Inputs'!Y91</f>
        <v>4.7E-2</v>
      </c>
      <c r="T91" s="3">
        <f>'Stage 1 Inputs'!Z91</f>
        <v>-3.0576076772720784</v>
      </c>
      <c r="U91" s="3">
        <f>'Stage 1 Inputs'!AO91</f>
        <v>90</v>
      </c>
      <c r="V91" s="3">
        <f>'Stage 1 Inputs'!AP91</f>
        <v>4.499809670330265</v>
      </c>
      <c r="W91" s="3">
        <f>'Stage 1 Inputs'!AQ91</f>
        <v>1</v>
      </c>
      <c r="X91" s="3">
        <f>'Stage 1 Inputs'!AR91</f>
        <v>0</v>
      </c>
      <c r="Y91" s="3">
        <f>'Stage 1 Inputs'!AS91</f>
        <v>1</v>
      </c>
      <c r="Z91" s="3">
        <f>'Stage 1 Inputs'!AT91</f>
        <v>1</v>
      </c>
      <c r="AA91" s="3">
        <f>'Stage 1 Inputs'!AU91</f>
        <v>0</v>
      </c>
      <c r="AB91" s="3">
        <f>'Stage 1 Inputs'!AV91</f>
        <v>0</v>
      </c>
      <c r="AC91" s="3">
        <f>'Stage 1 Inputs'!AW91</f>
        <v>4.499809670330265</v>
      </c>
      <c r="AD91" s="3" t="str">
        <f>'Stage 1 Inputs'!AX91</f>
        <v>Historical official/source data</v>
      </c>
      <c r="AE91" s="3" t="str">
        <f>'Stage 1 Inputs'!AY91</f>
        <v>No special note</v>
      </c>
    </row>
    <row r="92" spans="1:31" ht="19.95" customHeight="1" x14ac:dyDescent="0.3">
      <c r="A92" s="3" t="str">
        <f>'Stage 1 Inputs'!A92</f>
        <v>2024Q3</v>
      </c>
      <c r="B92" s="3" t="str">
        <f>'Stage 1 Inputs'!B92</f>
        <v>Sep 2024</v>
      </c>
      <c r="C92" s="17">
        <f>'Stage 1 Inputs'!G92</f>
        <v>106858000000</v>
      </c>
      <c r="D92" s="17">
        <f>'Stage 1 Inputs'!H92</f>
        <v>5301000</v>
      </c>
      <c r="E92" s="17">
        <f>'Stage 1 Inputs'!I92</f>
        <v>20158.083380494245</v>
      </c>
      <c r="F92" s="17">
        <f>'Stage 1 Inputs'!E92</f>
        <v>1497</v>
      </c>
      <c r="G92" s="17">
        <f>'Stage 1 Inputs'!F92</f>
        <v>1.042752171008684</v>
      </c>
      <c r="H92" s="17">
        <f>'Stage 1 Inputs'!K92</f>
        <v>21019.885208384447</v>
      </c>
      <c r="I92" s="18">
        <f>'Stage 1 Inputs'!M92</f>
        <v>9.9532241833496382</v>
      </c>
      <c r="J92" s="19">
        <f>'Stage 1 Inputs'!N92</f>
        <v>258.29999995601958</v>
      </c>
      <c r="K92" s="19">
        <f>'Stage 1 Inputs'!D92</f>
        <v>1.04609375</v>
      </c>
      <c r="L92" s="19">
        <f>'Stage 1 Inputs'!O92</f>
        <v>270.20601557899238</v>
      </c>
      <c r="M92" s="18">
        <f>'Stage 1 Inputs'!P92</f>
        <v>5.5991846887090357</v>
      </c>
      <c r="N92" s="3">
        <f>'Stage 1 Inputs'!T92</f>
        <v>1490.9243707378405</v>
      </c>
      <c r="O92" s="3">
        <f>'Stage 1 Inputs'!U92</f>
        <v>7903390089.2812929</v>
      </c>
      <c r="P92" s="3">
        <f>'Stage 1 Inputs'!V92</f>
        <v>7.3071515896270265</v>
      </c>
      <c r="Q92" s="3">
        <f>'Stage 1 Inputs'!W92</f>
        <v>22.790557629596972</v>
      </c>
      <c r="R92" s="3">
        <f>'Stage 1 Inputs'!X92</f>
        <v>4.9000000000000004</v>
      </c>
      <c r="S92" s="3">
        <f>'Stage 1 Inputs'!Y92</f>
        <v>4.9000000000000002E-2</v>
      </c>
      <c r="T92" s="3">
        <f>'Stage 1 Inputs'!Z92</f>
        <v>-3.0159349808715104</v>
      </c>
      <c r="U92" s="3">
        <f>'Stage 1 Inputs'!AO92</f>
        <v>91</v>
      </c>
      <c r="V92" s="3">
        <f>'Stage 1 Inputs'!AP92</f>
        <v>4.5108595065168497</v>
      </c>
      <c r="W92" s="3">
        <f>'Stage 1 Inputs'!AQ92</f>
        <v>1</v>
      </c>
      <c r="X92" s="3">
        <f>'Stage 1 Inputs'!AR92</f>
        <v>0</v>
      </c>
      <c r="Y92" s="3">
        <f>'Stage 1 Inputs'!AS92</f>
        <v>1</v>
      </c>
      <c r="Z92" s="3">
        <f>'Stage 1 Inputs'!AT92</f>
        <v>0</v>
      </c>
      <c r="AA92" s="3">
        <f>'Stage 1 Inputs'!AU92</f>
        <v>1</v>
      </c>
      <c r="AB92" s="3">
        <f>'Stage 1 Inputs'!AV92</f>
        <v>0</v>
      </c>
      <c r="AC92" s="3">
        <f>'Stage 1 Inputs'!AW92</f>
        <v>4.5108595065168497</v>
      </c>
      <c r="AD92" s="3" t="str">
        <f>'Stage 1 Inputs'!AX92</f>
        <v>Historical official/source data</v>
      </c>
      <c r="AE92" s="3" t="str">
        <f>'Stage 1 Inputs'!AY92</f>
        <v>No special note</v>
      </c>
    </row>
    <row r="93" spans="1:31" ht="19.95" customHeight="1" x14ac:dyDescent="0.3">
      <c r="A93" s="3" t="str">
        <f>'Stage 1 Inputs'!A93</f>
        <v>2024Q4</v>
      </c>
      <c r="B93" s="3" t="str">
        <f>'Stage 1 Inputs'!B93</f>
        <v>Dec 2024</v>
      </c>
      <c r="C93" s="17">
        <f>'Stage 1 Inputs'!G93</f>
        <v>108067000000</v>
      </c>
      <c r="D93" s="17">
        <f>'Stage 1 Inputs'!H93</f>
        <v>5307800</v>
      </c>
      <c r="E93" s="17">
        <f>'Stage 1 Inputs'!I93</f>
        <v>20360.036173179094</v>
      </c>
      <c r="F93" s="17">
        <f>'Stage 1 Inputs'!E93</f>
        <v>1512</v>
      </c>
      <c r="G93" s="17">
        <f>'Stage 1 Inputs'!F93</f>
        <v>1.0324074074074074</v>
      </c>
      <c r="H93" s="17">
        <f>'Stage 1 Inputs'!K93</f>
        <v>21019.852160272862</v>
      </c>
      <c r="I93" s="18">
        <f>'Stage 1 Inputs'!M93</f>
        <v>9.9532226111175728</v>
      </c>
      <c r="J93" s="19">
        <f>'Stage 1 Inputs'!N93</f>
        <v>254.69999990539881</v>
      </c>
      <c r="K93" s="19">
        <f>'Stage 1 Inputs'!D93</f>
        <v>1.0404040404040404</v>
      </c>
      <c r="L93" s="19">
        <f>'Stage 1 Inputs'!O93</f>
        <v>264.99090899248563</v>
      </c>
      <c r="M93" s="18">
        <f>'Stage 1 Inputs'!P93</f>
        <v>5.579695519709035</v>
      </c>
      <c r="N93" s="3">
        <f>'Stage 1 Inputs'!T93</f>
        <v>1502.0182743465325</v>
      </c>
      <c r="O93" s="3">
        <f>'Stage 1 Inputs'!U93</f>
        <v>7972412596.5765257</v>
      </c>
      <c r="P93" s="3">
        <f>'Stage 1 Inputs'!V93</f>
        <v>7.3145649989255208</v>
      </c>
      <c r="Q93" s="3">
        <f>'Stage 1 Inputs'!W93</f>
        <v>22.799252993674752</v>
      </c>
      <c r="R93" s="3">
        <f>'Stage 1 Inputs'!X93</f>
        <v>5.0999999999999996</v>
      </c>
      <c r="S93" s="3">
        <f>'Stage 1 Inputs'!Y93</f>
        <v>5.0999999999999997E-2</v>
      </c>
      <c r="T93" s="3">
        <f>'Stage 1 Inputs'!Z93</f>
        <v>-2.9759296462578115</v>
      </c>
      <c r="U93" s="3">
        <f>'Stage 1 Inputs'!AO93</f>
        <v>92</v>
      </c>
      <c r="V93" s="3">
        <f>'Stage 1 Inputs'!AP93</f>
        <v>4.5217885770490405</v>
      </c>
      <c r="W93" s="3">
        <f>'Stage 1 Inputs'!AQ93</f>
        <v>1</v>
      </c>
      <c r="X93" s="3">
        <f>'Stage 1 Inputs'!AR93</f>
        <v>0</v>
      </c>
      <c r="Y93" s="3">
        <f>'Stage 1 Inputs'!AS93</f>
        <v>1</v>
      </c>
      <c r="Z93" s="3">
        <f>'Stage 1 Inputs'!AT93</f>
        <v>0</v>
      </c>
      <c r="AA93" s="3">
        <f>'Stage 1 Inputs'!AU93</f>
        <v>0</v>
      </c>
      <c r="AB93" s="3">
        <f>'Stage 1 Inputs'!AV93</f>
        <v>1</v>
      </c>
      <c r="AC93" s="3">
        <f>'Stage 1 Inputs'!AW93</f>
        <v>4.5217885770490405</v>
      </c>
      <c r="AD93" s="3" t="str">
        <f>'Stage 1 Inputs'!AX93</f>
        <v>Historical official/source data</v>
      </c>
      <c r="AE93" s="3" t="str">
        <f>'Stage 1 Inputs'!AY93</f>
        <v>No special note</v>
      </c>
    </row>
    <row r="94" spans="1:31" ht="19.95" customHeight="1" x14ac:dyDescent="0.3">
      <c r="A94" s="3" t="str">
        <f>'Stage 1 Inputs'!A94</f>
        <v>2025Q1</v>
      </c>
      <c r="B94" s="3" t="str">
        <f>'Stage 1 Inputs'!B94</f>
        <v>Mar 2025</v>
      </c>
      <c r="C94" s="17">
        <f>'Stage 1 Inputs'!G94</f>
        <v>109906000000</v>
      </c>
      <c r="D94" s="17">
        <f>'Stage 1 Inputs'!H94</f>
        <v>5317200</v>
      </c>
      <c r="E94" s="17">
        <f>'Stage 1 Inputs'!I94</f>
        <v>20669.901451891972</v>
      </c>
      <c r="F94" s="17">
        <f>'Stage 1 Inputs'!E94</f>
        <v>1521</v>
      </c>
      <c r="G94" s="17">
        <f>'Stage 1 Inputs'!F94</f>
        <v>1.0262984878369494</v>
      </c>
      <c r="H94" s="17">
        <f>'Stage 1 Inputs'!K94</f>
        <v>21213.488603815498</v>
      </c>
      <c r="I94" s="18">
        <f>'Stage 1 Inputs'!M94</f>
        <v>9.9623925132327305</v>
      </c>
      <c r="J94" s="19">
        <f>'Stage 1 Inputs'!N94</f>
        <v>266.69999986678164</v>
      </c>
      <c r="K94" s="19">
        <f>'Stage 1 Inputs'!D94</f>
        <v>1.0307929176289454</v>
      </c>
      <c r="L94" s="19">
        <f>'Stage 1 Inputs'!O94</f>
        <v>274.91247099431922</v>
      </c>
      <c r="M94" s="18">
        <f>'Stage 1 Inputs'!P94</f>
        <v>5.616452759709035</v>
      </c>
      <c r="N94" s="3">
        <f>'Stage 1 Inputs'!T94</f>
        <v>1499.78577995301</v>
      </c>
      <c r="O94" s="3">
        <f>'Stage 1 Inputs'!U94</f>
        <v>7974660949.1661444</v>
      </c>
      <c r="P94" s="3">
        <f>'Stage 1 Inputs'!V94</f>
        <v>7.3130775635268419</v>
      </c>
      <c r="Q94" s="3">
        <f>'Stage 1 Inputs'!W94</f>
        <v>22.799534970502425</v>
      </c>
      <c r="R94" s="3">
        <f>'Stage 1 Inputs'!X94</f>
        <v>5.0999999999999996</v>
      </c>
      <c r="S94" s="3">
        <f>'Stage 1 Inputs'!Y94</f>
        <v>5.0999999999999997E-2</v>
      </c>
      <c r="T94" s="3">
        <f>'Stage 1 Inputs'!Z94</f>
        <v>-2.9759296462578115</v>
      </c>
      <c r="U94" s="3">
        <f>'Stage 1 Inputs'!AO94</f>
        <v>93</v>
      </c>
      <c r="V94" s="3">
        <f>'Stage 1 Inputs'!AP94</f>
        <v>4.5325994931532563</v>
      </c>
      <c r="W94" s="3">
        <f>'Stage 1 Inputs'!AQ94</f>
        <v>1</v>
      </c>
      <c r="X94" s="3">
        <f>'Stage 1 Inputs'!AR94</f>
        <v>0</v>
      </c>
      <c r="Y94" s="3">
        <f>'Stage 1 Inputs'!AS94</f>
        <v>1</v>
      </c>
      <c r="Z94" s="3">
        <f>'Stage 1 Inputs'!AT94</f>
        <v>0</v>
      </c>
      <c r="AA94" s="3">
        <f>'Stage 1 Inputs'!AU94</f>
        <v>0</v>
      </c>
      <c r="AB94" s="3">
        <f>'Stage 1 Inputs'!AV94</f>
        <v>0</v>
      </c>
      <c r="AC94" s="3">
        <f>'Stage 1 Inputs'!AW94</f>
        <v>4.5325994931532563</v>
      </c>
      <c r="AD94" s="3" t="str">
        <f>'Stage 1 Inputs'!AX94</f>
        <v>Historical official/source data</v>
      </c>
      <c r="AE94" s="3" t="str">
        <f>'Stage 1 Inputs'!AY94</f>
        <v>No special note</v>
      </c>
    </row>
    <row r="95" spans="1:31" ht="19.95" customHeight="1" x14ac:dyDescent="0.3">
      <c r="A95" s="3" t="str">
        <f>'Stage 1 Inputs'!A95</f>
        <v>2025Q2</v>
      </c>
      <c r="B95" s="3" t="str">
        <f>'Stage 1 Inputs'!B95</f>
        <v>Jun 2025</v>
      </c>
      <c r="C95" s="17">
        <f>'Stage 1 Inputs'!G95</f>
        <v>110143000000</v>
      </c>
      <c r="D95" s="17">
        <f>'Stage 1 Inputs'!H95</f>
        <v>5320600</v>
      </c>
      <c r="E95" s="17">
        <f>'Stage 1 Inputs'!I95</f>
        <v>20701.236702627524</v>
      </c>
      <c r="F95" s="17">
        <f>'Stage 1 Inputs'!E95</f>
        <v>1535</v>
      </c>
      <c r="G95" s="17">
        <f>'Stage 1 Inputs'!F95</f>
        <v>1.0169381107491857</v>
      </c>
      <c r="H95" s="17">
        <f>'Stage 1 Inputs'!K95</f>
        <v>21051.876542541737</v>
      </c>
      <c r="I95" s="18">
        <f>'Stage 1 Inputs'!M95</f>
        <v>9.9547449820512739</v>
      </c>
      <c r="J95" s="19">
        <f>'Stage 1 Inputs'!N95</f>
        <v>253.60000007384028</v>
      </c>
      <c r="K95" s="19">
        <f>'Stage 1 Inputs'!D95</f>
        <v>1.0252679938744258</v>
      </c>
      <c r="L95" s="19">
        <f>'Stage 1 Inputs'!O95</f>
        <v>260.00796332226048</v>
      </c>
      <c r="M95" s="18">
        <f>'Stage 1 Inputs'!P95</f>
        <v>5.5607122587090352</v>
      </c>
      <c r="N95" s="3">
        <f>'Stage 1 Inputs'!T95</f>
        <v>1476.2931862205082</v>
      </c>
      <c r="O95" s="3">
        <f>'Stage 1 Inputs'!U95</f>
        <v>7854765526.6048365</v>
      </c>
      <c r="P95" s="3">
        <f>'Stage 1 Inputs'!V95</f>
        <v>7.2972896210857199</v>
      </c>
      <c r="Q95" s="3">
        <f>'Stage 1 Inputs'!W95</f>
        <v>22.784386257999028</v>
      </c>
      <c r="R95" s="3">
        <f>'Stage 1 Inputs'!X95</f>
        <v>5.2</v>
      </c>
      <c r="S95" s="3">
        <f>'Stage 1 Inputs'!Y95</f>
        <v>5.2000000000000005E-2</v>
      </c>
      <c r="T95" s="3">
        <f>'Stage 1 Inputs'!Z95</f>
        <v>-2.9565115604007097</v>
      </c>
      <c r="U95" s="3">
        <f>'Stage 1 Inputs'!AO95</f>
        <v>94</v>
      </c>
      <c r="V95" s="3">
        <f>'Stage 1 Inputs'!AP95</f>
        <v>4.5432947822700038</v>
      </c>
      <c r="W95" s="3">
        <f>'Stage 1 Inputs'!AQ95</f>
        <v>1</v>
      </c>
      <c r="X95" s="3">
        <f>'Stage 1 Inputs'!AR95</f>
        <v>0</v>
      </c>
      <c r="Y95" s="3">
        <f>'Stage 1 Inputs'!AS95</f>
        <v>1</v>
      </c>
      <c r="Z95" s="3">
        <f>'Stage 1 Inputs'!AT95</f>
        <v>1</v>
      </c>
      <c r="AA95" s="3">
        <f>'Stage 1 Inputs'!AU95</f>
        <v>0</v>
      </c>
      <c r="AB95" s="3">
        <f>'Stage 1 Inputs'!AV95</f>
        <v>0</v>
      </c>
      <c r="AC95" s="3">
        <f>'Stage 1 Inputs'!AW95</f>
        <v>4.5432947822700038</v>
      </c>
      <c r="AD95" s="3" t="str">
        <f>'Stage 1 Inputs'!AX95</f>
        <v>Historical official/source data</v>
      </c>
      <c r="AE95" s="3" t="str">
        <f>'Stage 1 Inputs'!AY95</f>
        <v>No special note</v>
      </c>
    </row>
    <row r="96" spans="1:31" ht="19.95" customHeight="1" x14ac:dyDescent="0.3">
      <c r="A96" s="3" t="str">
        <f>'Stage 1 Inputs'!A96</f>
        <v>2025Q3</v>
      </c>
      <c r="B96" s="3" t="str">
        <f>'Stage 1 Inputs'!B96</f>
        <v>Sep 2025</v>
      </c>
      <c r="C96" s="17">
        <f>'Stage 1 Inputs'!G96</f>
        <v>111669000000</v>
      </c>
      <c r="D96" s="17">
        <f>'Stage 1 Inputs'!H96</f>
        <v>5331100</v>
      </c>
      <c r="E96" s="17">
        <f>'Stage 1 Inputs'!I96</f>
        <v>20946.708934366266</v>
      </c>
      <c r="F96" s="17">
        <f>'Stage 1 Inputs'!E96</f>
        <v>1542</v>
      </c>
      <c r="G96" s="17">
        <f>'Stage 1 Inputs'!F96</f>
        <v>1.0123216601815823</v>
      </c>
      <c r="H96" s="17">
        <f>'Stage 1 Inputs'!K96</f>
        <v>21204.807163778041</v>
      </c>
      <c r="I96" s="18">
        <f>'Stage 1 Inputs'!M96</f>
        <v>9.9619831879639236</v>
      </c>
      <c r="J96" s="19">
        <f>'Stage 1 Inputs'!N96</f>
        <v>253.99999992802674</v>
      </c>
      <c r="K96" s="19">
        <f>'Stage 1 Inputs'!D96</f>
        <v>1.0151630022744504</v>
      </c>
      <c r="L96" s="19">
        <f>'Stage 1 Inputs'!O96</f>
        <v>257.85140250464582</v>
      </c>
      <c r="M96" s="18">
        <f>'Stage 1 Inputs'!P96</f>
        <v>5.5523834597090351</v>
      </c>
      <c r="N96" s="3">
        <f>'Stage 1 Inputs'!T96</f>
        <v>1544.6797387351803</v>
      </c>
      <c r="O96" s="3">
        <f>'Stage 1 Inputs'!U96</f>
        <v>8234842155.1711197</v>
      </c>
      <c r="P96" s="3">
        <f>'Stage 1 Inputs'!V96</f>
        <v>7.3425718790000003</v>
      </c>
      <c r="Q96" s="3">
        <f>'Stage 1 Inputs'!W96</f>
        <v>22.831640032835679</v>
      </c>
      <c r="R96" s="3">
        <f>'Stage 1 Inputs'!X96</f>
        <v>5.3</v>
      </c>
      <c r="S96" s="3">
        <f>'Stage 1 Inputs'!Y96</f>
        <v>5.2999999999999999E-2</v>
      </c>
      <c r="T96" s="3">
        <f>'Stage 1 Inputs'!Z96</f>
        <v>-2.9374633654300153</v>
      </c>
      <c r="U96" s="3">
        <f>'Stage 1 Inputs'!AO96</f>
        <v>95</v>
      </c>
      <c r="V96" s="3">
        <f>'Stage 1 Inputs'!AP96</f>
        <v>4.5538768916005408</v>
      </c>
      <c r="W96" s="3">
        <f>'Stage 1 Inputs'!AQ96</f>
        <v>1</v>
      </c>
      <c r="X96" s="3">
        <f>'Stage 1 Inputs'!AR96</f>
        <v>0</v>
      </c>
      <c r="Y96" s="3">
        <f>'Stage 1 Inputs'!AS96</f>
        <v>1</v>
      </c>
      <c r="Z96" s="3">
        <f>'Stage 1 Inputs'!AT96</f>
        <v>0</v>
      </c>
      <c r="AA96" s="3">
        <f>'Stage 1 Inputs'!AU96</f>
        <v>1</v>
      </c>
      <c r="AB96" s="3">
        <f>'Stage 1 Inputs'!AV96</f>
        <v>0</v>
      </c>
      <c r="AC96" s="3">
        <f>'Stage 1 Inputs'!AW96</f>
        <v>4.5538768916005408</v>
      </c>
      <c r="AD96" s="3" t="str">
        <f>'Stage 1 Inputs'!AX96</f>
        <v>Historical official/source data</v>
      </c>
      <c r="AE96" s="3" t="str">
        <f>'Stage 1 Inputs'!AY96</f>
        <v>No special note</v>
      </c>
    </row>
    <row r="97" spans="1:31" ht="19.95" customHeight="1" x14ac:dyDescent="0.3">
      <c r="A97" s="3" t="str">
        <f>'Stage 1 Inputs'!A97</f>
        <v>2025Q4</v>
      </c>
      <c r="B97" s="3" t="str">
        <f>'Stage 1 Inputs'!B97</f>
        <v>Dec 2025</v>
      </c>
      <c r="C97" s="17">
        <f>'Stage 1 Inputs'!G97</f>
        <v>113094000000</v>
      </c>
      <c r="D97" s="17">
        <f>'Stage 1 Inputs'!H97</f>
        <v>5342000</v>
      </c>
      <c r="E97" s="17">
        <f>'Stage 1 Inputs'!I97</f>
        <v>21170.722575814303</v>
      </c>
      <c r="F97" s="17">
        <f>'Stage 1 Inputs'!E97</f>
        <v>1561</v>
      </c>
      <c r="G97" s="17">
        <f>'Stage 1 Inputs'!F97</f>
        <v>1</v>
      </c>
      <c r="H97" s="17">
        <f>'Stage 1 Inputs'!K97</f>
        <v>21170.722575814303</v>
      </c>
      <c r="I97" s="18">
        <f>'Stage 1 Inputs'!M97</f>
        <v>9.960374495611342</v>
      </c>
      <c r="J97" s="19">
        <f>'Stage 1 Inputs'!N97</f>
        <v>260.60000000000002</v>
      </c>
      <c r="K97" s="19">
        <f>'Stage 1 Inputs'!D97</f>
        <v>1.0090429540316503</v>
      </c>
      <c r="L97" s="19">
        <f>'Stage 1 Inputs'!O97</f>
        <v>262.9565938206481</v>
      </c>
      <c r="M97" s="18">
        <f>'Stage 1 Inputs'!P97</f>
        <v>5.5719889760497097</v>
      </c>
      <c r="N97" s="3">
        <f>'Stage 1 Inputs'!T97</f>
        <v>1565.5435343949114</v>
      </c>
      <c r="O97" s="3">
        <f>'Stage 1 Inputs'!U97</f>
        <v>8363133560.7376165</v>
      </c>
      <c r="P97" s="3">
        <f>'Stage 1 Inputs'!V97</f>
        <v>7.3559883490000004</v>
      </c>
      <c r="Q97" s="3">
        <f>'Stage 1 Inputs'!W97</f>
        <v>22.847099021652042</v>
      </c>
      <c r="R97" s="3">
        <f>'Stage 1 Inputs'!X97</f>
        <v>5.4</v>
      </c>
      <c r="S97" s="3">
        <f>'Stage 1 Inputs'!Y97</f>
        <v>5.4000000000000006E-2</v>
      </c>
      <c r="T97" s="3">
        <f>'Stage 1 Inputs'!Z97</f>
        <v>-2.9187712324178627</v>
      </c>
      <c r="U97" s="3">
        <f>'Stage 1 Inputs'!AO97</f>
        <v>96</v>
      </c>
      <c r="V97" s="3">
        <f>'Stage 1 Inputs'!AP97</f>
        <v>4.5643481914678361</v>
      </c>
      <c r="W97" s="3">
        <f>'Stage 1 Inputs'!AQ97</f>
        <v>1</v>
      </c>
      <c r="X97" s="3">
        <f>'Stage 1 Inputs'!AR97</f>
        <v>0</v>
      </c>
      <c r="Y97" s="3">
        <f>'Stage 1 Inputs'!AS97</f>
        <v>1</v>
      </c>
      <c r="Z97" s="3">
        <f>'Stage 1 Inputs'!AT97</f>
        <v>0</v>
      </c>
      <c r="AA97" s="3">
        <f>'Stage 1 Inputs'!AU97</f>
        <v>0</v>
      </c>
      <c r="AB97" s="3">
        <f>'Stage 1 Inputs'!AV97</f>
        <v>1</v>
      </c>
      <c r="AC97" s="3">
        <f>'Stage 1 Inputs'!AW97</f>
        <v>4.5643481914678361</v>
      </c>
      <c r="AD97" s="3" t="str">
        <f>'Stage 1 Inputs'!AX97</f>
        <v>Historical official/source data</v>
      </c>
      <c r="AE97" s="3" t="str">
        <f>'Stage 1 Inputs'!AY97</f>
        <v>Latest full official quarter for GDP, population, labour and RUC/VKT inputs. Fuel prices refreshed from Stats NZ CPI detailed table.</v>
      </c>
    </row>
    <row r="98" spans="1:31" ht="19.95" customHeight="1" x14ac:dyDescent="0.3">
      <c r="A98" s="3" t="str">
        <f>'Stage 1 Inputs'!A98</f>
        <v>2026Q1</v>
      </c>
      <c r="B98" s="3" t="str">
        <f>'Stage 1 Inputs'!B98</f>
        <v>Mar 2026</v>
      </c>
      <c r="C98" s="17">
        <f>'Stage 1 Inputs'!G98</f>
        <v>0</v>
      </c>
      <c r="D98" s="17">
        <f>'Stage 1 Inputs'!H98</f>
        <v>0</v>
      </c>
      <c r="E98" s="17">
        <f>'Stage 1 Inputs'!I98</f>
        <v>0</v>
      </c>
      <c r="F98" s="17">
        <f>'Stage 1 Inputs'!E98</f>
        <v>0</v>
      </c>
      <c r="G98" s="17">
        <f>'Stage 1 Inputs'!F98</f>
        <v>0</v>
      </c>
      <c r="H98" s="17">
        <f>'Stage 1 Inputs'!K98</f>
        <v>0</v>
      </c>
      <c r="I98" s="18">
        <f>'Stage 1 Inputs'!M98</f>
        <v>0</v>
      </c>
      <c r="J98" s="19">
        <f>'Stage 1 Inputs'!N98</f>
        <v>269.8</v>
      </c>
      <c r="K98" s="19">
        <f>'Stage 1 Inputs'!D98</f>
        <v>1</v>
      </c>
      <c r="L98" s="19">
        <f>'Stage 1 Inputs'!O98</f>
        <v>269.8</v>
      </c>
      <c r="M98" s="18">
        <f>'Stage 1 Inputs'!P98</f>
        <v>5.5976809437736552</v>
      </c>
      <c r="N98" s="3">
        <f>'Stage 1 Inputs'!T98</f>
        <v>0</v>
      </c>
      <c r="O98" s="3">
        <f>'Stage 1 Inputs'!U98</f>
        <v>0</v>
      </c>
      <c r="P98" s="3">
        <f>'Stage 1 Inputs'!V98</f>
        <v>0</v>
      </c>
      <c r="Q98" s="3">
        <f>'Stage 1 Inputs'!W98</f>
        <v>0</v>
      </c>
      <c r="R98" s="3">
        <f>'Stage 1 Inputs'!X98</f>
        <v>0</v>
      </c>
      <c r="S98" s="3">
        <f>'Stage 1 Inputs'!Y98</f>
        <v>0</v>
      </c>
      <c r="T98" s="3">
        <f>'Stage 1 Inputs'!Z98</f>
        <v>0</v>
      </c>
      <c r="U98" s="3">
        <f>'Stage 1 Inputs'!AO98</f>
        <v>97</v>
      </c>
      <c r="V98" s="3">
        <f>'Stage 1 Inputs'!AP98</f>
        <v>4.5747109785033828</v>
      </c>
      <c r="W98" s="3">
        <f>'Stage 1 Inputs'!AQ98</f>
        <v>1</v>
      </c>
      <c r="X98" s="3">
        <f>'Stage 1 Inputs'!AR98</f>
        <v>0</v>
      </c>
      <c r="Y98" s="3">
        <f>'Stage 1 Inputs'!AS98</f>
        <v>1</v>
      </c>
      <c r="Z98" s="3">
        <f>'Stage 1 Inputs'!AT98</f>
        <v>0</v>
      </c>
      <c r="AA98" s="3">
        <f>'Stage 1 Inputs'!AU98</f>
        <v>0</v>
      </c>
      <c r="AB98" s="3">
        <f>'Stage 1 Inputs'!AV98</f>
        <v>0</v>
      </c>
      <c r="AC98" s="3">
        <f>'Stage 1 Inputs'!AW98</f>
        <v>4.5747109785033828</v>
      </c>
      <c r="AD98" s="3" t="str">
        <f>'Stage 1 Inputs'!AX98</f>
        <v>Partial official CPI and fuel update</v>
      </c>
      <c r="AE98" s="3" t="str">
        <f>'Stage 1 Inputs'!AY98</f>
        <v>CPI and fuel values are official; GDP, population, labour, VKT and RUC volume/revenue are not yet released and remain zero.</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98"/>
  <sheetViews>
    <sheetView showGridLines="0" workbookViewId="0"/>
  </sheetViews>
  <sheetFormatPr defaultRowHeight="14.4" x14ac:dyDescent="0.3"/>
  <cols>
    <col min="1" max="1" width="10" customWidth="1"/>
    <col min="2" max="2" width="12" customWidth="1"/>
    <col min="3" max="18" width="16" customWidth="1"/>
    <col min="19" max="22" width="12" customWidth="1"/>
    <col min="23" max="23" width="26" customWidth="1"/>
    <col min="24" max="24" width="24" customWidth="1"/>
  </cols>
  <sheetData>
    <row r="1" spans="1:24" ht="48" customHeight="1" x14ac:dyDescent="0.3">
      <c r="A1" s="21" t="s">
        <v>33</v>
      </c>
      <c r="B1" s="22" t="s">
        <v>34</v>
      </c>
      <c r="C1" s="22" t="s">
        <v>238</v>
      </c>
      <c r="D1" s="22" t="s">
        <v>37</v>
      </c>
      <c r="E1" s="22" t="s">
        <v>38</v>
      </c>
      <c r="F1" s="22" t="s">
        <v>241</v>
      </c>
      <c r="G1" s="22" t="s">
        <v>243</v>
      </c>
      <c r="H1" s="22" t="s">
        <v>248</v>
      </c>
      <c r="I1" s="22" t="s">
        <v>36</v>
      </c>
      <c r="J1" s="22" t="s">
        <v>249</v>
      </c>
      <c r="K1" s="22" t="s">
        <v>250</v>
      </c>
      <c r="L1" s="22" t="s">
        <v>258</v>
      </c>
      <c r="M1" s="22" t="s">
        <v>259</v>
      </c>
      <c r="N1" s="22" t="s">
        <v>260</v>
      </c>
      <c r="O1" s="22" t="s">
        <v>261</v>
      </c>
      <c r="P1" s="22" t="s">
        <v>262</v>
      </c>
      <c r="Q1" s="22" t="s">
        <v>263</v>
      </c>
      <c r="R1" s="22" t="s">
        <v>264</v>
      </c>
      <c r="S1" s="22" t="s">
        <v>277</v>
      </c>
      <c r="T1" s="22" t="s">
        <v>278</v>
      </c>
      <c r="U1" s="22" t="s">
        <v>279</v>
      </c>
      <c r="V1" s="22" t="s">
        <v>276</v>
      </c>
      <c r="W1" s="22" t="s">
        <v>39</v>
      </c>
      <c r="X1" s="23" t="s">
        <v>40</v>
      </c>
    </row>
    <row r="2" spans="1:24" ht="19.95" customHeight="1" x14ac:dyDescent="0.3">
      <c r="A2" s="3" t="str">
        <f>'Stage 1 Inputs'!A2</f>
        <v>2002Q1</v>
      </c>
      <c r="B2" s="3" t="str">
        <f>'Stage 1 Inputs'!B2</f>
        <v>Mar 2002</v>
      </c>
      <c r="C2" s="3">
        <f>'Stage 1 Inputs'!G2</f>
        <v>32976000000</v>
      </c>
      <c r="D2" s="3">
        <f>'Stage 1 Inputs'!E2</f>
        <v>835</v>
      </c>
      <c r="E2" s="3">
        <f>'Stage 1 Inputs'!F2</f>
        <v>1.8694610778443115</v>
      </c>
      <c r="F2" s="3">
        <f>'Stage 1 Inputs'!J2</f>
        <v>61647348502.994019</v>
      </c>
      <c r="G2" s="3">
        <f>'Stage 1 Inputs'!L2</f>
        <v>24.844696056759091</v>
      </c>
      <c r="H2" s="3">
        <f>'Stage 1 Inputs'!Q2</f>
        <v>61.452198322581232</v>
      </c>
      <c r="I2" s="3">
        <f>'Stage 1 Inputs'!D2</f>
        <v>1.8418156808803301</v>
      </c>
      <c r="J2" s="3">
        <f>'Stage 1 Inputs'!R2</f>
        <v>113.18362249509804</v>
      </c>
      <c r="K2" s="3">
        <f>'Stage 1 Inputs'!S2</f>
        <v>4.729011477697127</v>
      </c>
      <c r="L2" s="3">
        <f>'Stage 1 Inputs'!AA2</f>
        <v>0</v>
      </c>
      <c r="M2" s="3">
        <f>'Stage 1 Inputs'!AB2</f>
        <v>0</v>
      </c>
      <c r="N2" s="3">
        <f>'Stage 1 Inputs'!AC2</f>
        <v>0</v>
      </c>
      <c r="O2" s="3">
        <f>'Stage 1 Inputs'!AD2</f>
        <v>0</v>
      </c>
      <c r="P2" s="3">
        <f>'Stage 1 Inputs'!AE2</f>
        <v>0</v>
      </c>
      <c r="Q2" s="3">
        <f>'Stage 1 Inputs'!AF2</f>
        <v>0</v>
      </c>
      <c r="R2" s="3">
        <f>'Stage 1 Inputs'!AG2</f>
        <v>0</v>
      </c>
      <c r="S2" s="3">
        <f>'Stage 1 Inputs'!AT2</f>
        <v>0</v>
      </c>
      <c r="T2" s="3">
        <f>'Stage 1 Inputs'!AU2</f>
        <v>0</v>
      </c>
      <c r="U2" s="3">
        <f>'Stage 1 Inputs'!AV2</f>
        <v>0</v>
      </c>
      <c r="V2" s="3">
        <f>'Stage 1 Inputs'!AS2</f>
        <v>0</v>
      </c>
      <c r="W2" s="3" t="str">
        <f>'Stage 1 Inputs'!AX2</f>
        <v>Historical official/source data</v>
      </c>
      <c r="X2" s="3" t="str">
        <f>'Stage 1 Inputs'!AY2</f>
        <v>No special note</v>
      </c>
    </row>
    <row r="3" spans="1:24" ht="19.95" customHeight="1" x14ac:dyDescent="0.3">
      <c r="A3" s="3" t="str">
        <f>'Stage 1 Inputs'!A3</f>
        <v>2002Q2</v>
      </c>
      <c r="B3" s="3" t="str">
        <f>'Stage 1 Inputs'!B3</f>
        <v>Jun 2002</v>
      </c>
      <c r="C3" s="3">
        <f>'Stage 1 Inputs'!G3</f>
        <v>32897000000</v>
      </c>
      <c r="D3" s="3">
        <f>'Stage 1 Inputs'!E3</f>
        <v>825</v>
      </c>
      <c r="E3" s="3">
        <f>'Stage 1 Inputs'!F3</f>
        <v>1.8921212121212121</v>
      </c>
      <c r="F3" s="3">
        <f>'Stage 1 Inputs'!J3</f>
        <v>62245111515.151512</v>
      </c>
      <c r="G3" s="3">
        <f>'Stage 1 Inputs'!L3</f>
        <v>24.854345839330513</v>
      </c>
      <c r="H3" s="3">
        <f>'Stage 1 Inputs'!Q3</f>
        <v>65.599999978379984</v>
      </c>
      <c r="I3" s="3">
        <f>'Stage 1 Inputs'!D3</f>
        <v>1.8242506811989101</v>
      </c>
      <c r="J3" s="3">
        <f>'Stage 1 Inputs'!R3</f>
        <v>119.67084464720817</v>
      </c>
      <c r="K3" s="3">
        <f>'Stage 1 Inputs'!S3</f>
        <v>4.7847450126971269</v>
      </c>
      <c r="L3" s="3">
        <f>'Stage 1 Inputs'!AA3</f>
        <v>0</v>
      </c>
      <c r="M3" s="3">
        <f>'Stage 1 Inputs'!AB3</f>
        <v>0</v>
      </c>
      <c r="N3" s="3">
        <f>'Stage 1 Inputs'!AC3</f>
        <v>0</v>
      </c>
      <c r="O3" s="3">
        <f>'Stage 1 Inputs'!AD3</f>
        <v>0</v>
      </c>
      <c r="P3" s="3">
        <f>'Stage 1 Inputs'!AE3</f>
        <v>0</v>
      </c>
      <c r="Q3" s="3">
        <f>'Stage 1 Inputs'!AF3</f>
        <v>0</v>
      </c>
      <c r="R3" s="3">
        <f>'Stage 1 Inputs'!AG3</f>
        <v>0</v>
      </c>
      <c r="S3" s="3">
        <f>'Stage 1 Inputs'!AT3</f>
        <v>1</v>
      </c>
      <c r="T3" s="3">
        <f>'Stage 1 Inputs'!AU3</f>
        <v>0</v>
      </c>
      <c r="U3" s="3">
        <f>'Stage 1 Inputs'!AV3</f>
        <v>0</v>
      </c>
      <c r="V3" s="3">
        <f>'Stage 1 Inputs'!AS3</f>
        <v>0</v>
      </c>
      <c r="W3" s="3" t="str">
        <f>'Stage 1 Inputs'!AX3</f>
        <v>Historical official/source data</v>
      </c>
      <c r="X3" s="3" t="str">
        <f>'Stage 1 Inputs'!AY3</f>
        <v>No special note</v>
      </c>
    </row>
    <row r="4" spans="1:24" ht="19.95" customHeight="1" x14ac:dyDescent="0.3">
      <c r="A4" s="3" t="str">
        <f>'Stage 1 Inputs'!A4</f>
        <v>2002Q3</v>
      </c>
      <c r="B4" s="3" t="str">
        <f>'Stage 1 Inputs'!B4</f>
        <v>Sep 2002</v>
      </c>
      <c r="C4" s="3">
        <f>'Stage 1 Inputs'!G4</f>
        <v>33866000000</v>
      </c>
      <c r="D4" s="3">
        <f>'Stage 1 Inputs'!E4</f>
        <v>832</v>
      </c>
      <c r="E4" s="3">
        <f>'Stage 1 Inputs'!F4</f>
        <v>1.8762019230769231</v>
      </c>
      <c r="F4" s="3">
        <f>'Stage 1 Inputs'!J4</f>
        <v>63539454326.92308</v>
      </c>
      <c r="G4" s="3">
        <f>'Stage 1 Inputs'!L4</f>
        <v>24.874926877883784</v>
      </c>
      <c r="H4" s="3">
        <f>'Stage 1 Inputs'!Q4</f>
        <v>64.499999987403186</v>
      </c>
      <c r="I4" s="3">
        <f>'Stage 1 Inputs'!D4</f>
        <v>1.8143631436314362</v>
      </c>
      <c r="J4" s="3">
        <f>'Stage 1 Inputs'!R4</f>
        <v>117.02642274137244</v>
      </c>
      <c r="K4" s="3">
        <f>'Stage 1 Inputs'!S4</f>
        <v>4.7623997446971273</v>
      </c>
      <c r="L4" s="3">
        <f>'Stage 1 Inputs'!AA4</f>
        <v>0</v>
      </c>
      <c r="M4" s="3">
        <f>'Stage 1 Inputs'!AB4</f>
        <v>0</v>
      </c>
      <c r="N4" s="3">
        <f>'Stage 1 Inputs'!AC4</f>
        <v>0</v>
      </c>
      <c r="O4" s="3">
        <f>'Stage 1 Inputs'!AD4</f>
        <v>0</v>
      </c>
      <c r="P4" s="3">
        <f>'Stage 1 Inputs'!AE4</f>
        <v>0</v>
      </c>
      <c r="Q4" s="3">
        <f>'Stage 1 Inputs'!AF4</f>
        <v>0</v>
      </c>
      <c r="R4" s="3">
        <f>'Stage 1 Inputs'!AG4</f>
        <v>0</v>
      </c>
      <c r="S4" s="3">
        <f>'Stage 1 Inputs'!AT4</f>
        <v>0</v>
      </c>
      <c r="T4" s="3">
        <f>'Stage 1 Inputs'!AU4</f>
        <v>1</v>
      </c>
      <c r="U4" s="3">
        <f>'Stage 1 Inputs'!AV4</f>
        <v>0</v>
      </c>
      <c r="V4" s="3">
        <f>'Stage 1 Inputs'!AS4</f>
        <v>0</v>
      </c>
      <c r="W4" s="3" t="str">
        <f>'Stage 1 Inputs'!AX4</f>
        <v>Historical official/source data</v>
      </c>
      <c r="X4" s="3" t="str">
        <f>'Stage 1 Inputs'!AY4</f>
        <v>No special note</v>
      </c>
    </row>
    <row r="5" spans="1:24" ht="19.95" customHeight="1" x14ac:dyDescent="0.3">
      <c r="A5" s="3" t="str">
        <f>'Stage 1 Inputs'!A5</f>
        <v>2002Q4</v>
      </c>
      <c r="B5" s="3" t="str">
        <f>'Stage 1 Inputs'!B5</f>
        <v>Dec 2002</v>
      </c>
      <c r="C5" s="3">
        <f>'Stage 1 Inputs'!G5</f>
        <v>33950000000</v>
      </c>
      <c r="D5" s="3">
        <f>'Stage 1 Inputs'!E5</f>
        <v>820</v>
      </c>
      <c r="E5" s="3">
        <f>'Stage 1 Inputs'!F5</f>
        <v>1.9036585365853658</v>
      </c>
      <c r="F5" s="3">
        <f>'Stage 1 Inputs'!J5</f>
        <v>64629207317.073166</v>
      </c>
      <c r="G5" s="3">
        <f>'Stage 1 Inputs'!L5</f>
        <v>24.891932271208251</v>
      </c>
      <c r="H5" s="3">
        <f>'Stage 1 Inputs'!Q5</f>
        <v>65.399999981045895</v>
      </c>
      <c r="I5" s="3">
        <f>'Stage 1 Inputs'!D5</f>
        <v>1.8045822102425877</v>
      </c>
      <c r="J5" s="3">
        <f>'Stage 1 Inputs'!R5</f>
        <v>118.01967651566099</v>
      </c>
      <c r="K5" s="3">
        <f>'Stage 1 Inputs'!S5</f>
        <v>4.7708513606971268</v>
      </c>
      <c r="L5" s="3">
        <f>'Stage 1 Inputs'!AA5</f>
        <v>0</v>
      </c>
      <c r="M5" s="3">
        <f>'Stage 1 Inputs'!AB5</f>
        <v>0</v>
      </c>
      <c r="N5" s="3">
        <f>'Stage 1 Inputs'!AC5</f>
        <v>0</v>
      </c>
      <c r="O5" s="3">
        <f>'Stage 1 Inputs'!AD5</f>
        <v>0</v>
      </c>
      <c r="P5" s="3">
        <f>'Stage 1 Inputs'!AE5</f>
        <v>0</v>
      </c>
      <c r="Q5" s="3">
        <f>'Stage 1 Inputs'!AF5</f>
        <v>0</v>
      </c>
      <c r="R5" s="3">
        <f>'Stage 1 Inputs'!AG5</f>
        <v>0</v>
      </c>
      <c r="S5" s="3">
        <f>'Stage 1 Inputs'!AT5</f>
        <v>0</v>
      </c>
      <c r="T5" s="3">
        <f>'Stage 1 Inputs'!AU5</f>
        <v>0</v>
      </c>
      <c r="U5" s="3">
        <f>'Stage 1 Inputs'!AV5</f>
        <v>1</v>
      </c>
      <c r="V5" s="3">
        <f>'Stage 1 Inputs'!AS5</f>
        <v>0</v>
      </c>
      <c r="W5" s="3" t="str">
        <f>'Stage 1 Inputs'!AX5</f>
        <v>Historical official/source data</v>
      </c>
      <c r="X5" s="3" t="str">
        <f>'Stage 1 Inputs'!AY5</f>
        <v>No special note</v>
      </c>
    </row>
    <row r="6" spans="1:24" ht="19.95" customHeight="1" x14ac:dyDescent="0.3">
      <c r="A6" s="3" t="str">
        <f>'Stage 1 Inputs'!A6</f>
        <v>2003Q1</v>
      </c>
      <c r="B6" s="3" t="str">
        <f>'Stage 1 Inputs'!B6</f>
        <v>Mar 2003</v>
      </c>
      <c r="C6" s="3">
        <f>'Stage 1 Inputs'!G6</f>
        <v>34462000000</v>
      </c>
      <c r="D6" s="3">
        <f>'Stage 1 Inputs'!E6</f>
        <v>828</v>
      </c>
      <c r="E6" s="3">
        <f>'Stage 1 Inputs'!F6</f>
        <v>1.8852657004830917</v>
      </c>
      <c r="F6" s="3">
        <f>'Stage 1 Inputs'!J6</f>
        <v>64970026570.048309</v>
      </c>
      <c r="G6" s="3">
        <f>'Stage 1 Inputs'!L6</f>
        <v>24.897191870797492</v>
      </c>
      <c r="H6" s="3">
        <f>'Stage 1 Inputs'!Q6</f>
        <v>70.799999977757452</v>
      </c>
      <c r="I6" s="3">
        <f>'Stage 1 Inputs'!D6</f>
        <v>1.7973154362416108</v>
      </c>
      <c r="J6" s="3">
        <f>'Stage 1 Inputs'!R6</f>
        <v>127.24993284592917</v>
      </c>
      <c r="K6" s="3">
        <f>'Stage 1 Inputs'!S6</f>
        <v>4.8461531276971268</v>
      </c>
      <c r="L6" s="3">
        <f>'Stage 1 Inputs'!AA6</f>
        <v>0</v>
      </c>
      <c r="M6" s="3">
        <f>'Stage 1 Inputs'!AB6</f>
        <v>0</v>
      </c>
      <c r="N6" s="3">
        <f>'Stage 1 Inputs'!AC6</f>
        <v>0</v>
      </c>
      <c r="O6" s="3">
        <f>'Stage 1 Inputs'!AD6</f>
        <v>0</v>
      </c>
      <c r="P6" s="3">
        <f>'Stage 1 Inputs'!AE6</f>
        <v>0</v>
      </c>
      <c r="Q6" s="3">
        <f>'Stage 1 Inputs'!AF6</f>
        <v>0</v>
      </c>
      <c r="R6" s="3">
        <f>'Stage 1 Inputs'!AG6</f>
        <v>0</v>
      </c>
      <c r="S6" s="3">
        <f>'Stage 1 Inputs'!AT6</f>
        <v>0</v>
      </c>
      <c r="T6" s="3">
        <f>'Stage 1 Inputs'!AU6</f>
        <v>0</v>
      </c>
      <c r="U6" s="3">
        <f>'Stage 1 Inputs'!AV6</f>
        <v>0</v>
      </c>
      <c r="V6" s="3">
        <f>'Stage 1 Inputs'!AS6</f>
        <v>0</v>
      </c>
      <c r="W6" s="3" t="str">
        <f>'Stage 1 Inputs'!AX6</f>
        <v>Historical official/source data</v>
      </c>
      <c r="X6" s="3" t="str">
        <f>'Stage 1 Inputs'!AY6</f>
        <v>No special note</v>
      </c>
    </row>
    <row r="7" spans="1:24" ht="19.95" customHeight="1" x14ac:dyDescent="0.3">
      <c r="A7" s="3" t="str">
        <f>'Stage 1 Inputs'!A7</f>
        <v>2003Q2</v>
      </c>
      <c r="B7" s="3" t="str">
        <f>'Stage 1 Inputs'!B7</f>
        <v>Jun 2003</v>
      </c>
      <c r="C7" s="3">
        <f>'Stage 1 Inputs'!G7</f>
        <v>34938000000</v>
      </c>
      <c r="D7" s="3">
        <f>'Stage 1 Inputs'!E7</f>
        <v>836</v>
      </c>
      <c r="E7" s="3">
        <f>'Stage 1 Inputs'!F7</f>
        <v>1.8672248803827751</v>
      </c>
      <c r="F7" s="3">
        <f>'Stage 1 Inputs'!J7</f>
        <v>65237102870.8134</v>
      </c>
      <c r="G7" s="3">
        <f>'Stage 1 Inputs'!L7</f>
        <v>24.901294206460179</v>
      </c>
      <c r="H7" s="3">
        <f>'Stage 1 Inputs'!Q7</f>
        <v>59.300000022642791</v>
      </c>
      <c r="I7" s="3">
        <f>'Stage 1 Inputs'!D7</f>
        <v>1.7973154362416108</v>
      </c>
      <c r="J7" s="3">
        <f>'Stage 1 Inputs'!R7</f>
        <v>106.58080540982377</v>
      </c>
      <c r="K7" s="3">
        <f>'Stage 1 Inputs'!S7</f>
        <v>4.6689034336971273</v>
      </c>
      <c r="L7" s="3">
        <f>'Stage 1 Inputs'!AA7</f>
        <v>0</v>
      </c>
      <c r="M7" s="3">
        <f>'Stage 1 Inputs'!AB7</f>
        <v>0</v>
      </c>
      <c r="N7" s="3">
        <f>'Stage 1 Inputs'!AC7</f>
        <v>0</v>
      </c>
      <c r="O7" s="3">
        <f>'Stage 1 Inputs'!AD7</f>
        <v>0</v>
      </c>
      <c r="P7" s="3">
        <f>'Stage 1 Inputs'!AE7</f>
        <v>0</v>
      </c>
      <c r="Q7" s="3">
        <f>'Stage 1 Inputs'!AF7</f>
        <v>0</v>
      </c>
      <c r="R7" s="3">
        <f>'Stage 1 Inputs'!AG7</f>
        <v>0</v>
      </c>
      <c r="S7" s="3">
        <f>'Stage 1 Inputs'!AT7</f>
        <v>1</v>
      </c>
      <c r="T7" s="3">
        <f>'Stage 1 Inputs'!AU7</f>
        <v>0</v>
      </c>
      <c r="U7" s="3">
        <f>'Stage 1 Inputs'!AV7</f>
        <v>0</v>
      </c>
      <c r="V7" s="3">
        <f>'Stage 1 Inputs'!AS7</f>
        <v>0</v>
      </c>
      <c r="W7" s="3" t="str">
        <f>'Stage 1 Inputs'!AX7</f>
        <v>Historical official/source data</v>
      </c>
      <c r="X7" s="3" t="str">
        <f>'Stage 1 Inputs'!AY7</f>
        <v>No special note</v>
      </c>
    </row>
    <row r="8" spans="1:24" ht="19.95" customHeight="1" x14ac:dyDescent="0.3">
      <c r="A8" s="3" t="str">
        <f>'Stage 1 Inputs'!A8</f>
        <v>2003Q3</v>
      </c>
      <c r="B8" s="3" t="str">
        <f>'Stage 1 Inputs'!B8</f>
        <v>Sep 2003</v>
      </c>
      <c r="C8" s="3">
        <f>'Stage 1 Inputs'!G8</f>
        <v>35703000000</v>
      </c>
      <c r="D8" s="3">
        <f>'Stage 1 Inputs'!E8</f>
        <v>841</v>
      </c>
      <c r="E8" s="3">
        <f>'Stage 1 Inputs'!F8</f>
        <v>1.8561236623067776</v>
      </c>
      <c r="F8" s="3">
        <f>'Stage 1 Inputs'!J8</f>
        <v>66269183115.338882</v>
      </c>
      <c r="G8" s="3">
        <f>'Stage 1 Inputs'!L8</f>
        <v>24.916990816357309</v>
      </c>
      <c r="H8" s="3">
        <f>'Stage 1 Inputs'!Q8</f>
        <v>60.199999979872523</v>
      </c>
      <c r="I8" s="3">
        <f>'Stage 1 Inputs'!D8</f>
        <v>1.7901069518716577</v>
      </c>
      <c r="J8" s="3">
        <f>'Stage 1 Inputs'!R8</f>
        <v>107.76443846664345</v>
      </c>
      <c r="K8" s="3">
        <f>'Stage 1 Inputs'!S8</f>
        <v>4.6799477196971271</v>
      </c>
      <c r="L8" s="3">
        <f>'Stage 1 Inputs'!AA8</f>
        <v>0</v>
      </c>
      <c r="M8" s="3">
        <f>'Stage 1 Inputs'!AB8</f>
        <v>0</v>
      </c>
      <c r="N8" s="3">
        <f>'Stage 1 Inputs'!AC8</f>
        <v>0</v>
      </c>
      <c r="O8" s="3">
        <f>'Stage 1 Inputs'!AD8</f>
        <v>0</v>
      </c>
      <c r="P8" s="3">
        <f>'Stage 1 Inputs'!AE8</f>
        <v>0</v>
      </c>
      <c r="Q8" s="3">
        <f>'Stage 1 Inputs'!AF8</f>
        <v>0</v>
      </c>
      <c r="R8" s="3">
        <f>'Stage 1 Inputs'!AG8</f>
        <v>0</v>
      </c>
      <c r="S8" s="3">
        <f>'Stage 1 Inputs'!AT8</f>
        <v>0</v>
      </c>
      <c r="T8" s="3">
        <f>'Stage 1 Inputs'!AU8</f>
        <v>1</v>
      </c>
      <c r="U8" s="3">
        <f>'Stage 1 Inputs'!AV8</f>
        <v>0</v>
      </c>
      <c r="V8" s="3">
        <f>'Stage 1 Inputs'!AS8</f>
        <v>0</v>
      </c>
      <c r="W8" s="3" t="str">
        <f>'Stage 1 Inputs'!AX8</f>
        <v>Historical official/source data</v>
      </c>
      <c r="X8" s="3" t="str">
        <f>'Stage 1 Inputs'!AY8</f>
        <v>No special note</v>
      </c>
    </row>
    <row r="9" spans="1:24" ht="19.95" customHeight="1" x14ac:dyDescent="0.3">
      <c r="A9" s="3" t="str">
        <f>'Stage 1 Inputs'!A9</f>
        <v>2003Q4</v>
      </c>
      <c r="B9" s="3" t="str">
        <f>'Stage 1 Inputs'!B9</f>
        <v>Dec 2003</v>
      </c>
      <c r="C9" s="3">
        <f>'Stage 1 Inputs'!G9</f>
        <v>36381000000</v>
      </c>
      <c r="D9" s="3">
        <f>'Stage 1 Inputs'!E9</f>
        <v>847</v>
      </c>
      <c r="E9" s="3">
        <f>'Stage 1 Inputs'!F9</f>
        <v>1.8429752066115703</v>
      </c>
      <c r="F9" s="3">
        <f>'Stage 1 Inputs'!J9</f>
        <v>67049280991.735542</v>
      </c>
      <c r="G9" s="3">
        <f>'Stage 1 Inputs'!L9</f>
        <v>24.928693723152552</v>
      </c>
      <c r="H9" s="3">
        <f>'Stage 1 Inputs'!Q9</f>
        <v>58.200000016093398</v>
      </c>
      <c r="I9" s="3">
        <f>'Stage 1 Inputs'!D9</f>
        <v>1.7758620689655173</v>
      </c>
      <c r="J9" s="3">
        <f>'Stage 1 Inputs'!R9</f>
        <v>103.35517244237276</v>
      </c>
      <c r="K9" s="3">
        <f>'Stage 1 Inputs'!S9</f>
        <v>4.6381713326971274</v>
      </c>
      <c r="L9" s="3">
        <f>'Stage 1 Inputs'!AA9</f>
        <v>0</v>
      </c>
      <c r="M9" s="3">
        <f>'Stage 1 Inputs'!AB9</f>
        <v>0</v>
      </c>
      <c r="N9" s="3">
        <f>'Stage 1 Inputs'!AC9</f>
        <v>0</v>
      </c>
      <c r="O9" s="3">
        <f>'Stage 1 Inputs'!AD9</f>
        <v>0</v>
      </c>
      <c r="P9" s="3">
        <f>'Stage 1 Inputs'!AE9</f>
        <v>0</v>
      </c>
      <c r="Q9" s="3">
        <f>'Stage 1 Inputs'!AF9</f>
        <v>0</v>
      </c>
      <c r="R9" s="3">
        <f>'Stage 1 Inputs'!AG9</f>
        <v>0</v>
      </c>
      <c r="S9" s="3">
        <f>'Stage 1 Inputs'!AT9</f>
        <v>0</v>
      </c>
      <c r="T9" s="3">
        <f>'Stage 1 Inputs'!AU9</f>
        <v>0</v>
      </c>
      <c r="U9" s="3">
        <f>'Stage 1 Inputs'!AV9</f>
        <v>1</v>
      </c>
      <c r="V9" s="3">
        <f>'Stage 1 Inputs'!AS9</f>
        <v>0</v>
      </c>
      <c r="W9" s="3" t="str">
        <f>'Stage 1 Inputs'!AX9</f>
        <v>Historical official/source data</v>
      </c>
      <c r="X9" s="3" t="str">
        <f>'Stage 1 Inputs'!AY9</f>
        <v>No special note</v>
      </c>
    </row>
    <row r="10" spans="1:24" ht="19.95" customHeight="1" x14ac:dyDescent="0.3">
      <c r="A10" s="3" t="str">
        <f>'Stage 1 Inputs'!A10</f>
        <v>2004Q1</v>
      </c>
      <c r="B10" s="3" t="str">
        <f>'Stage 1 Inputs'!B10</f>
        <v>Mar 2004</v>
      </c>
      <c r="C10" s="3">
        <f>'Stage 1 Inputs'!G10</f>
        <v>37466000000</v>
      </c>
      <c r="D10" s="3">
        <f>'Stage 1 Inputs'!E10</f>
        <v>850</v>
      </c>
      <c r="E10" s="3">
        <f>'Stage 1 Inputs'!F10</f>
        <v>1.8364705882352941</v>
      </c>
      <c r="F10" s="3">
        <f>'Stage 1 Inputs'!J10</f>
        <v>68805207058.823532</v>
      </c>
      <c r="G10" s="3">
        <f>'Stage 1 Inputs'!L10</f>
        <v>24.95454526301635</v>
      </c>
      <c r="H10" s="3">
        <f>'Stage 1 Inputs'!Q10</f>
        <v>63.699999991418728</v>
      </c>
      <c r="I10" s="3">
        <f>'Stage 1 Inputs'!D10</f>
        <v>1.7688243064729194</v>
      </c>
      <c r="J10" s="3">
        <f>'Stage 1 Inputs'!R10</f>
        <v>112.67410830714621</v>
      </c>
      <c r="K10" s="3">
        <f>'Stage 1 Inputs'!S10</f>
        <v>4.7244996546971274</v>
      </c>
      <c r="L10" s="3">
        <f>'Stage 1 Inputs'!AA10</f>
        <v>0</v>
      </c>
      <c r="M10" s="3">
        <f>'Stage 1 Inputs'!AB10</f>
        <v>0</v>
      </c>
      <c r="N10" s="3">
        <f>'Stage 1 Inputs'!AC10</f>
        <v>0</v>
      </c>
      <c r="O10" s="3">
        <f>'Stage 1 Inputs'!AD10</f>
        <v>0</v>
      </c>
      <c r="P10" s="3">
        <f>'Stage 1 Inputs'!AE10</f>
        <v>0</v>
      </c>
      <c r="Q10" s="3">
        <f>'Stage 1 Inputs'!AF10</f>
        <v>0</v>
      </c>
      <c r="R10" s="3">
        <f>'Stage 1 Inputs'!AG10</f>
        <v>0</v>
      </c>
      <c r="S10" s="3">
        <f>'Stage 1 Inputs'!AT10</f>
        <v>0</v>
      </c>
      <c r="T10" s="3">
        <f>'Stage 1 Inputs'!AU10</f>
        <v>0</v>
      </c>
      <c r="U10" s="3">
        <f>'Stage 1 Inputs'!AV10</f>
        <v>0</v>
      </c>
      <c r="V10" s="3">
        <f>'Stage 1 Inputs'!AS10</f>
        <v>0</v>
      </c>
      <c r="W10" s="3" t="str">
        <f>'Stage 1 Inputs'!AX10</f>
        <v>Historical official/source data</v>
      </c>
      <c r="X10" s="3" t="str">
        <f>'Stage 1 Inputs'!AY10</f>
        <v>No special note</v>
      </c>
    </row>
    <row r="11" spans="1:24" ht="19.95" customHeight="1" x14ac:dyDescent="0.3">
      <c r="A11" s="3" t="str">
        <f>'Stage 1 Inputs'!A11</f>
        <v>2004Q2</v>
      </c>
      <c r="B11" s="3" t="str">
        <f>'Stage 1 Inputs'!B11</f>
        <v>Jun 2004</v>
      </c>
      <c r="C11" s="3">
        <f>'Stage 1 Inputs'!G11</f>
        <v>38019000000</v>
      </c>
      <c r="D11" s="3">
        <f>'Stage 1 Inputs'!E11</f>
        <v>862</v>
      </c>
      <c r="E11" s="3">
        <f>'Stage 1 Inputs'!F11</f>
        <v>1.8109048723897911</v>
      </c>
      <c r="F11" s="3">
        <f>'Stage 1 Inputs'!J11</f>
        <v>68848792343.387466</v>
      </c>
      <c r="G11" s="3">
        <f>'Stage 1 Inputs'!L11</f>
        <v>24.955178521566186</v>
      </c>
      <c r="H11" s="3">
        <f>'Stage 1 Inputs'!Q11</f>
        <v>71.600000023184933</v>
      </c>
      <c r="I11" s="3">
        <f>'Stage 1 Inputs'!D11</f>
        <v>1.7549148099606815</v>
      </c>
      <c r="J11" s="3">
        <f>'Stage 1 Inputs'!R11</f>
        <v>125.65190043387237</v>
      </c>
      <c r="K11" s="3">
        <f>'Stage 1 Inputs'!S11</f>
        <v>4.8335153886971272</v>
      </c>
      <c r="L11" s="3">
        <f>'Stage 1 Inputs'!AA11</f>
        <v>0</v>
      </c>
      <c r="M11" s="3">
        <f>'Stage 1 Inputs'!AB11</f>
        <v>0</v>
      </c>
      <c r="N11" s="3">
        <f>'Stage 1 Inputs'!AC11</f>
        <v>0</v>
      </c>
      <c r="O11" s="3">
        <f>'Stage 1 Inputs'!AD11</f>
        <v>0</v>
      </c>
      <c r="P11" s="3">
        <f>'Stage 1 Inputs'!AE11</f>
        <v>0</v>
      </c>
      <c r="Q11" s="3">
        <f>'Stage 1 Inputs'!AF11</f>
        <v>0</v>
      </c>
      <c r="R11" s="3">
        <f>'Stage 1 Inputs'!AG11</f>
        <v>0</v>
      </c>
      <c r="S11" s="3">
        <f>'Stage 1 Inputs'!AT11</f>
        <v>1</v>
      </c>
      <c r="T11" s="3">
        <f>'Stage 1 Inputs'!AU11</f>
        <v>0</v>
      </c>
      <c r="U11" s="3">
        <f>'Stage 1 Inputs'!AV11</f>
        <v>0</v>
      </c>
      <c r="V11" s="3">
        <f>'Stage 1 Inputs'!AS11</f>
        <v>0</v>
      </c>
      <c r="W11" s="3" t="str">
        <f>'Stage 1 Inputs'!AX11</f>
        <v>Historical official/source data</v>
      </c>
      <c r="X11" s="3" t="str">
        <f>'Stage 1 Inputs'!AY11</f>
        <v>No special note</v>
      </c>
    </row>
    <row r="12" spans="1:24" ht="19.95" customHeight="1" x14ac:dyDescent="0.3">
      <c r="A12" s="3" t="str">
        <f>'Stage 1 Inputs'!A12</f>
        <v>2004Q3</v>
      </c>
      <c r="B12" s="3" t="str">
        <f>'Stage 1 Inputs'!B12</f>
        <v>Sep 2004</v>
      </c>
      <c r="C12" s="3">
        <f>'Stage 1 Inputs'!G12</f>
        <v>38645000000</v>
      </c>
      <c r="D12" s="3">
        <f>'Stage 1 Inputs'!E12</f>
        <v>875</v>
      </c>
      <c r="E12" s="3">
        <f>'Stage 1 Inputs'!F12</f>
        <v>1.784</v>
      </c>
      <c r="F12" s="3">
        <f>'Stage 1 Inputs'!J12</f>
        <v>68942680000</v>
      </c>
      <c r="G12" s="3">
        <f>'Stage 1 Inputs'!L12</f>
        <v>24.956541271663063</v>
      </c>
      <c r="H12" s="3">
        <f>'Stage 1 Inputs'!Q12</f>
        <v>76.400000015336246</v>
      </c>
      <c r="I12" s="3">
        <f>'Stage 1 Inputs'!D12</f>
        <v>1.7457627118644068</v>
      </c>
      <c r="J12" s="3">
        <f>'Stage 1 Inputs'!R12</f>
        <v>133.37627121321412</v>
      </c>
      <c r="K12" s="3">
        <f>'Stage 1 Inputs'!S12</f>
        <v>4.8931742406971273</v>
      </c>
      <c r="L12" s="3">
        <f>'Stage 1 Inputs'!AA12</f>
        <v>0</v>
      </c>
      <c r="M12" s="3">
        <f>'Stage 1 Inputs'!AB12</f>
        <v>0</v>
      </c>
      <c r="N12" s="3">
        <f>'Stage 1 Inputs'!AC12</f>
        <v>0</v>
      </c>
      <c r="O12" s="3">
        <f>'Stage 1 Inputs'!AD12</f>
        <v>0</v>
      </c>
      <c r="P12" s="3">
        <f>'Stage 1 Inputs'!AE12</f>
        <v>0</v>
      </c>
      <c r="Q12" s="3">
        <f>'Stage 1 Inputs'!AF12</f>
        <v>0</v>
      </c>
      <c r="R12" s="3">
        <f>'Stage 1 Inputs'!AG12</f>
        <v>0</v>
      </c>
      <c r="S12" s="3">
        <f>'Stage 1 Inputs'!AT12</f>
        <v>0</v>
      </c>
      <c r="T12" s="3">
        <f>'Stage 1 Inputs'!AU12</f>
        <v>1</v>
      </c>
      <c r="U12" s="3">
        <f>'Stage 1 Inputs'!AV12</f>
        <v>0</v>
      </c>
      <c r="V12" s="3">
        <f>'Stage 1 Inputs'!AS12</f>
        <v>0</v>
      </c>
      <c r="W12" s="3" t="str">
        <f>'Stage 1 Inputs'!AX12</f>
        <v>Historical official/source data</v>
      </c>
      <c r="X12" s="3" t="str">
        <f>'Stage 1 Inputs'!AY12</f>
        <v>No special note</v>
      </c>
    </row>
    <row r="13" spans="1:24" ht="19.95" customHeight="1" x14ac:dyDescent="0.3">
      <c r="A13" s="3" t="str">
        <f>'Stage 1 Inputs'!A13</f>
        <v>2004Q4</v>
      </c>
      <c r="B13" s="3" t="str">
        <f>'Stage 1 Inputs'!B13</f>
        <v>Dec 2004</v>
      </c>
      <c r="C13" s="3">
        <f>'Stage 1 Inputs'!G13</f>
        <v>38871000000</v>
      </c>
      <c r="D13" s="3">
        <f>'Stage 1 Inputs'!E13</f>
        <v>879</v>
      </c>
      <c r="E13" s="3">
        <f>'Stage 1 Inputs'!F13</f>
        <v>1.775881683731513</v>
      </c>
      <c r="F13" s="3">
        <f>'Stage 1 Inputs'!J13</f>
        <v>69030296928.327637</v>
      </c>
      <c r="G13" s="3">
        <f>'Stage 1 Inputs'!L13</f>
        <v>24.957811331091449</v>
      </c>
      <c r="H13" s="3">
        <f>'Stage 1 Inputs'!Q13</f>
        <v>80.199999977801681</v>
      </c>
      <c r="I13" s="3">
        <f>'Stage 1 Inputs'!D13</f>
        <v>1.7299741602067182</v>
      </c>
      <c r="J13" s="3">
        <f>'Stage 1 Inputs'!R13</f>
        <v>138.74392761017629</v>
      </c>
      <c r="K13" s="3">
        <f>'Stage 1 Inputs'!S13</f>
        <v>4.932629986697127</v>
      </c>
      <c r="L13" s="3">
        <f>'Stage 1 Inputs'!AA13</f>
        <v>0</v>
      </c>
      <c r="M13" s="3">
        <f>'Stage 1 Inputs'!AB13</f>
        <v>0</v>
      </c>
      <c r="N13" s="3">
        <f>'Stage 1 Inputs'!AC13</f>
        <v>0</v>
      </c>
      <c r="O13" s="3">
        <f>'Stage 1 Inputs'!AD13</f>
        <v>0</v>
      </c>
      <c r="P13" s="3">
        <f>'Stage 1 Inputs'!AE13</f>
        <v>0</v>
      </c>
      <c r="Q13" s="3">
        <f>'Stage 1 Inputs'!AF13</f>
        <v>0</v>
      </c>
      <c r="R13" s="3">
        <f>'Stage 1 Inputs'!AG13</f>
        <v>0</v>
      </c>
      <c r="S13" s="3">
        <f>'Stage 1 Inputs'!AT13</f>
        <v>0</v>
      </c>
      <c r="T13" s="3">
        <f>'Stage 1 Inputs'!AU13</f>
        <v>0</v>
      </c>
      <c r="U13" s="3">
        <f>'Stage 1 Inputs'!AV13</f>
        <v>1</v>
      </c>
      <c r="V13" s="3">
        <f>'Stage 1 Inputs'!AS13</f>
        <v>0</v>
      </c>
      <c r="W13" s="3" t="str">
        <f>'Stage 1 Inputs'!AX13</f>
        <v>Historical official/source data</v>
      </c>
      <c r="X13" s="3" t="str">
        <f>'Stage 1 Inputs'!AY13</f>
        <v>No special note</v>
      </c>
    </row>
    <row r="14" spans="1:24" ht="19.95" customHeight="1" x14ac:dyDescent="0.3">
      <c r="A14" s="3" t="str">
        <f>'Stage 1 Inputs'!A14</f>
        <v>2005Q1</v>
      </c>
      <c r="B14" s="3" t="str">
        <f>'Stage 1 Inputs'!B14</f>
        <v>Mar 2005</v>
      </c>
      <c r="C14" s="3">
        <f>'Stage 1 Inputs'!G14</f>
        <v>39022000000</v>
      </c>
      <c r="D14" s="3">
        <f>'Stage 1 Inputs'!E14</f>
        <v>880</v>
      </c>
      <c r="E14" s="3">
        <f>'Stage 1 Inputs'!F14</f>
        <v>1.7738636363636364</v>
      </c>
      <c r="F14" s="3">
        <f>'Stage 1 Inputs'!J14</f>
        <v>69219706818.181824</v>
      </c>
      <c r="G14" s="3">
        <f>'Stage 1 Inputs'!L14</f>
        <v>24.9605514396373</v>
      </c>
      <c r="H14" s="3">
        <f>'Stage 1 Inputs'!Q14</f>
        <v>78.999999977668665</v>
      </c>
      <c r="I14" s="3">
        <f>'Stage 1 Inputs'!D14</f>
        <v>1.7210796915167095</v>
      </c>
      <c r="J14" s="3">
        <f>'Stage 1 Inputs'!R14</f>
        <v>135.96529559138605</v>
      </c>
      <c r="K14" s="3">
        <f>'Stage 1 Inputs'!S14</f>
        <v>4.9123996736971272</v>
      </c>
      <c r="L14" s="3">
        <f>'Stage 1 Inputs'!AA14</f>
        <v>0</v>
      </c>
      <c r="M14" s="3">
        <f>'Stage 1 Inputs'!AB14</f>
        <v>0</v>
      </c>
      <c r="N14" s="3">
        <f>'Stage 1 Inputs'!AC14</f>
        <v>0</v>
      </c>
      <c r="O14" s="3">
        <f>'Stage 1 Inputs'!AD14</f>
        <v>0</v>
      </c>
      <c r="P14" s="3">
        <f>'Stage 1 Inputs'!AE14</f>
        <v>0</v>
      </c>
      <c r="Q14" s="3">
        <f>'Stage 1 Inputs'!AF14</f>
        <v>0</v>
      </c>
      <c r="R14" s="3">
        <f>'Stage 1 Inputs'!AG14</f>
        <v>0</v>
      </c>
      <c r="S14" s="3">
        <f>'Stage 1 Inputs'!AT14</f>
        <v>0</v>
      </c>
      <c r="T14" s="3">
        <f>'Stage 1 Inputs'!AU14</f>
        <v>0</v>
      </c>
      <c r="U14" s="3">
        <f>'Stage 1 Inputs'!AV14</f>
        <v>0</v>
      </c>
      <c r="V14" s="3">
        <f>'Stage 1 Inputs'!AS14</f>
        <v>0</v>
      </c>
      <c r="W14" s="3" t="str">
        <f>'Stage 1 Inputs'!AX14</f>
        <v>Historical official/source data</v>
      </c>
      <c r="X14" s="3" t="str">
        <f>'Stage 1 Inputs'!AY14</f>
        <v>No special note</v>
      </c>
    </row>
    <row r="15" spans="1:24" ht="19.95" customHeight="1" x14ac:dyDescent="0.3">
      <c r="A15" s="3" t="str">
        <f>'Stage 1 Inputs'!A15</f>
        <v>2005Q2</v>
      </c>
      <c r="B15" s="3" t="str">
        <f>'Stage 1 Inputs'!B15</f>
        <v>Jun 2005</v>
      </c>
      <c r="C15" s="3">
        <f>'Stage 1 Inputs'!G15</f>
        <v>40272000000</v>
      </c>
      <c r="D15" s="3">
        <f>'Stage 1 Inputs'!E15</f>
        <v>886</v>
      </c>
      <c r="E15" s="3">
        <f>'Stage 1 Inputs'!F15</f>
        <v>1.7618510158013545</v>
      </c>
      <c r="F15" s="3">
        <f>'Stage 1 Inputs'!J15</f>
        <v>70953264108.352142</v>
      </c>
      <c r="G15" s="3">
        <f>'Stage 1 Inputs'!L15</f>
        <v>24.985287245249722</v>
      </c>
      <c r="H15" s="3">
        <f>'Stage 1 Inputs'!Q15</f>
        <v>86.199999972994831</v>
      </c>
      <c r="I15" s="3">
        <f>'Stage 1 Inputs'!D15</f>
        <v>1.7079081632653061</v>
      </c>
      <c r="J15" s="3">
        <f>'Stage 1 Inputs'!R15</f>
        <v>147.22168362734703</v>
      </c>
      <c r="K15" s="3">
        <f>'Stage 1 Inputs'!S15</f>
        <v>4.9919395026971269</v>
      </c>
      <c r="L15" s="3">
        <f>'Stage 1 Inputs'!AA15</f>
        <v>0</v>
      </c>
      <c r="M15" s="3">
        <f>'Stage 1 Inputs'!AB15</f>
        <v>0</v>
      </c>
      <c r="N15" s="3">
        <f>'Stage 1 Inputs'!AC15</f>
        <v>0</v>
      </c>
      <c r="O15" s="3">
        <f>'Stage 1 Inputs'!AD15</f>
        <v>0</v>
      </c>
      <c r="P15" s="3">
        <f>'Stage 1 Inputs'!AE15</f>
        <v>0</v>
      </c>
      <c r="Q15" s="3">
        <f>'Stage 1 Inputs'!AF15</f>
        <v>0</v>
      </c>
      <c r="R15" s="3">
        <f>'Stage 1 Inputs'!AG15</f>
        <v>0</v>
      </c>
      <c r="S15" s="3">
        <f>'Stage 1 Inputs'!AT15</f>
        <v>1</v>
      </c>
      <c r="T15" s="3">
        <f>'Stage 1 Inputs'!AU15</f>
        <v>0</v>
      </c>
      <c r="U15" s="3">
        <f>'Stage 1 Inputs'!AV15</f>
        <v>0</v>
      </c>
      <c r="V15" s="3">
        <f>'Stage 1 Inputs'!AS15</f>
        <v>0</v>
      </c>
      <c r="W15" s="3" t="str">
        <f>'Stage 1 Inputs'!AX15</f>
        <v>Historical official/source data</v>
      </c>
      <c r="X15" s="3" t="str">
        <f>'Stage 1 Inputs'!AY15</f>
        <v>No special note</v>
      </c>
    </row>
    <row r="16" spans="1:24" ht="19.95" customHeight="1" x14ac:dyDescent="0.3">
      <c r="A16" s="3" t="str">
        <f>'Stage 1 Inputs'!A16</f>
        <v>2005Q3</v>
      </c>
      <c r="B16" s="3" t="str">
        <f>'Stage 1 Inputs'!B16</f>
        <v>Sep 2005</v>
      </c>
      <c r="C16" s="3">
        <f>'Stage 1 Inputs'!G16</f>
        <v>40823000000</v>
      </c>
      <c r="D16" s="3">
        <f>'Stage 1 Inputs'!E16</f>
        <v>896</v>
      </c>
      <c r="E16" s="3">
        <f>'Stage 1 Inputs'!F16</f>
        <v>1.7421875</v>
      </c>
      <c r="F16" s="3">
        <f>'Stage 1 Inputs'!J16</f>
        <v>71121320312.5</v>
      </c>
      <c r="G16" s="3">
        <f>'Stage 1 Inputs'!L16</f>
        <v>24.987652992553699</v>
      </c>
      <c r="H16" s="3">
        <f>'Stage 1 Inputs'!Q16</f>
        <v>97.499999964607653</v>
      </c>
      <c r="I16" s="3">
        <f>'Stage 1 Inputs'!D16</f>
        <v>1.6885245901639345</v>
      </c>
      <c r="J16" s="3">
        <f>'Stage 1 Inputs'!R16</f>
        <v>164.63114748122277</v>
      </c>
      <c r="K16" s="3">
        <f>'Stage 1 Inputs'!S16</f>
        <v>5.1037075016971274</v>
      </c>
      <c r="L16" s="3">
        <f>'Stage 1 Inputs'!AA16</f>
        <v>0</v>
      </c>
      <c r="M16" s="3">
        <f>'Stage 1 Inputs'!AB16</f>
        <v>0</v>
      </c>
      <c r="N16" s="3">
        <f>'Stage 1 Inputs'!AC16</f>
        <v>0</v>
      </c>
      <c r="O16" s="3">
        <f>'Stage 1 Inputs'!AD16</f>
        <v>0</v>
      </c>
      <c r="P16" s="3">
        <f>'Stage 1 Inputs'!AE16</f>
        <v>0</v>
      </c>
      <c r="Q16" s="3">
        <f>'Stage 1 Inputs'!AF16</f>
        <v>0</v>
      </c>
      <c r="R16" s="3">
        <f>'Stage 1 Inputs'!AG16</f>
        <v>0</v>
      </c>
      <c r="S16" s="3">
        <f>'Stage 1 Inputs'!AT16</f>
        <v>0</v>
      </c>
      <c r="T16" s="3">
        <f>'Stage 1 Inputs'!AU16</f>
        <v>1</v>
      </c>
      <c r="U16" s="3">
        <f>'Stage 1 Inputs'!AV16</f>
        <v>0</v>
      </c>
      <c r="V16" s="3">
        <f>'Stage 1 Inputs'!AS16</f>
        <v>0</v>
      </c>
      <c r="W16" s="3" t="str">
        <f>'Stage 1 Inputs'!AX16</f>
        <v>Historical official/source data</v>
      </c>
      <c r="X16" s="3" t="str">
        <f>'Stage 1 Inputs'!AY16</f>
        <v>No special note</v>
      </c>
    </row>
    <row r="17" spans="1:24" ht="19.95" customHeight="1" x14ac:dyDescent="0.3">
      <c r="A17" s="3" t="str">
        <f>'Stage 1 Inputs'!A17</f>
        <v>2005Q4</v>
      </c>
      <c r="B17" s="3" t="str">
        <f>'Stage 1 Inputs'!B17</f>
        <v>Dec 2005</v>
      </c>
      <c r="C17" s="3">
        <f>'Stage 1 Inputs'!G17</f>
        <v>40680000000</v>
      </c>
      <c r="D17" s="3">
        <f>'Stage 1 Inputs'!E17</f>
        <v>893</v>
      </c>
      <c r="E17" s="3">
        <f>'Stage 1 Inputs'!F17</f>
        <v>1.7480403135498321</v>
      </c>
      <c r="F17" s="3">
        <f>'Stage 1 Inputs'!J17</f>
        <v>71110279955.207169</v>
      </c>
      <c r="G17" s="3">
        <f>'Stage 1 Inputs'!L17</f>
        <v>24.987497747765705</v>
      </c>
      <c r="H17" s="3">
        <f>'Stage 1 Inputs'!Q17</f>
        <v>98.000000009962449</v>
      </c>
      <c r="I17" s="3">
        <f>'Stage 1 Inputs'!D17</f>
        <v>1.6758448060075093</v>
      </c>
      <c r="J17" s="3">
        <f>'Stage 1 Inputs'!R17</f>
        <v>164.23279100543144</v>
      </c>
      <c r="K17" s="3">
        <f>'Stage 1 Inputs'!S17</f>
        <v>5.1012848786971272</v>
      </c>
      <c r="L17" s="3">
        <f>'Stage 1 Inputs'!AA17</f>
        <v>0</v>
      </c>
      <c r="M17" s="3">
        <f>'Stage 1 Inputs'!AB17</f>
        <v>0</v>
      </c>
      <c r="N17" s="3">
        <f>'Stage 1 Inputs'!AC17</f>
        <v>0</v>
      </c>
      <c r="O17" s="3">
        <f>'Stage 1 Inputs'!AD17</f>
        <v>0</v>
      </c>
      <c r="P17" s="3">
        <f>'Stage 1 Inputs'!AE17</f>
        <v>0</v>
      </c>
      <c r="Q17" s="3">
        <f>'Stage 1 Inputs'!AF17</f>
        <v>0</v>
      </c>
      <c r="R17" s="3">
        <f>'Stage 1 Inputs'!AG17</f>
        <v>0</v>
      </c>
      <c r="S17" s="3">
        <f>'Stage 1 Inputs'!AT17</f>
        <v>0</v>
      </c>
      <c r="T17" s="3">
        <f>'Stage 1 Inputs'!AU17</f>
        <v>0</v>
      </c>
      <c r="U17" s="3">
        <f>'Stage 1 Inputs'!AV17</f>
        <v>1</v>
      </c>
      <c r="V17" s="3">
        <f>'Stage 1 Inputs'!AS17</f>
        <v>0</v>
      </c>
      <c r="W17" s="3" t="str">
        <f>'Stage 1 Inputs'!AX17</f>
        <v>Historical official/source data</v>
      </c>
      <c r="X17" s="3" t="str">
        <f>'Stage 1 Inputs'!AY17</f>
        <v>No special note</v>
      </c>
    </row>
    <row r="18" spans="1:24" ht="19.95" customHeight="1" x14ac:dyDescent="0.3">
      <c r="A18" s="3" t="str">
        <f>'Stage 1 Inputs'!A18</f>
        <v>2006Q1</v>
      </c>
      <c r="B18" s="3" t="str">
        <f>'Stage 1 Inputs'!B18</f>
        <v>Mar 2006</v>
      </c>
      <c r="C18" s="3">
        <f>'Stage 1 Inputs'!G18</f>
        <v>41175000000</v>
      </c>
      <c r="D18" s="3">
        <f>'Stage 1 Inputs'!E18</f>
        <v>896</v>
      </c>
      <c r="E18" s="3">
        <f>'Stage 1 Inputs'!F18</f>
        <v>1.7421875</v>
      </c>
      <c r="F18" s="3">
        <f>'Stage 1 Inputs'!J18</f>
        <v>71734570312.5</v>
      </c>
      <c r="G18" s="3">
        <f>'Stage 1 Inputs'!L18</f>
        <v>24.996238620550617</v>
      </c>
      <c r="H18" s="3">
        <f>'Stage 1 Inputs'!Q18</f>
        <v>105.99999998310878</v>
      </c>
      <c r="I18" s="3">
        <f>'Stage 1 Inputs'!D18</f>
        <v>1.6674968866749689</v>
      </c>
      <c r="J18" s="3">
        <f>'Stage 1 Inputs'!R18</f>
        <v>176.75466995938064</v>
      </c>
      <c r="K18" s="3">
        <f>'Stage 1 Inputs'!S18</f>
        <v>5.1747627256971267</v>
      </c>
      <c r="L18" s="3">
        <f>'Stage 1 Inputs'!AA18</f>
        <v>0</v>
      </c>
      <c r="M18" s="3">
        <f>'Stage 1 Inputs'!AB18</f>
        <v>0</v>
      </c>
      <c r="N18" s="3">
        <f>'Stage 1 Inputs'!AC18</f>
        <v>0</v>
      </c>
      <c r="O18" s="3">
        <f>'Stage 1 Inputs'!AD18</f>
        <v>0</v>
      </c>
      <c r="P18" s="3">
        <f>'Stage 1 Inputs'!AE18</f>
        <v>0</v>
      </c>
      <c r="Q18" s="3">
        <f>'Stage 1 Inputs'!AF18</f>
        <v>0</v>
      </c>
      <c r="R18" s="3">
        <f>'Stage 1 Inputs'!AG18</f>
        <v>0</v>
      </c>
      <c r="S18" s="3">
        <f>'Stage 1 Inputs'!AT18</f>
        <v>0</v>
      </c>
      <c r="T18" s="3">
        <f>'Stage 1 Inputs'!AU18</f>
        <v>0</v>
      </c>
      <c r="U18" s="3">
        <f>'Stage 1 Inputs'!AV18</f>
        <v>0</v>
      </c>
      <c r="V18" s="3">
        <f>'Stage 1 Inputs'!AS18</f>
        <v>0</v>
      </c>
      <c r="W18" s="3" t="str">
        <f>'Stage 1 Inputs'!AX18</f>
        <v>Historical official/source data</v>
      </c>
      <c r="X18" s="3" t="str">
        <f>'Stage 1 Inputs'!AY18</f>
        <v>No special note</v>
      </c>
    </row>
    <row r="19" spans="1:24" ht="19.95" customHeight="1" x14ac:dyDescent="0.3">
      <c r="A19" s="3" t="str">
        <f>'Stage 1 Inputs'!A19</f>
        <v>2006Q2</v>
      </c>
      <c r="B19" s="3" t="str">
        <f>'Stage 1 Inputs'!B19</f>
        <v>Jun 2006</v>
      </c>
      <c r="C19" s="3">
        <f>'Stage 1 Inputs'!G19</f>
        <v>41785000000</v>
      </c>
      <c r="D19" s="3">
        <f>'Stage 1 Inputs'!E19</f>
        <v>913</v>
      </c>
      <c r="E19" s="3">
        <f>'Stage 1 Inputs'!F19</f>
        <v>1.7097480832420591</v>
      </c>
      <c r="F19" s="3">
        <f>'Stage 1 Inputs'!J19</f>
        <v>71441823658.26944</v>
      </c>
      <c r="G19" s="3">
        <f>'Stage 1 Inputs'!L19</f>
        <v>24.992149300320275</v>
      </c>
      <c r="H19" s="3">
        <f>'Stage 1 Inputs'!Q19</f>
        <v>125.50000004997699</v>
      </c>
      <c r="I19" s="3">
        <f>'Stage 1 Inputs'!D19</f>
        <v>1.6409313725490196</v>
      </c>
      <c r="J19" s="3">
        <f>'Stage 1 Inputs'!R19</f>
        <v>205.93688733691076</v>
      </c>
      <c r="K19" s="3">
        <f>'Stage 1 Inputs'!S19</f>
        <v>5.327569749697127</v>
      </c>
      <c r="L19" s="3">
        <f>'Stage 1 Inputs'!AA19</f>
        <v>0</v>
      </c>
      <c r="M19" s="3">
        <f>'Stage 1 Inputs'!AB19</f>
        <v>0</v>
      </c>
      <c r="N19" s="3">
        <f>'Stage 1 Inputs'!AC19</f>
        <v>0</v>
      </c>
      <c r="O19" s="3">
        <f>'Stage 1 Inputs'!AD19</f>
        <v>0</v>
      </c>
      <c r="P19" s="3">
        <f>'Stage 1 Inputs'!AE19</f>
        <v>0</v>
      </c>
      <c r="Q19" s="3">
        <f>'Stage 1 Inputs'!AF19</f>
        <v>0</v>
      </c>
      <c r="R19" s="3">
        <f>'Stage 1 Inputs'!AG19</f>
        <v>0</v>
      </c>
      <c r="S19" s="3">
        <f>'Stage 1 Inputs'!AT19</f>
        <v>1</v>
      </c>
      <c r="T19" s="3">
        <f>'Stage 1 Inputs'!AU19</f>
        <v>0</v>
      </c>
      <c r="U19" s="3">
        <f>'Stage 1 Inputs'!AV19</f>
        <v>0</v>
      </c>
      <c r="V19" s="3">
        <f>'Stage 1 Inputs'!AS19</f>
        <v>0</v>
      </c>
      <c r="W19" s="3" t="str">
        <f>'Stage 1 Inputs'!AX19</f>
        <v>Historical official/source data</v>
      </c>
      <c r="X19" s="3" t="str">
        <f>'Stage 1 Inputs'!AY19</f>
        <v>No special note</v>
      </c>
    </row>
    <row r="20" spans="1:24" ht="19.95" customHeight="1" x14ac:dyDescent="0.3">
      <c r="A20" s="3" t="str">
        <f>'Stage 1 Inputs'!A20</f>
        <v>2006Q3</v>
      </c>
      <c r="B20" s="3" t="str">
        <f>'Stage 1 Inputs'!B20</f>
        <v>Sep 2006</v>
      </c>
      <c r="C20" s="3">
        <f>'Stage 1 Inputs'!G20</f>
        <v>42293000000</v>
      </c>
      <c r="D20" s="3">
        <f>'Stage 1 Inputs'!E20</f>
        <v>908</v>
      </c>
      <c r="E20" s="3">
        <f>'Stage 1 Inputs'!F20</f>
        <v>1.7191629955947136</v>
      </c>
      <c r="F20" s="3">
        <f>'Stage 1 Inputs'!J20</f>
        <v>72708560572.687225</v>
      </c>
      <c r="G20" s="3">
        <f>'Stage 1 Inputs'!L20</f>
        <v>25.009724966585118</v>
      </c>
      <c r="H20" s="3">
        <f>'Stage 1 Inputs'!Q20</f>
        <v>121.89999999648404</v>
      </c>
      <c r="I20" s="3">
        <f>'Stage 1 Inputs'!D20</f>
        <v>1.6309378806333739</v>
      </c>
      <c r="J20" s="3">
        <f>'Stage 1 Inputs'!R20</f>
        <v>198.81132764347396</v>
      </c>
      <c r="K20" s="3">
        <f>'Stage 1 Inputs'!S20</f>
        <v>5.2923562726971269</v>
      </c>
      <c r="L20" s="3">
        <f>'Stage 1 Inputs'!AA20</f>
        <v>0</v>
      </c>
      <c r="M20" s="3">
        <f>'Stage 1 Inputs'!AB20</f>
        <v>0</v>
      </c>
      <c r="N20" s="3">
        <f>'Stage 1 Inputs'!AC20</f>
        <v>0</v>
      </c>
      <c r="O20" s="3">
        <f>'Stage 1 Inputs'!AD20</f>
        <v>0</v>
      </c>
      <c r="P20" s="3">
        <f>'Stage 1 Inputs'!AE20</f>
        <v>0</v>
      </c>
      <c r="Q20" s="3">
        <f>'Stage 1 Inputs'!AF20</f>
        <v>0</v>
      </c>
      <c r="R20" s="3">
        <f>'Stage 1 Inputs'!AG20</f>
        <v>0</v>
      </c>
      <c r="S20" s="3">
        <f>'Stage 1 Inputs'!AT20</f>
        <v>0</v>
      </c>
      <c r="T20" s="3">
        <f>'Stage 1 Inputs'!AU20</f>
        <v>1</v>
      </c>
      <c r="U20" s="3">
        <f>'Stage 1 Inputs'!AV20</f>
        <v>0</v>
      </c>
      <c r="V20" s="3">
        <f>'Stage 1 Inputs'!AS20</f>
        <v>0</v>
      </c>
      <c r="W20" s="3" t="str">
        <f>'Stage 1 Inputs'!AX20</f>
        <v>Historical official/source data</v>
      </c>
      <c r="X20" s="3" t="str">
        <f>'Stage 1 Inputs'!AY20</f>
        <v>No special note</v>
      </c>
    </row>
    <row r="21" spans="1:24" ht="19.95" customHeight="1" x14ac:dyDescent="0.3">
      <c r="A21" s="3" t="str">
        <f>'Stage 1 Inputs'!A21</f>
        <v>2006Q4</v>
      </c>
      <c r="B21" s="3" t="str">
        <f>'Stage 1 Inputs'!B21</f>
        <v>Dec 2006</v>
      </c>
      <c r="C21" s="3">
        <f>'Stage 1 Inputs'!G21</f>
        <v>43649000000</v>
      </c>
      <c r="D21" s="3">
        <f>'Stage 1 Inputs'!E21</f>
        <v>930</v>
      </c>
      <c r="E21" s="3">
        <f>'Stage 1 Inputs'!F21</f>
        <v>1.678494623655914</v>
      </c>
      <c r="F21" s="3">
        <f>'Stage 1 Inputs'!J21</f>
        <v>73264611827.956985</v>
      </c>
      <c r="G21" s="3">
        <f>'Stage 1 Inputs'!L21</f>
        <v>25.017343543830279</v>
      </c>
      <c r="H21" s="3">
        <f>'Stage 1 Inputs'!Q21</f>
        <v>99.799999994694204</v>
      </c>
      <c r="I21" s="3">
        <f>'Stage 1 Inputs'!D21</f>
        <v>1.6329268292682926</v>
      </c>
      <c r="J21" s="3">
        <f>'Stage 1 Inputs'!R21</f>
        <v>162.96609755231162</v>
      </c>
      <c r="K21" s="3">
        <f>'Stage 1 Inputs'!S21</f>
        <v>5.0935421886971275</v>
      </c>
      <c r="L21" s="3">
        <f>'Stage 1 Inputs'!AA21</f>
        <v>0</v>
      </c>
      <c r="M21" s="3">
        <f>'Stage 1 Inputs'!AB21</f>
        <v>0</v>
      </c>
      <c r="N21" s="3">
        <f>'Stage 1 Inputs'!AC21</f>
        <v>0</v>
      </c>
      <c r="O21" s="3">
        <f>'Stage 1 Inputs'!AD21</f>
        <v>0</v>
      </c>
      <c r="P21" s="3">
        <f>'Stage 1 Inputs'!AE21</f>
        <v>0</v>
      </c>
      <c r="Q21" s="3">
        <f>'Stage 1 Inputs'!AF21</f>
        <v>0</v>
      </c>
      <c r="R21" s="3">
        <f>'Stage 1 Inputs'!AG21</f>
        <v>0</v>
      </c>
      <c r="S21" s="3">
        <f>'Stage 1 Inputs'!AT21</f>
        <v>0</v>
      </c>
      <c r="T21" s="3">
        <f>'Stage 1 Inputs'!AU21</f>
        <v>0</v>
      </c>
      <c r="U21" s="3">
        <f>'Stage 1 Inputs'!AV21</f>
        <v>1</v>
      </c>
      <c r="V21" s="3">
        <f>'Stage 1 Inputs'!AS21</f>
        <v>0</v>
      </c>
      <c r="W21" s="3" t="str">
        <f>'Stage 1 Inputs'!AX21</f>
        <v>Historical official/source data</v>
      </c>
      <c r="X21" s="3" t="str">
        <f>'Stage 1 Inputs'!AY21</f>
        <v>No special note</v>
      </c>
    </row>
    <row r="22" spans="1:24" ht="19.95" customHeight="1" x14ac:dyDescent="0.3">
      <c r="A22" s="3" t="str">
        <f>'Stage 1 Inputs'!A22</f>
        <v>2007Q1</v>
      </c>
      <c r="B22" s="3" t="str">
        <f>'Stage 1 Inputs'!B22</f>
        <v>Mar 2007</v>
      </c>
      <c r="C22" s="3">
        <f>'Stage 1 Inputs'!G22</f>
        <v>44172000000</v>
      </c>
      <c r="D22" s="3">
        <f>'Stage 1 Inputs'!E22</f>
        <v>934</v>
      </c>
      <c r="E22" s="3">
        <f>'Stage 1 Inputs'!F22</f>
        <v>1.671306209850107</v>
      </c>
      <c r="F22" s="3">
        <f>'Stage 1 Inputs'!J22</f>
        <v>73824937901.498932</v>
      </c>
      <c r="G22" s="3">
        <f>'Stage 1 Inputs'!L22</f>
        <v>25.024962423417886</v>
      </c>
      <c r="H22" s="3">
        <f>'Stage 1 Inputs'!Q22</f>
        <v>94.799999967241888</v>
      </c>
      <c r="I22" s="3">
        <f>'Stage 1 Inputs'!D22</f>
        <v>1.625</v>
      </c>
      <c r="J22" s="3">
        <f>'Stage 1 Inputs'!R22</f>
        <v>154.04999994676808</v>
      </c>
      <c r="K22" s="3">
        <f>'Stage 1 Inputs'!S22</f>
        <v>5.0372772246971271</v>
      </c>
      <c r="L22" s="3">
        <f>'Stage 1 Inputs'!AA22</f>
        <v>0</v>
      </c>
      <c r="M22" s="3">
        <f>'Stage 1 Inputs'!AB22</f>
        <v>0</v>
      </c>
      <c r="N22" s="3">
        <f>'Stage 1 Inputs'!AC22</f>
        <v>0</v>
      </c>
      <c r="O22" s="3">
        <f>'Stage 1 Inputs'!AD22</f>
        <v>0</v>
      </c>
      <c r="P22" s="3">
        <f>'Stage 1 Inputs'!AE22</f>
        <v>0</v>
      </c>
      <c r="Q22" s="3">
        <f>'Stage 1 Inputs'!AF22</f>
        <v>0</v>
      </c>
      <c r="R22" s="3">
        <f>'Stage 1 Inputs'!AG22</f>
        <v>0</v>
      </c>
      <c r="S22" s="3">
        <f>'Stage 1 Inputs'!AT22</f>
        <v>0</v>
      </c>
      <c r="T22" s="3">
        <f>'Stage 1 Inputs'!AU22</f>
        <v>0</v>
      </c>
      <c r="U22" s="3">
        <f>'Stage 1 Inputs'!AV22</f>
        <v>0</v>
      </c>
      <c r="V22" s="3">
        <f>'Stage 1 Inputs'!AS22</f>
        <v>0</v>
      </c>
      <c r="W22" s="3" t="str">
        <f>'Stage 1 Inputs'!AX22</f>
        <v>Historical official/source data</v>
      </c>
      <c r="X22" s="3" t="str">
        <f>'Stage 1 Inputs'!AY22</f>
        <v>No special note</v>
      </c>
    </row>
    <row r="23" spans="1:24" ht="19.95" customHeight="1" x14ac:dyDescent="0.3">
      <c r="A23" s="3" t="str">
        <f>'Stage 1 Inputs'!A23</f>
        <v>2007Q2</v>
      </c>
      <c r="B23" s="3" t="str">
        <f>'Stage 1 Inputs'!B23</f>
        <v>Jun 2007</v>
      </c>
      <c r="C23" s="3">
        <f>'Stage 1 Inputs'!G23</f>
        <v>45244000000</v>
      </c>
      <c r="D23" s="3">
        <f>'Stage 1 Inputs'!E23</f>
        <v>944</v>
      </c>
      <c r="E23" s="3">
        <f>'Stage 1 Inputs'!F23</f>
        <v>1.6536016949152543</v>
      </c>
      <c r="F23" s="3">
        <f>'Stage 1 Inputs'!J23</f>
        <v>74815555084.745773</v>
      </c>
      <c r="G23" s="3">
        <f>'Stage 1 Inputs'!L23</f>
        <v>25.038291655985478</v>
      </c>
      <c r="H23" s="3">
        <f>'Stage 1 Inputs'!Q23</f>
        <v>99.299999977760436</v>
      </c>
      <c r="I23" s="3">
        <f>'Stage 1 Inputs'!D23</f>
        <v>1.609375</v>
      </c>
      <c r="J23" s="3">
        <f>'Stage 1 Inputs'!R23</f>
        <v>159.81093746420819</v>
      </c>
      <c r="K23" s="3">
        <f>'Stage 1 Inputs'!S23</f>
        <v>5.0739914756971274</v>
      </c>
      <c r="L23" s="3">
        <f>'Stage 1 Inputs'!AA23</f>
        <v>0</v>
      </c>
      <c r="M23" s="3">
        <f>'Stage 1 Inputs'!AB23</f>
        <v>0</v>
      </c>
      <c r="N23" s="3">
        <f>'Stage 1 Inputs'!AC23</f>
        <v>0</v>
      </c>
      <c r="O23" s="3">
        <f>'Stage 1 Inputs'!AD23</f>
        <v>0</v>
      </c>
      <c r="P23" s="3">
        <f>'Stage 1 Inputs'!AE23</f>
        <v>0</v>
      </c>
      <c r="Q23" s="3">
        <f>'Stage 1 Inputs'!AF23</f>
        <v>0</v>
      </c>
      <c r="R23" s="3">
        <f>'Stage 1 Inputs'!AG23</f>
        <v>0</v>
      </c>
      <c r="S23" s="3">
        <f>'Stage 1 Inputs'!AT23</f>
        <v>1</v>
      </c>
      <c r="T23" s="3">
        <f>'Stage 1 Inputs'!AU23</f>
        <v>0</v>
      </c>
      <c r="U23" s="3">
        <f>'Stage 1 Inputs'!AV23</f>
        <v>0</v>
      </c>
      <c r="V23" s="3">
        <f>'Stage 1 Inputs'!AS23</f>
        <v>0</v>
      </c>
      <c r="W23" s="3" t="str">
        <f>'Stage 1 Inputs'!AX23</f>
        <v>Historical official/source data</v>
      </c>
      <c r="X23" s="3" t="str">
        <f>'Stage 1 Inputs'!AY23</f>
        <v>No special note</v>
      </c>
    </row>
    <row r="24" spans="1:24" ht="19.95" customHeight="1" x14ac:dyDescent="0.3">
      <c r="A24" s="3" t="str">
        <f>'Stage 1 Inputs'!A24</f>
        <v>2007Q3</v>
      </c>
      <c r="B24" s="3" t="str">
        <f>'Stage 1 Inputs'!B24</f>
        <v>Sep 2007</v>
      </c>
      <c r="C24" s="3">
        <f>'Stage 1 Inputs'!G24</f>
        <v>46562000000</v>
      </c>
      <c r="D24" s="3">
        <f>'Stage 1 Inputs'!E24</f>
        <v>962</v>
      </c>
      <c r="E24" s="3">
        <f>'Stage 1 Inputs'!F24</f>
        <v>1.6226611226611227</v>
      </c>
      <c r="F24" s="3">
        <f>'Stage 1 Inputs'!J24</f>
        <v>75554347193.347198</v>
      </c>
      <c r="G24" s="3">
        <f>'Stage 1 Inputs'!L24</f>
        <v>25.048118064623225</v>
      </c>
      <c r="H24" s="3">
        <f>'Stage 1 Inputs'!Q24</f>
        <v>105.79999996471119</v>
      </c>
      <c r="I24" s="3">
        <f>'Stage 1 Inputs'!D24</f>
        <v>1.6016746411483254</v>
      </c>
      <c r="J24" s="3">
        <f>'Stage 1 Inputs'!R24</f>
        <v>169.45717697697162</v>
      </c>
      <c r="K24" s="3">
        <f>'Stage 1 Inputs'!S24</f>
        <v>5.1326002516971272</v>
      </c>
      <c r="L24" s="3">
        <f>'Stage 1 Inputs'!AA24</f>
        <v>0</v>
      </c>
      <c r="M24" s="3">
        <f>'Stage 1 Inputs'!AB24</f>
        <v>0</v>
      </c>
      <c r="N24" s="3">
        <f>'Stage 1 Inputs'!AC24</f>
        <v>0</v>
      </c>
      <c r="O24" s="3">
        <f>'Stage 1 Inputs'!AD24</f>
        <v>0</v>
      </c>
      <c r="P24" s="3">
        <f>'Stage 1 Inputs'!AE24</f>
        <v>0</v>
      </c>
      <c r="Q24" s="3">
        <f>'Stage 1 Inputs'!AF24</f>
        <v>0</v>
      </c>
      <c r="R24" s="3">
        <f>'Stage 1 Inputs'!AG24</f>
        <v>0</v>
      </c>
      <c r="S24" s="3">
        <f>'Stage 1 Inputs'!AT24</f>
        <v>0</v>
      </c>
      <c r="T24" s="3">
        <f>'Stage 1 Inputs'!AU24</f>
        <v>1</v>
      </c>
      <c r="U24" s="3">
        <f>'Stage 1 Inputs'!AV24</f>
        <v>0</v>
      </c>
      <c r="V24" s="3">
        <f>'Stage 1 Inputs'!AS24</f>
        <v>0</v>
      </c>
      <c r="W24" s="3" t="str">
        <f>'Stage 1 Inputs'!AX24</f>
        <v>Historical official/source data</v>
      </c>
      <c r="X24" s="3" t="str">
        <f>'Stage 1 Inputs'!AY24</f>
        <v>No special note</v>
      </c>
    </row>
    <row r="25" spans="1:24" ht="19.95" customHeight="1" x14ac:dyDescent="0.3">
      <c r="A25" s="3" t="str">
        <f>'Stage 1 Inputs'!A25</f>
        <v>2007Q4</v>
      </c>
      <c r="B25" s="3" t="str">
        <f>'Stage 1 Inputs'!B25</f>
        <v>Dec 2007</v>
      </c>
      <c r="C25" s="3">
        <f>'Stage 1 Inputs'!G25</f>
        <v>47184000000</v>
      </c>
      <c r="D25" s="3">
        <f>'Stage 1 Inputs'!E25</f>
        <v>970</v>
      </c>
      <c r="E25" s="3">
        <f>'Stage 1 Inputs'!F25</f>
        <v>1.609278350515464</v>
      </c>
      <c r="F25" s="3">
        <f>'Stage 1 Inputs'!J25</f>
        <v>75932189690.721649</v>
      </c>
      <c r="G25" s="3">
        <f>'Stage 1 Inputs'!L25</f>
        <v>25.053106538037333</v>
      </c>
      <c r="H25" s="3">
        <f>'Stage 1 Inputs'!Q25</f>
        <v>118.50000000438355</v>
      </c>
      <c r="I25" s="3">
        <f>'Stage 1 Inputs'!D25</f>
        <v>1.58274231678487</v>
      </c>
      <c r="J25" s="3">
        <f>'Stage 1 Inputs'!R25</f>
        <v>187.55496454594513</v>
      </c>
      <c r="K25" s="3">
        <f>'Stage 1 Inputs'!S25</f>
        <v>5.2340719466971271</v>
      </c>
      <c r="L25" s="3">
        <f>'Stage 1 Inputs'!AA25</f>
        <v>0</v>
      </c>
      <c r="M25" s="3">
        <f>'Stage 1 Inputs'!AB25</f>
        <v>0</v>
      </c>
      <c r="N25" s="3">
        <f>'Stage 1 Inputs'!AC25</f>
        <v>0</v>
      </c>
      <c r="O25" s="3">
        <f>'Stage 1 Inputs'!AD25</f>
        <v>0</v>
      </c>
      <c r="P25" s="3">
        <f>'Stage 1 Inputs'!AE25</f>
        <v>0</v>
      </c>
      <c r="Q25" s="3">
        <f>'Stage 1 Inputs'!AF25</f>
        <v>0</v>
      </c>
      <c r="R25" s="3">
        <f>'Stage 1 Inputs'!AG25</f>
        <v>0</v>
      </c>
      <c r="S25" s="3">
        <f>'Stage 1 Inputs'!AT25</f>
        <v>0</v>
      </c>
      <c r="T25" s="3">
        <f>'Stage 1 Inputs'!AU25</f>
        <v>0</v>
      </c>
      <c r="U25" s="3">
        <f>'Stage 1 Inputs'!AV25</f>
        <v>1</v>
      </c>
      <c r="V25" s="3">
        <f>'Stage 1 Inputs'!AS25</f>
        <v>0</v>
      </c>
      <c r="W25" s="3" t="str">
        <f>'Stage 1 Inputs'!AX25</f>
        <v>Historical official/source data</v>
      </c>
      <c r="X25" s="3" t="str">
        <f>'Stage 1 Inputs'!AY25</f>
        <v>No special note</v>
      </c>
    </row>
    <row r="26" spans="1:24" ht="19.95" customHeight="1" x14ac:dyDescent="0.3">
      <c r="A26" s="3" t="str">
        <f>'Stage 1 Inputs'!A26</f>
        <v>2008Q1</v>
      </c>
      <c r="B26" s="3" t="str">
        <f>'Stage 1 Inputs'!B26</f>
        <v>Mar 2008</v>
      </c>
      <c r="C26" s="3">
        <f>'Stage 1 Inputs'!G26</f>
        <v>47595000000</v>
      </c>
      <c r="D26" s="3">
        <f>'Stage 1 Inputs'!E26</f>
        <v>983</v>
      </c>
      <c r="E26" s="3">
        <f>'Stage 1 Inputs'!F26</f>
        <v>1.5879959308240081</v>
      </c>
      <c r="F26" s="3">
        <f>'Stage 1 Inputs'!J26</f>
        <v>75580666327.568665</v>
      </c>
      <c r="G26" s="3">
        <f>'Stage 1 Inputs'!L26</f>
        <v>25.048466351017947</v>
      </c>
      <c r="H26" s="3">
        <f>'Stage 1 Inputs'!Q26</f>
        <v>125.50000003306066</v>
      </c>
      <c r="I26" s="3">
        <f>'Stage 1 Inputs'!D26</f>
        <v>1.5715962441314555</v>
      </c>
      <c r="J26" s="3">
        <f>'Stage 1 Inputs'!R26</f>
        <v>197.23532869045567</v>
      </c>
      <c r="K26" s="3">
        <f>'Stage 1 Inputs'!S26</f>
        <v>5.2843975776971268</v>
      </c>
      <c r="L26" s="3">
        <f>'Stage 1 Inputs'!AA26</f>
        <v>0</v>
      </c>
      <c r="M26" s="3">
        <f>'Stage 1 Inputs'!AB26</f>
        <v>0</v>
      </c>
      <c r="N26" s="3">
        <f>'Stage 1 Inputs'!AC26</f>
        <v>0</v>
      </c>
      <c r="O26" s="3">
        <f>'Stage 1 Inputs'!AD26</f>
        <v>0</v>
      </c>
      <c r="P26" s="3">
        <f>'Stage 1 Inputs'!AE26</f>
        <v>0</v>
      </c>
      <c r="Q26" s="3">
        <f>'Stage 1 Inputs'!AF26</f>
        <v>0</v>
      </c>
      <c r="R26" s="3">
        <f>'Stage 1 Inputs'!AG26</f>
        <v>0</v>
      </c>
      <c r="S26" s="3">
        <f>'Stage 1 Inputs'!AT26</f>
        <v>0</v>
      </c>
      <c r="T26" s="3">
        <f>'Stage 1 Inputs'!AU26</f>
        <v>0</v>
      </c>
      <c r="U26" s="3">
        <f>'Stage 1 Inputs'!AV26</f>
        <v>0</v>
      </c>
      <c r="V26" s="3">
        <f>'Stage 1 Inputs'!AS26</f>
        <v>0</v>
      </c>
      <c r="W26" s="3" t="str">
        <f>'Stage 1 Inputs'!AX26</f>
        <v>Historical official/source data</v>
      </c>
      <c r="X26" s="3" t="str">
        <f>'Stage 1 Inputs'!AY26</f>
        <v>No special note</v>
      </c>
    </row>
    <row r="27" spans="1:24" ht="19.95" customHeight="1" x14ac:dyDescent="0.3">
      <c r="A27" s="3" t="str">
        <f>'Stage 1 Inputs'!A27</f>
        <v>2008Q2</v>
      </c>
      <c r="B27" s="3" t="str">
        <f>'Stage 1 Inputs'!B27</f>
        <v>Jun 2008</v>
      </c>
      <c r="C27" s="3">
        <f>'Stage 1 Inputs'!G27</f>
        <v>47561000000</v>
      </c>
      <c r="D27" s="3">
        <f>'Stage 1 Inputs'!E27</f>
        <v>996</v>
      </c>
      <c r="E27" s="3">
        <f>'Stage 1 Inputs'!F27</f>
        <v>1.5672690763052208</v>
      </c>
      <c r="F27" s="3">
        <f>'Stage 1 Inputs'!J27</f>
        <v>74540884538.152603</v>
      </c>
      <c r="G27" s="3">
        <f>'Stage 1 Inputs'!L27</f>
        <v>25.034613597551111</v>
      </c>
      <c r="H27" s="3">
        <f>'Stage 1 Inputs'!Q27</f>
        <v>161.80000005071508</v>
      </c>
      <c r="I27" s="3">
        <f>'Stage 1 Inputs'!D27</f>
        <v>1.5479768786127168</v>
      </c>
      <c r="J27" s="3">
        <f>'Stage 1 Inputs'!R27</f>
        <v>250.46265903804337</v>
      </c>
      <c r="K27" s="3">
        <f>'Stage 1 Inputs'!S27</f>
        <v>5.5233098436971275</v>
      </c>
      <c r="L27" s="3">
        <f>'Stage 1 Inputs'!AA27</f>
        <v>0</v>
      </c>
      <c r="M27" s="3">
        <f>'Stage 1 Inputs'!AB27</f>
        <v>0</v>
      </c>
      <c r="N27" s="3">
        <f>'Stage 1 Inputs'!AC27</f>
        <v>0</v>
      </c>
      <c r="O27" s="3">
        <f>'Stage 1 Inputs'!AD27</f>
        <v>0</v>
      </c>
      <c r="P27" s="3">
        <f>'Stage 1 Inputs'!AE27</f>
        <v>0</v>
      </c>
      <c r="Q27" s="3">
        <f>'Stage 1 Inputs'!AF27</f>
        <v>0</v>
      </c>
      <c r="R27" s="3">
        <f>'Stage 1 Inputs'!AG27</f>
        <v>0</v>
      </c>
      <c r="S27" s="3">
        <f>'Stage 1 Inputs'!AT27</f>
        <v>1</v>
      </c>
      <c r="T27" s="3">
        <f>'Stage 1 Inputs'!AU27</f>
        <v>0</v>
      </c>
      <c r="U27" s="3">
        <f>'Stage 1 Inputs'!AV27</f>
        <v>0</v>
      </c>
      <c r="V27" s="3">
        <f>'Stage 1 Inputs'!AS27</f>
        <v>0</v>
      </c>
      <c r="W27" s="3" t="str">
        <f>'Stage 1 Inputs'!AX27</f>
        <v>Historical official/source data</v>
      </c>
      <c r="X27" s="3" t="str">
        <f>'Stage 1 Inputs'!AY27</f>
        <v>No special note</v>
      </c>
    </row>
    <row r="28" spans="1:24" ht="19.95" customHeight="1" x14ac:dyDescent="0.3">
      <c r="A28" s="3" t="str">
        <f>'Stage 1 Inputs'!A28</f>
        <v>2008Q3</v>
      </c>
      <c r="B28" s="3" t="str">
        <f>'Stage 1 Inputs'!B28</f>
        <v>Sep 2008</v>
      </c>
      <c r="C28" s="3">
        <f>'Stage 1 Inputs'!G28</f>
        <v>47007000000</v>
      </c>
      <c r="D28" s="3">
        <f>'Stage 1 Inputs'!E28</f>
        <v>983</v>
      </c>
      <c r="E28" s="3">
        <f>'Stage 1 Inputs'!F28</f>
        <v>1.5879959308240081</v>
      </c>
      <c r="F28" s="3">
        <f>'Stage 1 Inputs'!J28</f>
        <v>74646924720.244156</v>
      </c>
      <c r="G28" s="3">
        <f>'Stage 1 Inputs'!L28</f>
        <v>25.036035164105058</v>
      </c>
      <c r="H28" s="3">
        <f>'Stage 1 Inputs'!Q28</f>
        <v>170.19999991520589</v>
      </c>
      <c r="I28" s="3">
        <f>'Stage 1 Inputs'!D28</f>
        <v>1.5250569476082005</v>
      </c>
      <c r="J28" s="3">
        <f>'Stage 1 Inputs'!R28</f>
        <v>259.56469235359987</v>
      </c>
      <c r="K28" s="3">
        <f>'Stage 1 Inputs'!S28</f>
        <v>5.5590059676971268</v>
      </c>
      <c r="L28" s="3">
        <f>'Stage 1 Inputs'!AA28</f>
        <v>0</v>
      </c>
      <c r="M28" s="3">
        <f>'Stage 1 Inputs'!AB28</f>
        <v>0</v>
      </c>
      <c r="N28" s="3">
        <f>'Stage 1 Inputs'!AC28</f>
        <v>0</v>
      </c>
      <c r="O28" s="3">
        <f>'Stage 1 Inputs'!AD28</f>
        <v>0</v>
      </c>
      <c r="P28" s="3">
        <f>'Stage 1 Inputs'!AE28</f>
        <v>0</v>
      </c>
      <c r="Q28" s="3">
        <f>'Stage 1 Inputs'!AF28</f>
        <v>0</v>
      </c>
      <c r="R28" s="3">
        <f>'Stage 1 Inputs'!AG28</f>
        <v>0</v>
      </c>
      <c r="S28" s="3">
        <f>'Stage 1 Inputs'!AT28</f>
        <v>0</v>
      </c>
      <c r="T28" s="3">
        <f>'Stage 1 Inputs'!AU28</f>
        <v>1</v>
      </c>
      <c r="U28" s="3">
        <f>'Stage 1 Inputs'!AV28</f>
        <v>0</v>
      </c>
      <c r="V28" s="3">
        <f>'Stage 1 Inputs'!AS28</f>
        <v>0</v>
      </c>
      <c r="W28" s="3" t="str">
        <f>'Stage 1 Inputs'!AX28</f>
        <v>Historical official/source data</v>
      </c>
      <c r="X28" s="3" t="str">
        <f>'Stage 1 Inputs'!AY28</f>
        <v>No special note</v>
      </c>
    </row>
    <row r="29" spans="1:24" ht="19.95" customHeight="1" x14ac:dyDescent="0.3">
      <c r="A29" s="3" t="str">
        <f>'Stage 1 Inputs'!A29</f>
        <v>2008Q4</v>
      </c>
      <c r="B29" s="3" t="str">
        <f>'Stage 1 Inputs'!B29</f>
        <v>Dec 2008</v>
      </c>
      <c r="C29" s="3">
        <f>'Stage 1 Inputs'!G29</f>
        <v>47621000000</v>
      </c>
      <c r="D29" s="3">
        <f>'Stage 1 Inputs'!E29</f>
        <v>996</v>
      </c>
      <c r="E29" s="3">
        <f>'Stage 1 Inputs'!F29</f>
        <v>1.5672690763052208</v>
      </c>
      <c r="F29" s="3">
        <f>'Stage 1 Inputs'!J29</f>
        <v>74634920682.730927</v>
      </c>
      <c r="G29" s="3">
        <f>'Stage 1 Inputs'!L29</f>
        <v>25.035874340295482</v>
      </c>
      <c r="H29" s="3">
        <f>'Stage 1 Inputs'!Q29</f>
        <v>124.40000004433757</v>
      </c>
      <c r="I29" s="3">
        <f>'Stage 1 Inputs'!D29</f>
        <v>1.5320366132723111</v>
      </c>
      <c r="J29" s="3">
        <f>'Stage 1 Inputs'!R29</f>
        <v>190.58535475900229</v>
      </c>
      <c r="K29" s="3">
        <f>'Stage 1 Inputs'!S29</f>
        <v>5.2501001506971274</v>
      </c>
      <c r="L29" s="3">
        <f>'Stage 1 Inputs'!AA29</f>
        <v>0</v>
      </c>
      <c r="M29" s="3">
        <f>'Stage 1 Inputs'!AB29</f>
        <v>0</v>
      </c>
      <c r="N29" s="3">
        <f>'Stage 1 Inputs'!AC29</f>
        <v>0</v>
      </c>
      <c r="O29" s="3">
        <f>'Stage 1 Inputs'!AD29</f>
        <v>0</v>
      </c>
      <c r="P29" s="3">
        <f>'Stage 1 Inputs'!AE29</f>
        <v>0</v>
      </c>
      <c r="Q29" s="3">
        <f>'Stage 1 Inputs'!AF29</f>
        <v>0</v>
      </c>
      <c r="R29" s="3">
        <f>'Stage 1 Inputs'!AG29</f>
        <v>0</v>
      </c>
      <c r="S29" s="3">
        <f>'Stage 1 Inputs'!AT29</f>
        <v>0</v>
      </c>
      <c r="T29" s="3">
        <f>'Stage 1 Inputs'!AU29</f>
        <v>0</v>
      </c>
      <c r="U29" s="3">
        <f>'Stage 1 Inputs'!AV29</f>
        <v>1</v>
      </c>
      <c r="V29" s="3">
        <f>'Stage 1 Inputs'!AS29</f>
        <v>0</v>
      </c>
      <c r="W29" s="3" t="str">
        <f>'Stage 1 Inputs'!AX29</f>
        <v>Historical official/source data</v>
      </c>
      <c r="X29" s="3" t="str">
        <f>'Stage 1 Inputs'!AY29</f>
        <v>No special note</v>
      </c>
    </row>
    <row r="30" spans="1:24" ht="19.95" customHeight="1" x14ac:dyDescent="0.3">
      <c r="A30" s="3" t="str">
        <f>'Stage 1 Inputs'!A30</f>
        <v>2009Q1</v>
      </c>
      <c r="B30" s="3" t="str">
        <f>'Stage 1 Inputs'!B30</f>
        <v>Mar 2009</v>
      </c>
      <c r="C30" s="3">
        <f>'Stage 1 Inputs'!G30</f>
        <v>47589000000</v>
      </c>
      <c r="D30" s="3">
        <f>'Stage 1 Inputs'!E30</f>
        <v>1003</v>
      </c>
      <c r="E30" s="3">
        <f>'Stage 1 Inputs'!F30</f>
        <v>1.5563310069790628</v>
      </c>
      <c r="F30" s="3">
        <f>'Stage 1 Inputs'!J30</f>
        <v>74064236291.126617</v>
      </c>
      <c r="G30" s="3">
        <f>'Stage 1 Inputs'!L30</f>
        <v>25.028198611594334</v>
      </c>
      <c r="H30" s="3">
        <f>'Stage 1 Inputs'!Q30</f>
        <v>100.49999998784025</v>
      </c>
      <c r="I30" s="3">
        <f>'Stage 1 Inputs'!D30</f>
        <v>1.5267958950969214</v>
      </c>
      <c r="J30" s="3">
        <f>'Stage 1 Inputs'!R30</f>
        <v>153.44298743867515</v>
      </c>
      <c r="K30" s="3">
        <f>'Stage 1 Inputs'!S30</f>
        <v>5.0333290806971274</v>
      </c>
      <c r="L30" s="3">
        <f>'Stage 1 Inputs'!AA30</f>
        <v>0</v>
      </c>
      <c r="M30" s="3">
        <f>'Stage 1 Inputs'!AB30</f>
        <v>0</v>
      </c>
      <c r="N30" s="3">
        <f>'Stage 1 Inputs'!AC30</f>
        <v>0</v>
      </c>
      <c r="O30" s="3">
        <f>'Stage 1 Inputs'!AD30</f>
        <v>0</v>
      </c>
      <c r="P30" s="3">
        <f>'Stage 1 Inputs'!AE30</f>
        <v>0</v>
      </c>
      <c r="Q30" s="3">
        <f>'Stage 1 Inputs'!AF30</f>
        <v>0</v>
      </c>
      <c r="R30" s="3">
        <f>'Stage 1 Inputs'!AG30</f>
        <v>0</v>
      </c>
      <c r="S30" s="3">
        <f>'Stage 1 Inputs'!AT30</f>
        <v>0</v>
      </c>
      <c r="T30" s="3">
        <f>'Stage 1 Inputs'!AU30</f>
        <v>0</v>
      </c>
      <c r="U30" s="3">
        <f>'Stage 1 Inputs'!AV30</f>
        <v>0</v>
      </c>
      <c r="V30" s="3">
        <f>'Stage 1 Inputs'!AS30</f>
        <v>0</v>
      </c>
      <c r="W30" s="3" t="str">
        <f>'Stage 1 Inputs'!AX30</f>
        <v>Historical official/source data</v>
      </c>
      <c r="X30" s="3" t="str">
        <f>'Stage 1 Inputs'!AY30</f>
        <v>No special note</v>
      </c>
    </row>
    <row r="31" spans="1:24" ht="19.95" customHeight="1" x14ac:dyDescent="0.3">
      <c r="A31" s="3" t="str">
        <f>'Stage 1 Inputs'!A31</f>
        <v>2009Q2</v>
      </c>
      <c r="B31" s="3" t="str">
        <f>'Stage 1 Inputs'!B31</f>
        <v>Jun 2009</v>
      </c>
      <c r="C31" s="3">
        <f>'Stage 1 Inputs'!G31</f>
        <v>47604000000</v>
      </c>
      <c r="D31" s="3">
        <f>'Stage 1 Inputs'!E31</f>
        <v>991</v>
      </c>
      <c r="E31" s="3">
        <f>'Stage 1 Inputs'!F31</f>
        <v>1.5751765893037335</v>
      </c>
      <c r="F31" s="3">
        <f>'Stage 1 Inputs'!J31</f>
        <v>74984706357.214935</v>
      </c>
      <c r="G31" s="3">
        <f>'Stage 1 Inputs'!L31</f>
        <v>25.040550014452048</v>
      </c>
      <c r="H31" s="3">
        <f>'Stage 1 Inputs'!Q31</f>
        <v>99.799999969593713</v>
      </c>
      <c r="I31" s="3">
        <f>'Stage 1 Inputs'!D31</f>
        <v>1.5181405895691611</v>
      </c>
      <c r="J31" s="3">
        <f>'Stage 1 Inputs'!R31</f>
        <v>151.51043079284125</v>
      </c>
      <c r="K31" s="3">
        <f>'Stage 1 Inputs'!S31</f>
        <v>5.0206544726971272</v>
      </c>
      <c r="L31" s="3">
        <f>'Stage 1 Inputs'!AA31</f>
        <v>0</v>
      </c>
      <c r="M31" s="3">
        <f>'Stage 1 Inputs'!AB31</f>
        <v>0</v>
      </c>
      <c r="N31" s="3">
        <f>'Stage 1 Inputs'!AC31</f>
        <v>0</v>
      </c>
      <c r="O31" s="3">
        <f>'Stage 1 Inputs'!AD31</f>
        <v>0</v>
      </c>
      <c r="P31" s="3">
        <f>'Stage 1 Inputs'!AE31</f>
        <v>0</v>
      </c>
      <c r="Q31" s="3">
        <f>'Stage 1 Inputs'!AF31</f>
        <v>0</v>
      </c>
      <c r="R31" s="3">
        <f>'Stage 1 Inputs'!AG31</f>
        <v>0</v>
      </c>
      <c r="S31" s="3">
        <f>'Stage 1 Inputs'!AT31</f>
        <v>1</v>
      </c>
      <c r="T31" s="3">
        <f>'Stage 1 Inputs'!AU31</f>
        <v>0</v>
      </c>
      <c r="U31" s="3">
        <f>'Stage 1 Inputs'!AV31</f>
        <v>0</v>
      </c>
      <c r="V31" s="3">
        <f>'Stage 1 Inputs'!AS31</f>
        <v>0</v>
      </c>
      <c r="W31" s="3" t="str">
        <f>'Stage 1 Inputs'!AX31</f>
        <v>Historical official/source data</v>
      </c>
      <c r="X31" s="3" t="str">
        <f>'Stage 1 Inputs'!AY31</f>
        <v>No special note</v>
      </c>
    </row>
    <row r="32" spans="1:24" ht="19.95" customHeight="1" x14ac:dyDescent="0.3">
      <c r="A32" s="3" t="str">
        <f>'Stage 1 Inputs'!A32</f>
        <v>2009Q3</v>
      </c>
      <c r="B32" s="3" t="str">
        <f>'Stage 1 Inputs'!B32</f>
        <v>Sep 2009</v>
      </c>
      <c r="C32" s="3">
        <f>'Stage 1 Inputs'!G32</f>
        <v>48369000000</v>
      </c>
      <c r="D32" s="3">
        <f>'Stage 1 Inputs'!E32</f>
        <v>1001</v>
      </c>
      <c r="E32" s="3">
        <f>'Stage 1 Inputs'!F32</f>
        <v>1.5594405594405594</v>
      </c>
      <c r="F32" s="3">
        <f>'Stage 1 Inputs'!J32</f>
        <v>75428580419.580414</v>
      </c>
      <c r="G32" s="3">
        <f>'Stage 1 Inputs'!L32</f>
        <v>25.046452090796336</v>
      </c>
      <c r="H32" s="3">
        <f>'Stage 1 Inputs'!Q32</f>
        <v>104.10000002722535</v>
      </c>
      <c r="I32" s="3">
        <f>'Stage 1 Inputs'!D32</f>
        <v>1.4994400895856663</v>
      </c>
      <c r="J32" s="3">
        <f>'Stage 1 Inputs'!R32</f>
        <v>156.09171336669064</v>
      </c>
      <c r="K32" s="3">
        <f>'Stage 1 Inputs'!S32</f>
        <v>5.0504437406971272</v>
      </c>
      <c r="L32" s="3">
        <f>'Stage 1 Inputs'!AA32</f>
        <v>79968183.290000007</v>
      </c>
      <c r="M32" s="3">
        <f>'Stage 1 Inputs'!AB32</f>
        <v>2072307936</v>
      </c>
      <c r="N32" s="3">
        <f>'Stage 1 Inputs'!AC32</f>
        <v>38.58894805197523</v>
      </c>
      <c r="O32" s="3">
        <f>'Stage 1 Inputs'!AD32</f>
        <v>57.861815724070361</v>
      </c>
      <c r="P32" s="3">
        <f>'Stage 1 Inputs'!AE32</f>
        <v>4.0580576803910766</v>
      </c>
      <c r="Q32" s="3">
        <f>'Stage 1 Inputs'!AF32</f>
        <v>0</v>
      </c>
      <c r="R32" s="3">
        <f>'Stage 1 Inputs'!AG32</f>
        <v>0</v>
      </c>
      <c r="S32" s="3">
        <f>'Stage 1 Inputs'!AT32</f>
        <v>0</v>
      </c>
      <c r="T32" s="3">
        <f>'Stage 1 Inputs'!AU32</f>
        <v>1</v>
      </c>
      <c r="U32" s="3">
        <f>'Stage 1 Inputs'!AV32</f>
        <v>0</v>
      </c>
      <c r="V32" s="3">
        <f>'Stage 1 Inputs'!AS32</f>
        <v>0</v>
      </c>
      <c r="W32" s="3" t="str">
        <f>'Stage 1 Inputs'!AX32</f>
        <v>Historical official/source data</v>
      </c>
      <c r="X32" s="3" t="str">
        <f>'Stage 1 Inputs'!AY32</f>
        <v>No special note</v>
      </c>
    </row>
    <row r="33" spans="1:24" ht="19.95" customHeight="1" x14ac:dyDescent="0.3">
      <c r="A33" s="3" t="str">
        <f>'Stage 1 Inputs'!A33</f>
        <v>2009Q4</v>
      </c>
      <c r="B33" s="3" t="str">
        <f>'Stage 1 Inputs'!B33</f>
        <v>Dec 2009</v>
      </c>
      <c r="C33" s="3">
        <f>'Stage 1 Inputs'!G33</f>
        <v>48783000000</v>
      </c>
      <c r="D33" s="3">
        <f>'Stage 1 Inputs'!E33</f>
        <v>998</v>
      </c>
      <c r="E33" s="3">
        <f>'Stage 1 Inputs'!F33</f>
        <v>1.5641282565130261</v>
      </c>
      <c r="F33" s="3">
        <f>'Stage 1 Inputs'!J33</f>
        <v>76302868737.47496</v>
      </c>
      <c r="G33" s="3">
        <f>'Stage 1 Inputs'!L33</f>
        <v>25.057976372662075</v>
      </c>
      <c r="H33" s="3">
        <f>'Stage 1 Inputs'!Q33</f>
        <v>103.49999998763589</v>
      </c>
      <c r="I33" s="3">
        <f>'Stage 1 Inputs'!D33</f>
        <v>1.5011210762331839</v>
      </c>
      <c r="J33" s="3">
        <f>'Stage 1 Inputs'!R33</f>
        <v>155.36603137157451</v>
      </c>
      <c r="K33" s="3">
        <f>'Stage 1 Inputs'!S33</f>
        <v>5.0457838256971268</v>
      </c>
      <c r="L33" s="3">
        <f>'Stage 1 Inputs'!AA33</f>
        <v>83019179.579999998</v>
      </c>
      <c r="M33" s="3">
        <f>'Stage 1 Inputs'!AB33</f>
        <v>1969025812</v>
      </c>
      <c r="N33" s="3">
        <f>'Stage 1 Inputs'!AC33</f>
        <v>42.162565403688063</v>
      </c>
      <c r="O33" s="3">
        <f>'Stage 1 Inputs'!AD33</f>
        <v>63.29111555553623</v>
      </c>
      <c r="P33" s="3">
        <f>'Stage 1 Inputs'!AE33</f>
        <v>4.147744964726618</v>
      </c>
      <c r="Q33" s="3">
        <f>'Stage 1 Inputs'!AF33</f>
        <v>57.861815724070361</v>
      </c>
      <c r="R33" s="3">
        <f>'Stage 1 Inputs'!AG33</f>
        <v>4.0580576803910766</v>
      </c>
      <c r="S33" s="3">
        <f>'Stage 1 Inputs'!AT33</f>
        <v>0</v>
      </c>
      <c r="T33" s="3">
        <f>'Stage 1 Inputs'!AU33</f>
        <v>0</v>
      </c>
      <c r="U33" s="3">
        <f>'Stage 1 Inputs'!AV33</f>
        <v>1</v>
      </c>
      <c r="V33" s="3">
        <f>'Stage 1 Inputs'!AS33</f>
        <v>0</v>
      </c>
      <c r="W33" s="3" t="str">
        <f>'Stage 1 Inputs'!AX33</f>
        <v>Historical official/source data</v>
      </c>
      <c r="X33" s="3" t="str">
        <f>'Stage 1 Inputs'!AY33</f>
        <v>No special note</v>
      </c>
    </row>
    <row r="34" spans="1:24" ht="19.95" customHeight="1" x14ac:dyDescent="0.3">
      <c r="A34" s="3" t="str">
        <f>'Stage 1 Inputs'!A34</f>
        <v>2010Q1</v>
      </c>
      <c r="B34" s="3" t="str">
        <f>'Stage 1 Inputs'!B34</f>
        <v>Mar 2010</v>
      </c>
      <c r="C34" s="3">
        <f>'Stage 1 Inputs'!G34</f>
        <v>49947000000</v>
      </c>
      <c r="D34" s="3">
        <f>'Stage 1 Inputs'!E34</f>
        <v>1010</v>
      </c>
      <c r="E34" s="3">
        <f>'Stage 1 Inputs'!F34</f>
        <v>1.5455445544554456</v>
      </c>
      <c r="F34" s="3">
        <f>'Stage 1 Inputs'!J34</f>
        <v>77195313861.386139</v>
      </c>
      <c r="G34" s="3">
        <f>'Stage 1 Inputs'!L34</f>
        <v>25.069604590857363</v>
      </c>
      <c r="H34" s="3">
        <f>'Stage 1 Inputs'!Q34</f>
        <v>110.60000002129885</v>
      </c>
      <c r="I34" s="3">
        <f>'Stage 1 Inputs'!D34</f>
        <v>1.4960893854748603</v>
      </c>
      <c r="J34" s="3">
        <f>'Stage 1 Inputs'!R34</f>
        <v>165.46748606538452</v>
      </c>
      <c r="K34" s="3">
        <f>'Stage 1 Inputs'!S34</f>
        <v>5.1087747166971269</v>
      </c>
      <c r="L34" s="3">
        <f>'Stage 1 Inputs'!AA34</f>
        <v>80685639.340000004</v>
      </c>
      <c r="M34" s="3">
        <f>'Stage 1 Inputs'!AB34</f>
        <v>1901190626</v>
      </c>
      <c r="N34" s="3">
        <f>'Stage 1 Inputs'!AC34</f>
        <v>42.439531437075374</v>
      </c>
      <c r="O34" s="3">
        <f>'Stage 1 Inputs'!AD34</f>
        <v>63.493332507535108</v>
      </c>
      <c r="P34" s="3">
        <f>'Stage 1 Inputs'!AE34</f>
        <v>4.1509349005044358</v>
      </c>
      <c r="Q34" s="3">
        <f>'Stage 1 Inputs'!AF34</f>
        <v>63.29111555553623</v>
      </c>
      <c r="R34" s="3">
        <f>'Stage 1 Inputs'!AG34</f>
        <v>4.147744964726618</v>
      </c>
      <c r="S34" s="3">
        <f>'Stage 1 Inputs'!AT34</f>
        <v>0</v>
      </c>
      <c r="T34" s="3">
        <f>'Stage 1 Inputs'!AU34</f>
        <v>0</v>
      </c>
      <c r="U34" s="3">
        <f>'Stage 1 Inputs'!AV34</f>
        <v>0</v>
      </c>
      <c r="V34" s="3">
        <f>'Stage 1 Inputs'!AS34</f>
        <v>0</v>
      </c>
      <c r="W34" s="3" t="str">
        <f>'Stage 1 Inputs'!AX34</f>
        <v>Historical official/source data</v>
      </c>
      <c r="X34" s="3" t="str">
        <f>'Stage 1 Inputs'!AY34</f>
        <v>No special note</v>
      </c>
    </row>
    <row r="35" spans="1:24" ht="19.95" customHeight="1" x14ac:dyDescent="0.3">
      <c r="A35" s="3" t="str">
        <f>'Stage 1 Inputs'!A35</f>
        <v>2010Q2</v>
      </c>
      <c r="B35" s="3" t="str">
        <f>'Stage 1 Inputs'!B35</f>
        <v>Jun 2010</v>
      </c>
      <c r="C35" s="3">
        <f>'Stage 1 Inputs'!G35</f>
        <v>50254000000</v>
      </c>
      <c r="D35" s="3">
        <f>'Stage 1 Inputs'!E35</f>
        <v>1010</v>
      </c>
      <c r="E35" s="3">
        <f>'Stage 1 Inputs'!F35</f>
        <v>1.5455445544554456</v>
      </c>
      <c r="F35" s="3">
        <f>'Stage 1 Inputs'!J35</f>
        <v>77669796039.603958</v>
      </c>
      <c r="G35" s="3">
        <f>'Stage 1 Inputs'!L35</f>
        <v>25.075732293387702</v>
      </c>
      <c r="H35" s="3">
        <f>'Stage 1 Inputs'!Q35</f>
        <v>116.69999996363336</v>
      </c>
      <c r="I35" s="3">
        <f>'Stage 1 Inputs'!D35</f>
        <v>1.4944196428571428</v>
      </c>
      <c r="J35" s="3">
        <f>'Stage 1 Inputs'!R35</f>
        <v>174.39877226708154</v>
      </c>
      <c r="K35" s="3">
        <f>'Stage 1 Inputs'!S35</f>
        <v>5.1613444716971273</v>
      </c>
      <c r="L35" s="3">
        <f>'Stage 1 Inputs'!AA35</f>
        <v>80044373.709999993</v>
      </c>
      <c r="M35" s="3">
        <f>'Stage 1 Inputs'!AB35</f>
        <v>1886730506</v>
      </c>
      <c r="N35" s="3">
        <f>'Stage 1 Inputs'!AC35</f>
        <v>42.424910953339932</v>
      </c>
      <c r="O35" s="3">
        <f>'Stage 1 Inputs'!AD35</f>
        <v>63.400620275136347</v>
      </c>
      <c r="P35" s="3">
        <f>'Stage 1 Inputs'!AE35</f>
        <v>4.1494736449148224</v>
      </c>
      <c r="Q35" s="3">
        <f>'Stage 1 Inputs'!AF35</f>
        <v>63.493332507535108</v>
      </c>
      <c r="R35" s="3">
        <f>'Stage 1 Inputs'!AG35</f>
        <v>4.1509349005044358</v>
      </c>
      <c r="S35" s="3">
        <f>'Stage 1 Inputs'!AT35</f>
        <v>1</v>
      </c>
      <c r="T35" s="3">
        <f>'Stage 1 Inputs'!AU35</f>
        <v>0</v>
      </c>
      <c r="U35" s="3">
        <f>'Stage 1 Inputs'!AV35</f>
        <v>0</v>
      </c>
      <c r="V35" s="3">
        <f>'Stage 1 Inputs'!AS35</f>
        <v>0</v>
      </c>
      <c r="W35" s="3" t="str">
        <f>'Stage 1 Inputs'!AX35</f>
        <v>Historical official/source data</v>
      </c>
      <c r="X35" s="3" t="str">
        <f>'Stage 1 Inputs'!AY35</f>
        <v>No special note</v>
      </c>
    </row>
    <row r="36" spans="1:24" ht="19.95" customHeight="1" x14ac:dyDescent="0.3">
      <c r="A36" s="3" t="str">
        <f>'Stage 1 Inputs'!A36</f>
        <v>2010Q3</v>
      </c>
      <c r="B36" s="3" t="str">
        <f>'Stage 1 Inputs'!B36</f>
        <v>Sep 2010</v>
      </c>
      <c r="C36" s="3">
        <f>'Stage 1 Inputs'!G36</f>
        <v>50570000000</v>
      </c>
      <c r="D36" s="3">
        <f>'Stage 1 Inputs'!E36</f>
        <v>1031</v>
      </c>
      <c r="E36" s="3">
        <f>'Stage 1 Inputs'!F36</f>
        <v>1.5140640155189138</v>
      </c>
      <c r="F36" s="3">
        <f>'Stage 1 Inputs'!J36</f>
        <v>76566217264.791473</v>
      </c>
      <c r="G36" s="3">
        <f>'Stage 1 Inputs'!L36</f>
        <v>25.061421788536776</v>
      </c>
      <c r="H36" s="3">
        <f>'Stage 1 Inputs'!Q36</f>
        <v>116.79999995968146</v>
      </c>
      <c r="I36" s="3">
        <f>'Stage 1 Inputs'!D36</f>
        <v>1.4779249448123621</v>
      </c>
      <c r="J36" s="3">
        <f>'Stage 1 Inputs'!R36</f>
        <v>172.62163349449611</v>
      </c>
      <c r="K36" s="3">
        <f>'Stage 1 Inputs'!S36</f>
        <v>5.1511021096971268</v>
      </c>
      <c r="L36" s="3">
        <f>'Stage 1 Inputs'!AA36</f>
        <v>85012947.010000005</v>
      </c>
      <c r="M36" s="3">
        <f>'Stage 1 Inputs'!AB36</f>
        <v>2004551887</v>
      </c>
      <c r="N36" s="3">
        <f>'Stage 1 Inputs'!AC36</f>
        <v>42.409950853020753</v>
      </c>
      <c r="O36" s="3">
        <f>'Stage 1 Inputs'!AD36</f>
        <v>62.67872427394569</v>
      </c>
      <c r="P36" s="3">
        <f>'Stage 1 Inputs'!AE36</f>
        <v>4.1380220642804666</v>
      </c>
      <c r="Q36" s="3">
        <f>'Stage 1 Inputs'!AF36</f>
        <v>63.400620275136347</v>
      </c>
      <c r="R36" s="3">
        <f>'Stage 1 Inputs'!AG36</f>
        <v>4.1494736449148224</v>
      </c>
      <c r="S36" s="3">
        <f>'Stage 1 Inputs'!AT36</f>
        <v>0</v>
      </c>
      <c r="T36" s="3">
        <f>'Stage 1 Inputs'!AU36</f>
        <v>1</v>
      </c>
      <c r="U36" s="3">
        <f>'Stage 1 Inputs'!AV36</f>
        <v>0</v>
      </c>
      <c r="V36" s="3">
        <f>'Stage 1 Inputs'!AS36</f>
        <v>0</v>
      </c>
      <c r="W36" s="3" t="str">
        <f>'Stage 1 Inputs'!AX36</f>
        <v>Historical official/source data</v>
      </c>
      <c r="X36" s="3" t="str">
        <f>'Stage 1 Inputs'!AY36</f>
        <v>No special note</v>
      </c>
    </row>
    <row r="37" spans="1:24" ht="19.95" customHeight="1" x14ac:dyDescent="0.3">
      <c r="A37" s="3" t="str">
        <f>'Stage 1 Inputs'!A37</f>
        <v>2010Q4</v>
      </c>
      <c r="B37" s="3" t="str">
        <f>'Stage 1 Inputs'!B37</f>
        <v>Dec 2010</v>
      </c>
      <c r="C37" s="3">
        <f>'Stage 1 Inputs'!G37</f>
        <v>51272000000</v>
      </c>
      <c r="D37" s="3">
        <f>'Stage 1 Inputs'!E37</f>
        <v>1058</v>
      </c>
      <c r="E37" s="3">
        <f>'Stage 1 Inputs'!F37</f>
        <v>1.4754253308128544</v>
      </c>
      <c r="F37" s="3">
        <f>'Stage 1 Inputs'!J37</f>
        <v>75648007561.436676</v>
      </c>
      <c r="G37" s="3">
        <f>'Stage 1 Inputs'!L37</f>
        <v>25.049356939245524</v>
      </c>
      <c r="H37" s="3">
        <f>'Stage 1 Inputs'!Q37</f>
        <v>124.69999998576165</v>
      </c>
      <c r="I37" s="3">
        <f>'Stage 1 Inputs'!D37</f>
        <v>1.4444444444444444</v>
      </c>
      <c r="J37" s="3">
        <f>'Stage 1 Inputs'!R37</f>
        <v>180.12222220165572</v>
      </c>
      <c r="K37" s="3">
        <f>'Stage 1 Inputs'!S37</f>
        <v>5.1936356326971271</v>
      </c>
      <c r="L37" s="3">
        <f>'Stage 1 Inputs'!AA37</f>
        <v>95161551.590000004</v>
      </c>
      <c r="M37" s="3">
        <f>'Stage 1 Inputs'!AB37</f>
        <v>2014256395</v>
      </c>
      <c r="N37" s="3">
        <f>'Stage 1 Inputs'!AC37</f>
        <v>47.244011152810565</v>
      </c>
      <c r="O37" s="3">
        <f>'Stage 1 Inputs'!AD37</f>
        <v>68.241349442948589</v>
      </c>
      <c r="P37" s="3">
        <f>'Stage 1 Inputs'!AE37</f>
        <v>4.2230506779431858</v>
      </c>
      <c r="Q37" s="3">
        <f>'Stage 1 Inputs'!AF37</f>
        <v>62.67872427394569</v>
      </c>
      <c r="R37" s="3">
        <f>'Stage 1 Inputs'!AG37</f>
        <v>4.1380220642804666</v>
      </c>
      <c r="S37" s="3">
        <f>'Stage 1 Inputs'!AT37</f>
        <v>0</v>
      </c>
      <c r="T37" s="3">
        <f>'Stage 1 Inputs'!AU37</f>
        <v>0</v>
      </c>
      <c r="U37" s="3">
        <f>'Stage 1 Inputs'!AV37</f>
        <v>1</v>
      </c>
      <c r="V37" s="3">
        <f>'Stage 1 Inputs'!AS37</f>
        <v>0</v>
      </c>
      <c r="W37" s="3" t="str">
        <f>'Stage 1 Inputs'!AX37</f>
        <v>Historical official/source data</v>
      </c>
      <c r="X37" s="3" t="str">
        <f>'Stage 1 Inputs'!AY37</f>
        <v>No special note</v>
      </c>
    </row>
    <row r="38" spans="1:24" ht="19.95" customHeight="1" x14ac:dyDescent="0.3">
      <c r="A38" s="3" t="str">
        <f>'Stage 1 Inputs'!A38</f>
        <v>2011Q1</v>
      </c>
      <c r="B38" s="3" t="str">
        <f>'Stage 1 Inputs'!B38</f>
        <v>Mar 2011</v>
      </c>
      <c r="C38" s="3">
        <f>'Stage 1 Inputs'!G38</f>
        <v>51700000000</v>
      </c>
      <c r="D38" s="3">
        <f>'Stage 1 Inputs'!E38</f>
        <v>1049</v>
      </c>
      <c r="E38" s="3">
        <f>'Stage 1 Inputs'!F38</f>
        <v>1.4880838894184938</v>
      </c>
      <c r="F38" s="3">
        <f>'Stage 1 Inputs'!J38</f>
        <v>76933937082.936127</v>
      </c>
      <c r="G38" s="3">
        <f>'Stage 1 Inputs'!L38</f>
        <v>25.06621293057993</v>
      </c>
      <c r="H38" s="3">
        <f>'Stage 1 Inputs'!Q38</f>
        <v>143.70000003012851</v>
      </c>
      <c r="I38" s="3">
        <f>'Stage 1 Inputs'!D38</f>
        <v>1.4320855614973262</v>
      </c>
      <c r="J38" s="3">
        <f>'Stage 1 Inputs'!R38</f>
        <v>205.79069523031239</v>
      </c>
      <c r="K38" s="3">
        <f>'Stage 1 Inputs'!S38</f>
        <v>5.3268596096971272</v>
      </c>
      <c r="L38" s="3">
        <f>'Stage 1 Inputs'!AA38</f>
        <v>89276806.569999993</v>
      </c>
      <c r="M38" s="3">
        <f>'Stage 1 Inputs'!AB38</f>
        <v>1879399653</v>
      </c>
      <c r="N38" s="3">
        <f>'Stage 1 Inputs'!AC38</f>
        <v>47.502832315357459</v>
      </c>
      <c r="O38" s="3">
        <f>'Stage 1 Inputs'!AD38</f>
        <v>68.028120289052026</v>
      </c>
      <c r="P38" s="3">
        <f>'Stage 1 Inputs'!AE38</f>
        <v>4.2199211533571566</v>
      </c>
      <c r="Q38" s="3">
        <f>'Stage 1 Inputs'!AF38</f>
        <v>68.241349442948589</v>
      </c>
      <c r="R38" s="3">
        <f>'Stage 1 Inputs'!AG38</f>
        <v>4.2230506779431858</v>
      </c>
      <c r="S38" s="3">
        <f>'Stage 1 Inputs'!AT38</f>
        <v>0</v>
      </c>
      <c r="T38" s="3">
        <f>'Stage 1 Inputs'!AU38</f>
        <v>0</v>
      </c>
      <c r="U38" s="3">
        <f>'Stage 1 Inputs'!AV38</f>
        <v>0</v>
      </c>
      <c r="V38" s="3">
        <f>'Stage 1 Inputs'!AS38</f>
        <v>0</v>
      </c>
      <c r="W38" s="3" t="str">
        <f>'Stage 1 Inputs'!AX38</f>
        <v>Historical official/source data</v>
      </c>
      <c r="X38" s="3" t="str">
        <f>'Stage 1 Inputs'!AY38</f>
        <v>No special note</v>
      </c>
    </row>
    <row r="39" spans="1:24" ht="19.95" customHeight="1" x14ac:dyDescent="0.3">
      <c r="A39" s="3" t="str">
        <f>'Stage 1 Inputs'!A39</f>
        <v>2011Q2</v>
      </c>
      <c r="B39" s="3" t="str">
        <f>'Stage 1 Inputs'!B39</f>
        <v>Jun 2011</v>
      </c>
      <c r="C39" s="3">
        <f>'Stage 1 Inputs'!G39</f>
        <v>52555000000</v>
      </c>
      <c r="D39" s="3">
        <f>'Stage 1 Inputs'!E39</f>
        <v>1057</v>
      </c>
      <c r="E39" s="3">
        <f>'Stage 1 Inputs'!F39</f>
        <v>1.4768211920529801</v>
      </c>
      <c r="F39" s="3">
        <f>'Stage 1 Inputs'!J39</f>
        <v>77614337748.344376</v>
      </c>
      <c r="G39" s="3">
        <f>'Stage 1 Inputs'!L39</f>
        <v>25.075018011866923</v>
      </c>
      <c r="H39" s="3">
        <f>'Stage 1 Inputs'!Q39</f>
        <v>155.29999999950519</v>
      </c>
      <c r="I39" s="3">
        <f>'Stage 1 Inputs'!D39</f>
        <v>1.4184322033898304</v>
      </c>
      <c r="J39" s="3">
        <f>'Stage 1 Inputs'!R39</f>
        <v>220.2825211857388</v>
      </c>
      <c r="K39" s="3">
        <f>'Stage 1 Inputs'!S39</f>
        <v>5.3949109096971268</v>
      </c>
      <c r="L39" s="3">
        <f>'Stage 1 Inputs'!AA39</f>
        <v>91109048.150000006</v>
      </c>
      <c r="M39" s="3">
        <f>'Stage 1 Inputs'!AB39</f>
        <v>1919830774</v>
      </c>
      <c r="N39" s="3">
        <f>'Stage 1 Inputs'!AC39</f>
        <v>47.456812018995173</v>
      </c>
      <c r="O39" s="3">
        <f>'Stage 1 Inputs'!AD39</f>
        <v>67.314270437960317</v>
      </c>
      <c r="P39" s="3">
        <f>'Stage 1 Inputs'!AE39</f>
        <v>4.2093722563417204</v>
      </c>
      <c r="Q39" s="3">
        <f>'Stage 1 Inputs'!AF39</f>
        <v>68.028120289052026</v>
      </c>
      <c r="R39" s="3">
        <f>'Stage 1 Inputs'!AG39</f>
        <v>4.2199211533571566</v>
      </c>
      <c r="S39" s="3">
        <f>'Stage 1 Inputs'!AT39</f>
        <v>1</v>
      </c>
      <c r="T39" s="3">
        <f>'Stage 1 Inputs'!AU39</f>
        <v>0</v>
      </c>
      <c r="U39" s="3">
        <f>'Stage 1 Inputs'!AV39</f>
        <v>0</v>
      </c>
      <c r="V39" s="3">
        <f>'Stage 1 Inputs'!AS39</f>
        <v>0</v>
      </c>
      <c r="W39" s="3" t="str">
        <f>'Stage 1 Inputs'!AX39</f>
        <v>Historical official/source data</v>
      </c>
      <c r="X39" s="3" t="str">
        <f>'Stage 1 Inputs'!AY39</f>
        <v>No special note</v>
      </c>
    </row>
    <row r="40" spans="1:24" ht="19.95" customHeight="1" x14ac:dyDescent="0.3">
      <c r="A40" s="3" t="str">
        <f>'Stage 1 Inputs'!A40</f>
        <v>2011Q3</v>
      </c>
      <c r="B40" s="3" t="str">
        <f>'Stage 1 Inputs'!B40</f>
        <v>Sep 2011</v>
      </c>
      <c r="C40" s="3">
        <f>'Stage 1 Inputs'!G40</f>
        <v>53351000000</v>
      </c>
      <c r="D40" s="3">
        <f>'Stage 1 Inputs'!E40</f>
        <v>1062</v>
      </c>
      <c r="E40" s="3">
        <f>'Stage 1 Inputs'!F40</f>
        <v>1.4698681732580037</v>
      </c>
      <c r="F40" s="3">
        <f>'Stage 1 Inputs'!J40</f>
        <v>78418936911.487747</v>
      </c>
      <c r="G40" s="3">
        <f>'Stage 1 Inputs'!L40</f>
        <v>25.085331277374507</v>
      </c>
      <c r="H40" s="3">
        <f>'Stage 1 Inputs'!Q40</f>
        <v>143.30000006116771</v>
      </c>
      <c r="I40" s="3">
        <f>'Stage 1 Inputs'!D40</f>
        <v>1.4124472573839661</v>
      </c>
      <c r="J40" s="3">
        <f>'Stage 1 Inputs'!R40</f>
        <v>202.40369206951851</v>
      </c>
      <c r="K40" s="3">
        <f>'Stage 1 Inputs'!S40</f>
        <v>5.3102641786971274</v>
      </c>
      <c r="L40" s="3">
        <f>'Stage 1 Inputs'!AA40</f>
        <v>92119748.579999998</v>
      </c>
      <c r="M40" s="3">
        <f>'Stage 1 Inputs'!AB40</f>
        <v>1940412167</v>
      </c>
      <c r="N40" s="3">
        <f>'Stage 1 Inputs'!AC40</f>
        <v>47.4743202226066</v>
      </c>
      <c r="O40" s="3">
        <f>'Stage 1 Inputs'!AD40</f>
        <v>67.054973394588856</v>
      </c>
      <c r="P40" s="3">
        <f>'Stage 1 Inputs'!AE40</f>
        <v>4.2055127813928426</v>
      </c>
      <c r="Q40" s="3">
        <f>'Stage 1 Inputs'!AF40</f>
        <v>67.314270437960317</v>
      </c>
      <c r="R40" s="3">
        <f>'Stage 1 Inputs'!AG40</f>
        <v>4.2093722563417204</v>
      </c>
      <c r="S40" s="3">
        <f>'Stage 1 Inputs'!AT40</f>
        <v>0</v>
      </c>
      <c r="T40" s="3">
        <f>'Stage 1 Inputs'!AU40</f>
        <v>1</v>
      </c>
      <c r="U40" s="3">
        <f>'Stage 1 Inputs'!AV40</f>
        <v>0</v>
      </c>
      <c r="V40" s="3">
        <f>'Stage 1 Inputs'!AS40</f>
        <v>0</v>
      </c>
      <c r="W40" s="3" t="str">
        <f>'Stage 1 Inputs'!AX40</f>
        <v>Historical official/source data</v>
      </c>
      <c r="X40" s="3" t="str">
        <f>'Stage 1 Inputs'!AY40</f>
        <v>No special note</v>
      </c>
    </row>
    <row r="41" spans="1:24" ht="19.95" customHeight="1" x14ac:dyDescent="0.3">
      <c r="A41" s="3" t="str">
        <f>'Stage 1 Inputs'!A41</f>
        <v>2011Q4</v>
      </c>
      <c r="B41" s="3" t="str">
        <f>'Stage 1 Inputs'!B41</f>
        <v>Dec 2011</v>
      </c>
      <c r="C41" s="3">
        <f>'Stage 1 Inputs'!G41</f>
        <v>53656000000</v>
      </c>
      <c r="D41" s="3">
        <f>'Stage 1 Inputs'!E41</f>
        <v>1059</v>
      </c>
      <c r="E41" s="3">
        <f>'Stage 1 Inputs'!F41</f>
        <v>1.4740321057601511</v>
      </c>
      <c r="F41" s="3">
        <f>'Stage 1 Inputs'!J41</f>
        <v>79090666666.666672</v>
      </c>
      <c r="G41" s="3">
        <f>'Stage 1 Inputs'!L41</f>
        <v>25.093860710657871</v>
      </c>
      <c r="H41" s="3">
        <f>'Stage 1 Inputs'!Q41</f>
        <v>151.79999992989397</v>
      </c>
      <c r="I41" s="3">
        <f>'Stage 1 Inputs'!D41</f>
        <v>1.4169312169312169</v>
      </c>
      <c r="J41" s="3">
        <f>'Stage 1 Inputs'!R41</f>
        <v>215.09015863082331</v>
      </c>
      <c r="K41" s="3">
        <f>'Stage 1 Inputs'!S41</f>
        <v>5.3710572826971275</v>
      </c>
      <c r="L41" s="3">
        <f>'Stage 1 Inputs'!AA41</f>
        <v>96965341.739999995</v>
      </c>
      <c r="M41" s="3">
        <f>'Stage 1 Inputs'!AB41</f>
        <v>2041795708</v>
      </c>
      <c r="N41" s="3">
        <f>'Stage 1 Inputs'!AC41</f>
        <v>47.490227038913922</v>
      </c>
      <c r="O41" s="3">
        <f>'Stage 1 Inputs'!AD41</f>
        <v>67.290385190588083</v>
      </c>
      <c r="P41" s="3">
        <f>'Stage 1 Inputs'!AE41</f>
        <v>4.2090173615201198</v>
      </c>
      <c r="Q41" s="3">
        <f>'Stage 1 Inputs'!AF41</f>
        <v>67.054973394588856</v>
      </c>
      <c r="R41" s="3">
        <f>'Stage 1 Inputs'!AG41</f>
        <v>4.2055127813928426</v>
      </c>
      <c r="S41" s="3">
        <f>'Stage 1 Inputs'!AT41</f>
        <v>0</v>
      </c>
      <c r="T41" s="3">
        <f>'Stage 1 Inputs'!AU41</f>
        <v>0</v>
      </c>
      <c r="U41" s="3">
        <f>'Stage 1 Inputs'!AV41</f>
        <v>1</v>
      </c>
      <c r="V41" s="3">
        <f>'Stage 1 Inputs'!AS41</f>
        <v>0</v>
      </c>
      <c r="W41" s="3" t="str">
        <f>'Stage 1 Inputs'!AX41</f>
        <v>Historical official/source data</v>
      </c>
      <c r="X41" s="3" t="str">
        <f>'Stage 1 Inputs'!AY41</f>
        <v>No special note</v>
      </c>
    </row>
    <row r="42" spans="1:24" ht="19.95" customHeight="1" x14ac:dyDescent="0.3">
      <c r="A42" s="3" t="str">
        <f>'Stage 1 Inputs'!A42</f>
        <v>2012Q1</v>
      </c>
      <c r="B42" s="3" t="str">
        <f>'Stage 1 Inputs'!B42</f>
        <v>Mar 2012</v>
      </c>
      <c r="C42" s="3">
        <f>'Stage 1 Inputs'!G42</f>
        <v>53651000000</v>
      </c>
      <c r="D42" s="3">
        <f>'Stage 1 Inputs'!E42</f>
        <v>1057</v>
      </c>
      <c r="E42" s="3">
        <f>'Stage 1 Inputs'!F42</f>
        <v>1.4768211920529801</v>
      </c>
      <c r="F42" s="3">
        <f>'Stage 1 Inputs'!J42</f>
        <v>79232933774.834442</v>
      </c>
      <c r="G42" s="3">
        <f>'Stage 1 Inputs'!L42</f>
        <v>25.095657879823587</v>
      </c>
      <c r="H42" s="3">
        <f>'Stage 1 Inputs'!Q42</f>
        <v>152.10000005333171</v>
      </c>
      <c r="I42" s="3">
        <f>'Stage 1 Inputs'!D42</f>
        <v>1.4109589041095891</v>
      </c>
      <c r="J42" s="3">
        <f>'Stage 1 Inputs'!R42</f>
        <v>214.60684939031736</v>
      </c>
      <c r="K42" s="3">
        <f>'Stage 1 Inputs'!S42</f>
        <v>5.3688077466971276</v>
      </c>
      <c r="L42" s="3">
        <f>'Stage 1 Inputs'!AA42</f>
        <v>93754621.900000006</v>
      </c>
      <c r="M42" s="3">
        <f>'Stage 1 Inputs'!AB42</f>
        <v>1972821179</v>
      </c>
      <c r="N42" s="3">
        <f>'Stage 1 Inputs'!AC42</f>
        <v>47.523122165346543</v>
      </c>
      <c r="O42" s="3">
        <f>'Stage 1 Inputs'!AD42</f>
        <v>67.053172370283477</v>
      </c>
      <c r="P42" s="3">
        <f>'Stage 1 Inputs'!AE42</f>
        <v>4.2054859221100571</v>
      </c>
      <c r="Q42" s="3">
        <f>'Stage 1 Inputs'!AF42</f>
        <v>67.290385190588083</v>
      </c>
      <c r="R42" s="3">
        <f>'Stage 1 Inputs'!AG42</f>
        <v>4.2090173615201198</v>
      </c>
      <c r="S42" s="3">
        <f>'Stage 1 Inputs'!AT42</f>
        <v>0</v>
      </c>
      <c r="T42" s="3">
        <f>'Stage 1 Inputs'!AU42</f>
        <v>0</v>
      </c>
      <c r="U42" s="3">
        <f>'Stage 1 Inputs'!AV42</f>
        <v>0</v>
      </c>
      <c r="V42" s="3">
        <f>'Stage 1 Inputs'!AS42</f>
        <v>0</v>
      </c>
      <c r="W42" s="3" t="str">
        <f>'Stage 1 Inputs'!AX42</f>
        <v>Historical official/source data</v>
      </c>
      <c r="X42" s="3" t="str">
        <f>'Stage 1 Inputs'!AY42</f>
        <v>No special note</v>
      </c>
    </row>
    <row r="43" spans="1:24" ht="19.95" customHeight="1" x14ac:dyDescent="0.3">
      <c r="A43" s="3" t="str">
        <f>'Stage 1 Inputs'!A43</f>
        <v>2012Q2</v>
      </c>
      <c r="B43" s="3" t="str">
        <f>'Stage 1 Inputs'!B43</f>
        <v>Jun 2012</v>
      </c>
      <c r="C43" s="3">
        <f>'Stage 1 Inputs'!G43</f>
        <v>54500000000</v>
      </c>
      <c r="D43" s="3">
        <f>'Stage 1 Inputs'!E43</f>
        <v>1067</v>
      </c>
      <c r="E43" s="3">
        <f>'Stage 1 Inputs'!F43</f>
        <v>1.4629803186504218</v>
      </c>
      <c r="F43" s="3">
        <f>'Stage 1 Inputs'!J43</f>
        <v>79732427366.447983</v>
      </c>
      <c r="G43" s="3">
        <f>'Stage 1 Inputs'!L43</f>
        <v>25.101942207829289</v>
      </c>
      <c r="H43" s="3">
        <f>'Stage 1 Inputs'!Q43</f>
        <v>149.60000001791911</v>
      </c>
      <c r="I43" s="3">
        <f>'Stage 1 Inputs'!D43</f>
        <v>1.4050367261280168</v>
      </c>
      <c r="J43" s="3">
        <f>'Stage 1 Inputs'!R43</f>
        <v>210.19349425392832</v>
      </c>
      <c r="K43" s="3">
        <f>'Stage 1 Inputs'!S43</f>
        <v>5.3480285076971272</v>
      </c>
      <c r="L43" s="3">
        <f>'Stage 1 Inputs'!AA43</f>
        <v>93907661.810000002</v>
      </c>
      <c r="M43" s="3">
        <f>'Stage 1 Inputs'!AB43</f>
        <v>1977295468</v>
      </c>
      <c r="N43" s="3">
        <f>'Stage 1 Inputs'!AC43</f>
        <v>47.492983891267379</v>
      </c>
      <c r="O43" s="3">
        <f>'Stage 1 Inputs'!AD43</f>
        <v>66.729386600636957</v>
      </c>
      <c r="P43" s="3">
        <f>'Stage 1 Inputs'!AE43</f>
        <v>4.2006454346154651</v>
      </c>
      <c r="Q43" s="3">
        <f>'Stage 1 Inputs'!AF43</f>
        <v>67.053172370283477</v>
      </c>
      <c r="R43" s="3">
        <f>'Stage 1 Inputs'!AG43</f>
        <v>4.2054859221100571</v>
      </c>
      <c r="S43" s="3">
        <f>'Stage 1 Inputs'!AT43</f>
        <v>1</v>
      </c>
      <c r="T43" s="3">
        <f>'Stage 1 Inputs'!AU43</f>
        <v>0</v>
      </c>
      <c r="U43" s="3">
        <f>'Stage 1 Inputs'!AV43</f>
        <v>0</v>
      </c>
      <c r="V43" s="3">
        <f>'Stage 1 Inputs'!AS43</f>
        <v>0</v>
      </c>
      <c r="W43" s="3" t="str">
        <f>'Stage 1 Inputs'!AX43</f>
        <v>Historical official/source data</v>
      </c>
      <c r="X43" s="3" t="str">
        <f>'Stage 1 Inputs'!AY43</f>
        <v>No special note</v>
      </c>
    </row>
    <row r="44" spans="1:24" ht="19.95" customHeight="1" x14ac:dyDescent="0.3">
      <c r="A44" s="3" t="str">
        <f>'Stage 1 Inputs'!A44</f>
        <v>2012Q3</v>
      </c>
      <c r="B44" s="3" t="str">
        <f>'Stage 1 Inputs'!B44</f>
        <v>Sep 2012</v>
      </c>
      <c r="C44" s="3">
        <f>'Stage 1 Inputs'!G44</f>
        <v>54003000000</v>
      </c>
      <c r="D44" s="3">
        <f>'Stage 1 Inputs'!E44</f>
        <v>1051</v>
      </c>
      <c r="E44" s="3">
        <f>'Stage 1 Inputs'!F44</f>
        <v>1.4852521408182684</v>
      </c>
      <c r="F44" s="3">
        <f>'Stage 1 Inputs'!J44</f>
        <v>80208071360.608948</v>
      </c>
      <c r="G44" s="3">
        <f>'Stage 1 Inputs'!L44</f>
        <v>25.10788998716157</v>
      </c>
      <c r="H44" s="3">
        <f>'Stage 1 Inputs'!Q44</f>
        <v>149.09999995765446</v>
      </c>
      <c r="I44" s="3">
        <f>'Stage 1 Inputs'!D44</f>
        <v>1.4020942408376964</v>
      </c>
      <c r="J44" s="3">
        <f>'Stage 1 Inputs'!R44</f>
        <v>209.0522512495281</v>
      </c>
      <c r="K44" s="3">
        <f>'Stage 1 Inputs'!S44</f>
        <v>5.3425842266971273</v>
      </c>
      <c r="L44" s="3">
        <f>'Stage 1 Inputs'!AA44</f>
        <v>95535869.989999995</v>
      </c>
      <c r="M44" s="3">
        <f>'Stage 1 Inputs'!AB44</f>
        <v>1986302686</v>
      </c>
      <c r="N44" s="3">
        <f>'Stage 1 Inputs'!AC44</f>
        <v>48.097337159820967</v>
      </c>
      <c r="O44" s="3">
        <f>'Stage 1 Inputs'!AD44</f>
        <v>67.436999431413909</v>
      </c>
      <c r="P44" s="3">
        <f>'Stage 1 Inputs'!AE44</f>
        <v>4.2111938202870265</v>
      </c>
      <c r="Q44" s="3">
        <f>'Stage 1 Inputs'!AF44</f>
        <v>66.729386600636957</v>
      </c>
      <c r="R44" s="3">
        <f>'Stage 1 Inputs'!AG44</f>
        <v>4.2006454346154651</v>
      </c>
      <c r="S44" s="3">
        <f>'Stage 1 Inputs'!AT44</f>
        <v>0</v>
      </c>
      <c r="T44" s="3">
        <f>'Stage 1 Inputs'!AU44</f>
        <v>1</v>
      </c>
      <c r="U44" s="3">
        <f>'Stage 1 Inputs'!AV44</f>
        <v>0</v>
      </c>
      <c r="V44" s="3">
        <f>'Stage 1 Inputs'!AS44</f>
        <v>0</v>
      </c>
      <c r="W44" s="3" t="str">
        <f>'Stage 1 Inputs'!AX44</f>
        <v>Historical official/source data</v>
      </c>
      <c r="X44" s="3" t="str">
        <f>'Stage 1 Inputs'!AY44</f>
        <v>No special note</v>
      </c>
    </row>
    <row r="45" spans="1:24" ht="19.95" customHeight="1" x14ac:dyDescent="0.3">
      <c r="A45" s="3" t="str">
        <f>'Stage 1 Inputs'!A45</f>
        <v>2012Q4</v>
      </c>
      <c r="B45" s="3" t="str">
        <f>'Stage 1 Inputs'!B45</f>
        <v>Dec 2012</v>
      </c>
      <c r="C45" s="3">
        <f>'Stage 1 Inputs'!G45</f>
        <v>54148000000</v>
      </c>
      <c r="D45" s="3">
        <f>'Stage 1 Inputs'!E45</f>
        <v>1042</v>
      </c>
      <c r="E45" s="3">
        <f>'Stage 1 Inputs'!F45</f>
        <v>1.4980806142034548</v>
      </c>
      <c r="F45" s="3">
        <f>'Stage 1 Inputs'!J45</f>
        <v>81118069097.888672</v>
      </c>
      <c r="G45" s="3">
        <f>'Stage 1 Inputs'!L45</f>
        <v>25.11917157347207</v>
      </c>
      <c r="H45" s="3">
        <f>'Stage 1 Inputs'!Q45</f>
        <v>150.00000005369785</v>
      </c>
      <c r="I45" s="3">
        <f>'Stage 1 Inputs'!D45</f>
        <v>1.4035639412997905</v>
      </c>
      <c r="J45" s="3">
        <f>'Stage 1 Inputs'!R45</f>
        <v>210.53459127033693</v>
      </c>
      <c r="K45" s="3">
        <f>'Stage 1 Inputs'!S45</f>
        <v>5.3496499686971273</v>
      </c>
      <c r="L45" s="3">
        <f>'Stage 1 Inputs'!AA45</f>
        <v>102984049.5</v>
      </c>
      <c r="M45" s="3">
        <f>'Stage 1 Inputs'!AB45</f>
        <v>2087229366</v>
      </c>
      <c r="N45" s="3">
        <f>'Stage 1 Inputs'!AC45</f>
        <v>49.340073102440243</v>
      </c>
      <c r="O45" s="3">
        <f>'Stage 1 Inputs'!AD45</f>
        <v>69.251947467680807</v>
      </c>
      <c r="P45" s="3">
        <f>'Stage 1 Inputs'!AE45</f>
        <v>4.2377512669490036</v>
      </c>
      <c r="Q45" s="3">
        <f>'Stage 1 Inputs'!AF45</f>
        <v>67.436999431413909</v>
      </c>
      <c r="R45" s="3">
        <f>'Stage 1 Inputs'!AG45</f>
        <v>4.2111938202870265</v>
      </c>
      <c r="S45" s="3">
        <f>'Stage 1 Inputs'!AT45</f>
        <v>0</v>
      </c>
      <c r="T45" s="3">
        <f>'Stage 1 Inputs'!AU45</f>
        <v>0</v>
      </c>
      <c r="U45" s="3">
        <f>'Stage 1 Inputs'!AV45</f>
        <v>1</v>
      </c>
      <c r="V45" s="3">
        <f>'Stage 1 Inputs'!AS45</f>
        <v>0</v>
      </c>
      <c r="W45" s="3" t="str">
        <f>'Stage 1 Inputs'!AX45</f>
        <v>Historical official/source data</v>
      </c>
      <c r="X45" s="3" t="str">
        <f>'Stage 1 Inputs'!AY45</f>
        <v>No special note</v>
      </c>
    </row>
    <row r="46" spans="1:24" ht="19.95" customHeight="1" x14ac:dyDescent="0.3">
      <c r="A46" s="3" t="str">
        <f>'Stage 1 Inputs'!A46</f>
        <v>2013Q1</v>
      </c>
      <c r="B46" s="3" t="str">
        <f>'Stage 1 Inputs'!B46</f>
        <v>Mar 2013</v>
      </c>
      <c r="C46" s="3">
        <f>'Stage 1 Inputs'!G46</f>
        <v>55225000000</v>
      </c>
      <c r="D46" s="3">
        <f>'Stage 1 Inputs'!E46</f>
        <v>1057</v>
      </c>
      <c r="E46" s="3">
        <f>'Stage 1 Inputs'!F46</f>
        <v>1.4768211920529801</v>
      </c>
      <c r="F46" s="3">
        <f>'Stage 1 Inputs'!J46</f>
        <v>81557450331.125824</v>
      </c>
      <c r="G46" s="3">
        <f>'Stage 1 Inputs'!L46</f>
        <v>25.124573520897787</v>
      </c>
      <c r="H46" s="3">
        <f>'Stage 1 Inputs'!Q46</f>
        <v>147.70000006491139</v>
      </c>
      <c r="I46" s="3">
        <f>'Stage 1 Inputs'!D46</f>
        <v>1.3977035490605427</v>
      </c>
      <c r="J46" s="3">
        <f>'Stage 1 Inputs'!R46</f>
        <v>206.44081428696904</v>
      </c>
      <c r="K46" s="3">
        <f>'Stage 1 Inputs'!S46</f>
        <v>5.3300137576971274</v>
      </c>
      <c r="L46" s="3">
        <f>'Stage 1 Inputs'!AA46</f>
        <v>99124691.349999994</v>
      </c>
      <c r="M46" s="3">
        <f>'Stage 1 Inputs'!AB46</f>
        <v>2004260597</v>
      </c>
      <c r="N46" s="3">
        <f>'Stage 1 Inputs'!AC46</f>
        <v>49.456987528653194</v>
      </c>
      <c r="O46" s="3">
        <f>'Stage 1 Inputs'!AD46</f>
        <v>69.126206994641564</v>
      </c>
      <c r="P46" s="3">
        <f>'Stage 1 Inputs'!AE46</f>
        <v>4.2359339207336957</v>
      </c>
      <c r="Q46" s="3">
        <f>'Stage 1 Inputs'!AF46</f>
        <v>69.251947467680807</v>
      </c>
      <c r="R46" s="3">
        <f>'Stage 1 Inputs'!AG46</f>
        <v>4.2377512669490036</v>
      </c>
      <c r="S46" s="3">
        <f>'Stage 1 Inputs'!AT46</f>
        <v>0</v>
      </c>
      <c r="T46" s="3">
        <f>'Stage 1 Inputs'!AU46</f>
        <v>0</v>
      </c>
      <c r="U46" s="3">
        <f>'Stage 1 Inputs'!AV46</f>
        <v>0</v>
      </c>
      <c r="V46" s="3">
        <f>'Stage 1 Inputs'!AS46</f>
        <v>0</v>
      </c>
      <c r="W46" s="3" t="str">
        <f>'Stage 1 Inputs'!AX46</f>
        <v>Historical official/source data</v>
      </c>
      <c r="X46" s="3" t="str">
        <f>'Stage 1 Inputs'!AY46</f>
        <v>No special note</v>
      </c>
    </row>
    <row r="47" spans="1:24" ht="19.95" customHeight="1" x14ac:dyDescent="0.3">
      <c r="A47" s="3" t="str">
        <f>'Stage 1 Inputs'!A47</f>
        <v>2013Q2</v>
      </c>
      <c r="B47" s="3" t="str">
        <f>'Stage 1 Inputs'!B47</f>
        <v>Jun 2013</v>
      </c>
      <c r="C47" s="3">
        <f>'Stage 1 Inputs'!G47</f>
        <v>55741000000</v>
      </c>
      <c r="D47" s="3">
        <f>'Stage 1 Inputs'!E47</f>
        <v>1072</v>
      </c>
      <c r="E47" s="3">
        <f>'Stage 1 Inputs'!F47</f>
        <v>1.4561567164179106</v>
      </c>
      <c r="F47" s="3">
        <f>'Stage 1 Inputs'!J47</f>
        <v>81167631529.850754</v>
      </c>
      <c r="G47" s="3">
        <f>'Stage 1 Inputs'!L47</f>
        <v>25.119782378161716</v>
      </c>
      <c r="H47" s="3">
        <f>'Stage 1 Inputs'!Q47</f>
        <v>141.19999997603151</v>
      </c>
      <c r="I47" s="3">
        <f>'Stage 1 Inputs'!D47</f>
        <v>1.3962460896767466</v>
      </c>
      <c r="J47" s="3">
        <f>'Stage 1 Inputs'!R47</f>
        <v>197.1499478288907</v>
      </c>
      <c r="K47" s="3">
        <f>'Stage 1 Inputs'!S47</f>
        <v>5.2839645956971273</v>
      </c>
      <c r="L47" s="3">
        <f>'Stage 1 Inputs'!AA47</f>
        <v>102339749.09999999</v>
      </c>
      <c r="M47" s="3">
        <f>'Stage 1 Inputs'!AB47</f>
        <v>2072369167</v>
      </c>
      <c r="N47" s="3">
        <f>'Stage 1 Inputs'!AC47</f>
        <v>49.382972266543085</v>
      </c>
      <c r="O47" s="3">
        <f>'Stage 1 Inputs'!AD47</f>
        <v>68.950781923776006</v>
      </c>
      <c r="P47" s="3">
        <f>'Stage 1 Inputs'!AE47</f>
        <v>4.233392944621361</v>
      </c>
      <c r="Q47" s="3">
        <f>'Stage 1 Inputs'!AF47</f>
        <v>69.126206994641564</v>
      </c>
      <c r="R47" s="3">
        <f>'Stage 1 Inputs'!AG47</f>
        <v>4.2359339207336957</v>
      </c>
      <c r="S47" s="3">
        <f>'Stage 1 Inputs'!AT47</f>
        <v>1</v>
      </c>
      <c r="T47" s="3">
        <f>'Stage 1 Inputs'!AU47</f>
        <v>0</v>
      </c>
      <c r="U47" s="3">
        <f>'Stage 1 Inputs'!AV47</f>
        <v>0</v>
      </c>
      <c r="V47" s="3">
        <f>'Stage 1 Inputs'!AS47</f>
        <v>0</v>
      </c>
      <c r="W47" s="3" t="str">
        <f>'Stage 1 Inputs'!AX47</f>
        <v>Historical official/source data</v>
      </c>
      <c r="X47" s="3" t="str">
        <f>'Stage 1 Inputs'!AY47</f>
        <v>No special note</v>
      </c>
    </row>
    <row r="48" spans="1:24" ht="19.95" customHeight="1" x14ac:dyDescent="0.3">
      <c r="A48" s="3" t="str">
        <f>'Stage 1 Inputs'!A48</f>
        <v>2013Q3</v>
      </c>
      <c r="B48" s="3" t="str">
        <f>'Stage 1 Inputs'!B48</f>
        <v>Sep 2013</v>
      </c>
      <c r="C48" s="3">
        <f>'Stage 1 Inputs'!G48</f>
        <v>57553000000</v>
      </c>
      <c r="D48" s="3">
        <f>'Stage 1 Inputs'!E48</f>
        <v>1097</v>
      </c>
      <c r="E48" s="3">
        <f>'Stage 1 Inputs'!F48</f>
        <v>1.4229717411121239</v>
      </c>
      <c r="F48" s="3">
        <f>'Stage 1 Inputs'!J48</f>
        <v>81896292616.226059</v>
      </c>
      <c r="G48" s="3">
        <f>'Stage 1 Inputs'!L48</f>
        <v>25.128719559579697</v>
      </c>
      <c r="H48" s="3">
        <f>'Stage 1 Inputs'!Q48</f>
        <v>150.59999998746085</v>
      </c>
      <c r="I48" s="3">
        <f>'Stage 1 Inputs'!D48</f>
        <v>1.3832644628099173</v>
      </c>
      <c r="J48" s="3">
        <f>'Stage 1 Inputs'!R48</f>
        <v>208.3196280818286</v>
      </c>
      <c r="K48" s="3">
        <f>'Stage 1 Inputs'!S48</f>
        <v>5.3390735736971271</v>
      </c>
      <c r="L48" s="3">
        <f>'Stage 1 Inputs'!AA48</f>
        <v>112806761.09999999</v>
      </c>
      <c r="M48" s="3">
        <f>'Stage 1 Inputs'!AB48</f>
        <v>2086860529</v>
      </c>
      <c r="N48" s="3">
        <f>'Stage 1 Inputs'!AC48</f>
        <v>54.055726069080293</v>
      </c>
      <c r="O48" s="3">
        <f>'Stage 1 Inputs'!AD48</f>
        <v>74.773364882746392</v>
      </c>
      <c r="P48" s="3">
        <f>'Stage 1 Inputs'!AE48</f>
        <v>4.3144617371120457</v>
      </c>
      <c r="Q48" s="3">
        <f>'Stage 1 Inputs'!AF48</f>
        <v>68.950781923776006</v>
      </c>
      <c r="R48" s="3">
        <f>'Stage 1 Inputs'!AG48</f>
        <v>4.233392944621361</v>
      </c>
      <c r="S48" s="3">
        <f>'Stage 1 Inputs'!AT48</f>
        <v>0</v>
      </c>
      <c r="T48" s="3">
        <f>'Stage 1 Inputs'!AU48</f>
        <v>1</v>
      </c>
      <c r="U48" s="3">
        <f>'Stage 1 Inputs'!AV48</f>
        <v>0</v>
      </c>
      <c r="V48" s="3">
        <f>'Stage 1 Inputs'!AS48</f>
        <v>0</v>
      </c>
      <c r="W48" s="3" t="str">
        <f>'Stage 1 Inputs'!AX48</f>
        <v>Historical official/source data</v>
      </c>
      <c r="X48" s="3" t="str">
        <f>'Stage 1 Inputs'!AY48</f>
        <v>No special note</v>
      </c>
    </row>
    <row r="49" spans="1:24" ht="19.95" customHeight="1" x14ac:dyDescent="0.3">
      <c r="A49" s="3" t="str">
        <f>'Stage 1 Inputs'!A49</f>
        <v>2013Q4</v>
      </c>
      <c r="B49" s="3" t="str">
        <f>'Stage 1 Inputs'!B49</f>
        <v>Dec 2013</v>
      </c>
      <c r="C49" s="3">
        <f>'Stage 1 Inputs'!G49</f>
        <v>59579000000</v>
      </c>
      <c r="D49" s="3">
        <f>'Stage 1 Inputs'!E49</f>
        <v>1129</v>
      </c>
      <c r="E49" s="3">
        <f>'Stage 1 Inputs'!F49</f>
        <v>1.3826395039858281</v>
      </c>
      <c r="F49" s="3">
        <f>'Stage 1 Inputs'!J49</f>
        <v>82376279007.971649</v>
      </c>
      <c r="G49" s="3">
        <f>'Stage 1 Inputs'!L49</f>
        <v>25.134563356300706</v>
      </c>
      <c r="H49" s="3">
        <f>'Stage 1 Inputs'!Q49</f>
        <v>148.90000003078623</v>
      </c>
      <c r="I49" s="3">
        <f>'Stage 1 Inputs'!D49</f>
        <v>1.3818369453044375</v>
      </c>
      <c r="J49" s="3">
        <f>'Stage 1 Inputs'!R49</f>
        <v>205.75552119837229</v>
      </c>
      <c r="K49" s="3">
        <f>'Stage 1 Inputs'!S49</f>
        <v>5.3266886736971273</v>
      </c>
      <c r="L49" s="3">
        <f>'Stage 1 Inputs'!AA49</f>
        <v>124888098</v>
      </c>
      <c r="M49" s="3">
        <f>'Stage 1 Inputs'!AB49</f>
        <v>2297457306</v>
      </c>
      <c r="N49" s="3">
        <f>'Stage 1 Inputs'!AC49</f>
        <v>54.359268254449994</v>
      </c>
      <c r="O49" s="3">
        <f>'Stage 1 Inputs'!AD49</f>
        <v>75.115645193713661</v>
      </c>
      <c r="P49" s="3">
        <f>'Stage 1 Inputs'!AE49</f>
        <v>4.3190288618899144</v>
      </c>
      <c r="Q49" s="3">
        <f>'Stage 1 Inputs'!AF49</f>
        <v>74.773364882746392</v>
      </c>
      <c r="R49" s="3">
        <f>'Stage 1 Inputs'!AG49</f>
        <v>4.3144617371120457</v>
      </c>
      <c r="S49" s="3">
        <f>'Stage 1 Inputs'!AT49</f>
        <v>0</v>
      </c>
      <c r="T49" s="3">
        <f>'Stage 1 Inputs'!AU49</f>
        <v>0</v>
      </c>
      <c r="U49" s="3">
        <f>'Stage 1 Inputs'!AV49</f>
        <v>1</v>
      </c>
      <c r="V49" s="3">
        <f>'Stage 1 Inputs'!AS49</f>
        <v>0</v>
      </c>
      <c r="W49" s="3" t="str">
        <f>'Stage 1 Inputs'!AX49</f>
        <v>Historical official/source data</v>
      </c>
      <c r="X49" s="3" t="str">
        <f>'Stage 1 Inputs'!AY49</f>
        <v>No special note</v>
      </c>
    </row>
    <row r="50" spans="1:24" ht="19.95" customHeight="1" x14ac:dyDescent="0.3">
      <c r="A50" s="3" t="str">
        <f>'Stage 1 Inputs'!A50</f>
        <v>2014Q1</v>
      </c>
      <c r="B50" s="3" t="str">
        <f>'Stage 1 Inputs'!B50</f>
        <v>Mar 2014</v>
      </c>
      <c r="C50" s="3">
        <f>'Stage 1 Inputs'!G50</f>
        <v>59843000000</v>
      </c>
      <c r="D50" s="3">
        <f>'Stage 1 Inputs'!E50</f>
        <v>1122</v>
      </c>
      <c r="E50" s="3">
        <f>'Stage 1 Inputs'!F50</f>
        <v>1.3912655971479502</v>
      </c>
      <c r="F50" s="3">
        <f>'Stage 1 Inputs'!J50</f>
        <v>83257507130.124786</v>
      </c>
      <c r="G50" s="3">
        <f>'Stage 1 Inputs'!L50</f>
        <v>25.145204137478611</v>
      </c>
      <c r="H50" s="3">
        <f>'Stage 1 Inputs'!Q50</f>
        <v>146.09999995759307</v>
      </c>
      <c r="I50" s="3">
        <f>'Stage 1 Inputs'!D50</f>
        <v>1.3775720164609053</v>
      </c>
      <c r="J50" s="3">
        <f>'Stage 1 Inputs'!R50</f>
        <v>201.26327154651966</v>
      </c>
      <c r="K50" s="3">
        <f>'Stage 1 Inputs'!S50</f>
        <v>5.3046138596971275</v>
      </c>
      <c r="L50" s="3">
        <f>'Stage 1 Inputs'!AA50</f>
        <v>115541354.90000001</v>
      </c>
      <c r="M50" s="3">
        <f>'Stage 1 Inputs'!AB50</f>
        <v>2124315560</v>
      </c>
      <c r="N50" s="3">
        <f>'Stage 1 Inputs'!AC50</f>
        <v>54.389920723454104</v>
      </c>
      <c r="O50" s="3">
        <f>'Stage 1 Inputs'!AD50</f>
        <v>74.926032766157448</v>
      </c>
      <c r="P50" s="3">
        <f>'Stage 1 Inputs'!AE50</f>
        <v>4.3165013971071602</v>
      </c>
      <c r="Q50" s="3">
        <f>'Stage 1 Inputs'!AF50</f>
        <v>75.115645193713661</v>
      </c>
      <c r="R50" s="3">
        <f>'Stage 1 Inputs'!AG50</f>
        <v>4.3190288618899144</v>
      </c>
      <c r="S50" s="3">
        <f>'Stage 1 Inputs'!AT50</f>
        <v>0</v>
      </c>
      <c r="T50" s="3">
        <f>'Stage 1 Inputs'!AU50</f>
        <v>0</v>
      </c>
      <c r="U50" s="3">
        <f>'Stage 1 Inputs'!AV50</f>
        <v>0</v>
      </c>
      <c r="V50" s="3">
        <f>'Stage 1 Inputs'!AS50</f>
        <v>0</v>
      </c>
      <c r="W50" s="3" t="str">
        <f>'Stage 1 Inputs'!AX50</f>
        <v>Historical official/source data</v>
      </c>
      <c r="X50" s="3" t="str">
        <f>'Stage 1 Inputs'!AY50</f>
        <v>No special note</v>
      </c>
    </row>
    <row r="51" spans="1:24" ht="19.95" customHeight="1" x14ac:dyDescent="0.3">
      <c r="A51" s="3" t="str">
        <f>'Stage 1 Inputs'!A51</f>
        <v>2014Q2</v>
      </c>
      <c r="B51" s="3" t="str">
        <f>'Stage 1 Inputs'!B51</f>
        <v>Jun 2014</v>
      </c>
      <c r="C51" s="3">
        <f>'Stage 1 Inputs'!G51</f>
        <v>59983000000</v>
      </c>
      <c r="D51" s="3">
        <f>'Stage 1 Inputs'!E51</f>
        <v>1119</v>
      </c>
      <c r="E51" s="3">
        <f>'Stage 1 Inputs'!F51</f>
        <v>1.3949955317247542</v>
      </c>
      <c r="F51" s="3">
        <f>'Stage 1 Inputs'!J51</f>
        <v>83676016979.445938</v>
      </c>
      <c r="G51" s="3">
        <f>'Stage 1 Inputs'!L51</f>
        <v>25.150218237892211</v>
      </c>
      <c r="H51" s="3">
        <f>'Stage 1 Inputs'!Q51</f>
        <v>144.2000000220558</v>
      </c>
      <c r="I51" s="3">
        <f>'Stage 1 Inputs'!D51</f>
        <v>1.3733333333333333</v>
      </c>
      <c r="J51" s="3">
        <f>'Stage 1 Inputs'!R51</f>
        <v>198.03466669695663</v>
      </c>
      <c r="K51" s="3">
        <f>'Stage 1 Inputs'!S51</f>
        <v>5.2884420996971269</v>
      </c>
      <c r="L51" s="3">
        <f>'Stage 1 Inputs'!AA51</f>
        <v>124798029.5</v>
      </c>
      <c r="M51" s="3">
        <f>'Stage 1 Inputs'!AB51</f>
        <v>2300956902</v>
      </c>
      <c r="N51" s="3">
        <f>'Stage 1 Inputs'!AC51</f>
        <v>54.237447642554763</v>
      </c>
      <c r="O51" s="3">
        <f>'Stage 1 Inputs'!AD51</f>
        <v>74.486094762441866</v>
      </c>
      <c r="P51" s="3">
        <f>'Stage 1 Inputs'!AE51</f>
        <v>4.3106124604807023</v>
      </c>
      <c r="Q51" s="3">
        <f>'Stage 1 Inputs'!AF51</f>
        <v>74.926032766157448</v>
      </c>
      <c r="R51" s="3">
        <f>'Stage 1 Inputs'!AG51</f>
        <v>4.3165013971071602</v>
      </c>
      <c r="S51" s="3">
        <f>'Stage 1 Inputs'!AT51</f>
        <v>1</v>
      </c>
      <c r="T51" s="3">
        <f>'Stage 1 Inputs'!AU51</f>
        <v>0</v>
      </c>
      <c r="U51" s="3">
        <f>'Stage 1 Inputs'!AV51</f>
        <v>0</v>
      </c>
      <c r="V51" s="3">
        <f>'Stage 1 Inputs'!AS51</f>
        <v>0</v>
      </c>
      <c r="W51" s="3" t="str">
        <f>'Stage 1 Inputs'!AX51</f>
        <v>Historical official/source data</v>
      </c>
      <c r="X51" s="3" t="str">
        <f>'Stage 1 Inputs'!AY51</f>
        <v>No special note</v>
      </c>
    </row>
    <row r="52" spans="1:24" ht="19.95" customHeight="1" x14ac:dyDescent="0.3">
      <c r="A52" s="3" t="str">
        <f>'Stage 1 Inputs'!A52</f>
        <v>2014Q3</v>
      </c>
      <c r="B52" s="3" t="str">
        <f>'Stage 1 Inputs'!B52</f>
        <v>Sep 2014</v>
      </c>
      <c r="C52" s="3">
        <f>'Stage 1 Inputs'!G52</f>
        <v>60330000000</v>
      </c>
      <c r="D52" s="3">
        <f>'Stage 1 Inputs'!E52</f>
        <v>1112</v>
      </c>
      <c r="E52" s="3">
        <f>'Stage 1 Inputs'!F52</f>
        <v>1.4037769784172662</v>
      </c>
      <c r="F52" s="3">
        <f>'Stage 1 Inputs'!J52</f>
        <v>84689865107.913666</v>
      </c>
      <c r="G52" s="3">
        <f>'Stage 1 Inputs'!L52</f>
        <v>25.162261775103985</v>
      </c>
      <c r="H52" s="3">
        <f>'Stage 1 Inputs'!Q52</f>
        <v>143.30000002961231</v>
      </c>
      <c r="I52" s="3">
        <f>'Stage 1 Inputs'!D52</f>
        <v>1.369120654396728</v>
      </c>
      <c r="J52" s="3">
        <f>'Stage 1 Inputs'!R52</f>
        <v>196.19498981559394</v>
      </c>
      <c r="K52" s="3">
        <f>'Stage 1 Inputs'!S52</f>
        <v>5.2791090106971268</v>
      </c>
      <c r="L52" s="3">
        <f>'Stage 1 Inputs'!AA52</f>
        <v>130198610.8</v>
      </c>
      <c r="M52" s="3">
        <f>'Stage 1 Inputs'!AB52</f>
        <v>2217355370</v>
      </c>
      <c r="N52" s="3">
        <f>'Stage 1 Inputs'!AC52</f>
        <v>58.717972121897624</v>
      </c>
      <c r="O52" s="3">
        <f>'Stage 1 Inputs'!AD52</f>
        <v>80.391988416381309</v>
      </c>
      <c r="P52" s="3">
        <f>'Stage 1 Inputs'!AE52</f>
        <v>4.3869145246574508</v>
      </c>
      <c r="Q52" s="3">
        <f>'Stage 1 Inputs'!AF52</f>
        <v>74.486094762441866</v>
      </c>
      <c r="R52" s="3">
        <f>'Stage 1 Inputs'!AG52</f>
        <v>4.3106124604807023</v>
      </c>
      <c r="S52" s="3">
        <f>'Stage 1 Inputs'!AT52</f>
        <v>0</v>
      </c>
      <c r="T52" s="3">
        <f>'Stage 1 Inputs'!AU52</f>
        <v>1</v>
      </c>
      <c r="U52" s="3">
        <f>'Stage 1 Inputs'!AV52</f>
        <v>0</v>
      </c>
      <c r="V52" s="3">
        <f>'Stage 1 Inputs'!AS52</f>
        <v>0</v>
      </c>
      <c r="W52" s="3" t="str">
        <f>'Stage 1 Inputs'!AX52</f>
        <v>Historical official/source data</v>
      </c>
      <c r="X52" s="3" t="str">
        <f>'Stage 1 Inputs'!AY52</f>
        <v>No special note</v>
      </c>
    </row>
    <row r="53" spans="1:24" ht="19.95" customHeight="1" x14ac:dyDescent="0.3">
      <c r="A53" s="3" t="str">
        <f>'Stage 1 Inputs'!A53</f>
        <v>2014Q4</v>
      </c>
      <c r="B53" s="3" t="str">
        <f>'Stage 1 Inputs'!B53</f>
        <v>Dec 2014</v>
      </c>
      <c r="C53" s="3">
        <f>'Stage 1 Inputs'!G53</f>
        <v>60828000000</v>
      </c>
      <c r="D53" s="3">
        <f>'Stage 1 Inputs'!E53</f>
        <v>1106</v>
      </c>
      <c r="E53" s="3">
        <f>'Stage 1 Inputs'!F53</f>
        <v>1.4113924050632911</v>
      </c>
      <c r="F53" s="3">
        <f>'Stage 1 Inputs'!J53</f>
        <v>85852177215.189865</v>
      </c>
      <c r="G53" s="3">
        <f>'Stage 1 Inputs'!L53</f>
        <v>25.175892784657776</v>
      </c>
      <c r="H53" s="3">
        <f>'Stage 1 Inputs'!Q53</f>
        <v>132.30000003944352</v>
      </c>
      <c r="I53" s="3">
        <f>'Stage 1 Inputs'!D53</f>
        <v>1.3719262295081966</v>
      </c>
      <c r="J53" s="3">
        <f>'Stage 1 Inputs'!R53</f>
        <v>181.50584021804801</v>
      </c>
      <c r="K53" s="3">
        <f>'Stage 1 Inputs'!S53</f>
        <v>5.2012878306971269</v>
      </c>
      <c r="L53" s="3">
        <f>'Stage 1 Inputs'!AA53</f>
        <v>141826999.90000001</v>
      </c>
      <c r="M53" s="3">
        <f>'Stage 1 Inputs'!AB53</f>
        <v>2393327196</v>
      </c>
      <c r="N53" s="3">
        <f>'Stage 1 Inputs'!AC53</f>
        <v>59.259344120201114</v>
      </c>
      <c r="O53" s="3">
        <f>'Stage 1 Inputs'!AD53</f>
        <v>81.299448541956238</v>
      </c>
      <c r="P53" s="3">
        <f>'Stage 1 Inputs'!AE53</f>
        <v>4.3981392335289922</v>
      </c>
      <c r="Q53" s="3">
        <f>'Stage 1 Inputs'!AF53</f>
        <v>80.391988416381309</v>
      </c>
      <c r="R53" s="3">
        <f>'Stage 1 Inputs'!AG53</f>
        <v>4.3869145246574508</v>
      </c>
      <c r="S53" s="3">
        <f>'Stage 1 Inputs'!AT53</f>
        <v>0</v>
      </c>
      <c r="T53" s="3">
        <f>'Stage 1 Inputs'!AU53</f>
        <v>0</v>
      </c>
      <c r="U53" s="3">
        <f>'Stage 1 Inputs'!AV53</f>
        <v>1</v>
      </c>
      <c r="V53" s="3">
        <f>'Stage 1 Inputs'!AS53</f>
        <v>0</v>
      </c>
      <c r="W53" s="3" t="str">
        <f>'Stage 1 Inputs'!AX53</f>
        <v>Historical official/source data</v>
      </c>
      <c r="X53" s="3" t="str">
        <f>'Stage 1 Inputs'!AY53</f>
        <v>No special note</v>
      </c>
    </row>
    <row r="54" spans="1:24" ht="19.95" customHeight="1" x14ac:dyDescent="0.3">
      <c r="A54" s="3" t="str">
        <f>'Stage 1 Inputs'!A54</f>
        <v>2015Q1</v>
      </c>
      <c r="B54" s="3" t="str">
        <f>'Stage 1 Inputs'!B54</f>
        <v>Mar 2015</v>
      </c>
      <c r="C54" s="3">
        <f>'Stage 1 Inputs'!G54</f>
        <v>61674000000</v>
      </c>
      <c r="D54" s="3">
        <f>'Stage 1 Inputs'!E54</f>
        <v>1113</v>
      </c>
      <c r="E54" s="3">
        <f>'Stage 1 Inputs'!F54</f>
        <v>1.4025157232704402</v>
      </c>
      <c r="F54" s="3">
        <f>'Stage 1 Inputs'!J54</f>
        <v>86498754716.981125</v>
      </c>
      <c r="G54" s="3">
        <f>'Stage 1 Inputs'!L54</f>
        <v>25.183395854445138</v>
      </c>
      <c r="H54" s="3">
        <f>'Stage 1 Inputs'!Q54</f>
        <v>109.79999999213517</v>
      </c>
      <c r="I54" s="3">
        <f>'Stage 1 Inputs'!D54</f>
        <v>1.3733333333333333</v>
      </c>
      <c r="J54" s="3">
        <f>'Stage 1 Inputs'!R54</f>
        <v>150.79199998919896</v>
      </c>
      <c r="K54" s="3">
        <f>'Stage 1 Inputs'!S54</f>
        <v>5.0159014036971268</v>
      </c>
      <c r="L54" s="3">
        <f>'Stage 1 Inputs'!AA54</f>
        <v>134424063.30000001</v>
      </c>
      <c r="M54" s="3">
        <f>'Stage 1 Inputs'!AB54</f>
        <v>2266893548</v>
      </c>
      <c r="N54" s="3">
        <f>'Stage 1 Inputs'!AC54</f>
        <v>59.298798313047214</v>
      </c>
      <c r="O54" s="3">
        <f>'Stage 1 Inputs'!AD54</f>
        <v>81.437016349918167</v>
      </c>
      <c r="P54" s="3">
        <f>'Stage 1 Inputs'!AE54</f>
        <v>4.3998299159562162</v>
      </c>
      <c r="Q54" s="3">
        <f>'Stage 1 Inputs'!AF54</f>
        <v>81.299448541956238</v>
      </c>
      <c r="R54" s="3">
        <f>'Stage 1 Inputs'!AG54</f>
        <v>4.3981392335289922</v>
      </c>
      <c r="S54" s="3">
        <f>'Stage 1 Inputs'!AT54</f>
        <v>0</v>
      </c>
      <c r="T54" s="3">
        <f>'Stage 1 Inputs'!AU54</f>
        <v>0</v>
      </c>
      <c r="U54" s="3">
        <f>'Stage 1 Inputs'!AV54</f>
        <v>0</v>
      </c>
      <c r="V54" s="3">
        <f>'Stage 1 Inputs'!AS54</f>
        <v>0</v>
      </c>
      <c r="W54" s="3" t="str">
        <f>'Stage 1 Inputs'!AX54</f>
        <v>Historical official/source data</v>
      </c>
      <c r="X54" s="3" t="str">
        <f>'Stage 1 Inputs'!AY54</f>
        <v>No special note</v>
      </c>
    </row>
    <row r="55" spans="1:24" ht="19.95" customHeight="1" x14ac:dyDescent="0.3">
      <c r="A55" s="3" t="str">
        <f>'Stage 1 Inputs'!A55</f>
        <v>2015Q2</v>
      </c>
      <c r="B55" s="3" t="str">
        <f>'Stage 1 Inputs'!B55</f>
        <v>Jun 2015</v>
      </c>
      <c r="C55" s="3">
        <f>'Stage 1 Inputs'!G55</f>
        <v>62935000000</v>
      </c>
      <c r="D55" s="3">
        <f>'Stage 1 Inputs'!E55</f>
        <v>1126</v>
      </c>
      <c r="E55" s="3">
        <f>'Stage 1 Inputs'!F55</f>
        <v>1.3863232682060391</v>
      </c>
      <c r="F55" s="3">
        <f>'Stage 1 Inputs'!J55</f>
        <v>87248254884.547073</v>
      </c>
      <c r="G55" s="3">
        <f>'Stage 1 Inputs'!L55</f>
        <v>25.192023396505675</v>
      </c>
      <c r="H55" s="3">
        <f>'Stage 1 Inputs'!Q55</f>
        <v>121.60000000053482</v>
      </c>
      <c r="I55" s="3">
        <f>'Stage 1 Inputs'!D55</f>
        <v>1.3677221654749745</v>
      </c>
      <c r="J55" s="3">
        <f>'Stage 1 Inputs'!R55</f>
        <v>166.31501532248839</v>
      </c>
      <c r="K55" s="3">
        <f>'Stage 1 Inputs'!S55</f>
        <v>5.1138836726971268</v>
      </c>
      <c r="L55" s="3">
        <f>'Stage 1 Inputs'!AA55</f>
        <v>135545087</v>
      </c>
      <c r="M55" s="3">
        <f>'Stage 1 Inputs'!AB55</f>
        <v>2289906930</v>
      </c>
      <c r="N55" s="3">
        <f>'Stage 1 Inputs'!AC55</f>
        <v>59.192400016012876</v>
      </c>
      <c r="O55" s="3">
        <f>'Stage 1 Inputs'!AD55</f>
        <v>80.95875752956205</v>
      </c>
      <c r="P55" s="3">
        <f>'Stage 1 Inputs'!AE55</f>
        <v>4.3939398587015566</v>
      </c>
      <c r="Q55" s="3">
        <f>'Stage 1 Inputs'!AF55</f>
        <v>81.437016349918167</v>
      </c>
      <c r="R55" s="3">
        <f>'Stage 1 Inputs'!AG55</f>
        <v>4.3998299159562162</v>
      </c>
      <c r="S55" s="3">
        <f>'Stage 1 Inputs'!AT55</f>
        <v>1</v>
      </c>
      <c r="T55" s="3">
        <f>'Stage 1 Inputs'!AU55</f>
        <v>0</v>
      </c>
      <c r="U55" s="3">
        <f>'Stage 1 Inputs'!AV55</f>
        <v>0</v>
      </c>
      <c r="V55" s="3">
        <f>'Stage 1 Inputs'!AS55</f>
        <v>0</v>
      </c>
      <c r="W55" s="3" t="str">
        <f>'Stage 1 Inputs'!AX55</f>
        <v>Historical official/source data</v>
      </c>
      <c r="X55" s="3" t="str">
        <f>'Stage 1 Inputs'!AY55</f>
        <v>No special note</v>
      </c>
    </row>
    <row r="56" spans="1:24" ht="19.95" customHeight="1" x14ac:dyDescent="0.3">
      <c r="A56" s="3" t="str">
        <f>'Stage 1 Inputs'!A56</f>
        <v>2015Q3</v>
      </c>
      <c r="B56" s="3" t="str">
        <f>'Stage 1 Inputs'!B56</f>
        <v>Sep 2015</v>
      </c>
      <c r="C56" s="3">
        <f>'Stage 1 Inputs'!G56</f>
        <v>63542000000</v>
      </c>
      <c r="D56" s="3">
        <f>'Stage 1 Inputs'!E56</f>
        <v>1122</v>
      </c>
      <c r="E56" s="3">
        <f>'Stage 1 Inputs'!F56</f>
        <v>1.3912655971479502</v>
      </c>
      <c r="F56" s="3">
        <f>'Stage 1 Inputs'!J56</f>
        <v>88403798573.975052</v>
      </c>
      <c r="G56" s="3">
        <f>'Stage 1 Inputs'!L56</f>
        <v>25.205180775960649</v>
      </c>
      <c r="H56" s="3">
        <f>'Stage 1 Inputs'!Q56</f>
        <v>118.80000005130685</v>
      </c>
      <c r="I56" s="3">
        <f>'Stage 1 Inputs'!D56</f>
        <v>1.3635437881873727</v>
      </c>
      <c r="J56" s="3">
        <f>'Stage 1 Inputs'!R56</f>
        <v>161.98900210661901</v>
      </c>
      <c r="K56" s="3">
        <f>'Stage 1 Inputs'!S56</f>
        <v>5.087528444697127</v>
      </c>
      <c r="L56" s="3">
        <f>'Stage 1 Inputs'!AA56</f>
        <v>145757092.90000001</v>
      </c>
      <c r="M56" s="3">
        <f>'Stage 1 Inputs'!AB56</f>
        <v>2322193508</v>
      </c>
      <c r="N56" s="3">
        <f>'Stage 1 Inputs'!AC56</f>
        <v>62.766988365898058</v>
      </c>
      <c r="O56" s="3">
        <f>'Stage 1 Inputs'!AD56</f>
        <v>85.585537089549391</v>
      </c>
      <c r="P56" s="3">
        <f>'Stage 1 Inputs'!AE56</f>
        <v>4.4495163096382413</v>
      </c>
      <c r="Q56" s="3">
        <f>'Stage 1 Inputs'!AF56</f>
        <v>80.95875752956205</v>
      </c>
      <c r="R56" s="3">
        <f>'Stage 1 Inputs'!AG56</f>
        <v>4.3939398587015566</v>
      </c>
      <c r="S56" s="3">
        <f>'Stage 1 Inputs'!AT56</f>
        <v>0</v>
      </c>
      <c r="T56" s="3">
        <f>'Stage 1 Inputs'!AU56</f>
        <v>1</v>
      </c>
      <c r="U56" s="3">
        <f>'Stage 1 Inputs'!AV56</f>
        <v>0</v>
      </c>
      <c r="V56" s="3">
        <f>'Stage 1 Inputs'!AS56</f>
        <v>0</v>
      </c>
      <c r="W56" s="3" t="str">
        <f>'Stage 1 Inputs'!AX56</f>
        <v>Historical official/source data</v>
      </c>
      <c r="X56" s="3" t="str">
        <f>'Stage 1 Inputs'!AY56</f>
        <v>No special note</v>
      </c>
    </row>
    <row r="57" spans="1:24" ht="19.95" customHeight="1" x14ac:dyDescent="0.3">
      <c r="A57" s="3" t="str">
        <f>'Stage 1 Inputs'!A57</f>
        <v>2015Q4</v>
      </c>
      <c r="B57" s="3" t="str">
        <f>'Stage 1 Inputs'!B57</f>
        <v>Dec 2015</v>
      </c>
      <c r="C57" s="3">
        <f>'Stage 1 Inputs'!G57</f>
        <v>63719000000</v>
      </c>
      <c r="D57" s="3">
        <f>'Stage 1 Inputs'!E57</f>
        <v>1114</v>
      </c>
      <c r="E57" s="3">
        <f>'Stage 1 Inputs'!F57</f>
        <v>1.4012567324955116</v>
      </c>
      <c r="F57" s="3">
        <f>'Stage 1 Inputs'!J57</f>
        <v>89286677737.8815</v>
      </c>
      <c r="G57" s="3">
        <f>'Stage 1 Inputs'!L57</f>
        <v>25.215118128233552</v>
      </c>
      <c r="H57" s="3">
        <f>'Stage 1 Inputs'!Q57</f>
        <v>108.19999996065376</v>
      </c>
      <c r="I57" s="3">
        <f>'Stage 1 Inputs'!D57</f>
        <v>1.3705220061412486</v>
      </c>
      <c r="J57" s="3">
        <f>'Stage 1 Inputs'!R57</f>
        <v>148.29048101055821</v>
      </c>
      <c r="K57" s="3">
        <f>'Stage 1 Inputs'!S57</f>
        <v>4.9991730596971271</v>
      </c>
      <c r="L57" s="3">
        <f>'Stage 1 Inputs'!AA57</f>
        <v>156130163.59999999</v>
      </c>
      <c r="M57" s="3">
        <f>'Stage 1 Inputs'!AB57</f>
        <v>2471088077</v>
      </c>
      <c r="N57" s="3">
        <f>'Stage 1 Inputs'!AC57</f>
        <v>63.182759470697732</v>
      </c>
      <c r="O57" s="3">
        <f>'Stage 1 Inputs'!AD57</f>
        <v>86.593362263320628</v>
      </c>
      <c r="P57" s="3">
        <f>'Stage 1 Inputs'!AE57</f>
        <v>4.4612231644012095</v>
      </c>
      <c r="Q57" s="3">
        <f>'Stage 1 Inputs'!AF57</f>
        <v>85.585537089549391</v>
      </c>
      <c r="R57" s="3">
        <f>'Stage 1 Inputs'!AG57</f>
        <v>4.4495163096382413</v>
      </c>
      <c r="S57" s="3">
        <f>'Stage 1 Inputs'!AT57</f>
        <v>0</v>
      </c>
      <c r="T57" s="3">
        <f>'Stage 1 Inputs'!AU57</f>
        <v>0</v>
      </c>
      <c r="U57" s="3">
        <f>'Stage 1 Inputs'!AV57</f>
        <v>1</v>
      </c>
      <c r="V57" s="3">
        <f>'Stage 1 Inputs'!AS57</f>
        <v>0</v>
      </c>
      <c r="W57" s="3" t="str">
        <f>'Stage 1 Inputs'!AX57</f>
        <v>Historical official/source data</v>
      </c>
      <c r="X57" s="3" t="str">
        <f>'Stage 1 Inputs'!AY57</f>
        <v>No special note</v>
      </c>
    </row>
    <row r="58" spans="1:24" ht="19.95" customHeight="1" x14ac:dyDescent="0.3">
      <c r="A58" s="3" t="str">
        <f>'Stage 1 Inputs'!A58</f>
        <v>2016Q1</v>
      </c>
      <c r="B58" s="3" t="str">
        <f>'Stage 1 Inputs'!B58</f>
        <v>Mar 2016</v>
      </c>
      <c r="C58" s="3">
        <f>'Stage 1 Inputs'!G58</f>
        <v>65293000000</v>
      </c>
      <c r="D58" s="3">
        <f>'Stage 1 Inputs'!E58</f>
        <v>1130</v>
      </c>
      <c r="E58" s="3">
        <f>'Stage 1 Inputs'!F58</f>
        <v>1.3814159292035397</v>
      </c>
      <c r="F58" s="3">
        <f>'Stage 1 Inputs'!J58</f>
        <v>90196790265.486725</v>
      </c>
      <c r="G58" s="3">
        <f>'Stage 1 Inputs'!L58</f>
        <v>25.225259678742002</v>
      </c>
      <c r="H58" s="3">
        <f>'Stage 1 Inputs'!Q58</f>
        <v>88.999999982584939</v>
      </c>
      <c r="I58" s="3">
        <f>'Stage 1 Inputs'!D58</f>
        <v>1.3677221654749745</v>
      </c>
      <c r="J58" s="3">
        <f>'Stage 1 Inputs'!R58</f>
        <v>121.72727270345376</v>
      </c>
      <c r="K58" s="3">
        <f>'Stage 1 Inputs'!S58</f>
        <v>4.8017830726971269</v>
      </c>
      <c r="L58" s="3">
        <f>'Stage 1 Inputs'!AA58</f>
        <v>152201823.80000001</v>
      </c>
      <c r="M58" s="3">
        <f>'Stage 1 Inputs'!AB58</f>
        <v>2410306986</v>
      </c>
      <c r="N58" s="3">
        <f>'Stage 1 Inputs'!AC58</f>
        <v>63.146240161127757</v>
      </c>
      <c r="O58" s="3">
        <f>'Stage 1 Inputs'!AD58</f>
        <v>86.366512334780452</v>
      </c>
      <c r="P58" s="3">
        <f>'Stage 1 Inputs'!AE58</f>
        <v>4.4586000119602698</v>
      </c>
      <c r="Q58" s="3">
        <f>'Stage 1 Inputs'!AF58</f>
        <v>86.593362263320628</v>
      </c>
      <c r="R58" s="3">
        <f>'Stage 1 Inputs'!AG58</f>
        <v>4.4612231644012095</v>
      </c>
      <c r="S58" s="3">
        <f>'Stage 1 Inputs'!AT58</f>
        <v>0</v>
      </c>
      <c r="T58" s="3">
        <f>'Stage 1 Inputs'!AU58</f>
        <v>0</v>
      </c>
      <c r="U58" s="3">
        <f>'Stage 1 Inputs'!AV58</f>
        <v>0</v>
      </c>
      <c r="V58" s="3">
        <f>'Stage 1 Inputs'!AS58</f>
        <v>0</v>
      </c>
      <c r="W58" s="3" t="str">
        <f>'Stage 1 Inputs'!AX58</f>
        <v>Historical official/source data</v>
      </c>
      <c r="X58" s="3" t="str">
        <f>'Stage 1 Inputs'!AY58</f>
        <v>No special note</v>
      </c>
    </row>
    <row r="59" spans="1:24" ht="19.95" customHeight="1" x14ac:dyDescent="0.3">
      <c r="A59" s="3" t="str">
        <f>'Stage 1 Inputs'!A59</f>
        <v>2016Q2</v>
      </c>
      <c r="B59" s="3" t="str">
        <f>'Stage 1 Inputs'!B59</f>
        <v>Jun 2016</v>
      </c>
      <c r="C59" s="3">
        <f>'Stage 1 Inputs'!G59</f>
        <v>66273000000</v>
      </c>
      <c r="D59" s="3">
        <f>'Stage 1 Inputs'!E59</f>
        <v>1134</v>
      </c>
      <c r="E59" s="3">
        <f>'Stage 1 Inputs'!F59</f>
        <v>1.3765432098765431</v>
      </c>
      <c r="F59" s="3">
        <f>'Stage 1 Inputs'!J59</f>
        <v>91227648148.148148</v>
      </c>
      <c r="G59" s="3">
        <f>'Stage 1 Inputs'!L59</f>
        <v>25.236623847602303</v>
      </c>
      <c r="H59" s="3">
        <f>'Stage 1 Inputs'!Q59</f>
        <v>100.89999997917</v>
      </c>
      <c r="I59" s="3">
        <f>'Stage 1 Inputs'!D59</f>
        <v>1.3621566632756867</v>
      </c>
      <c r="J59" s="3">
        <f>'Stage 1 Inputs'!R59</f>
        <v>137.44160729614308</v>
      </c>
      <c r="K59" s="3">
        <f>'Stage 1 Inputs'!S59</f>
        <v>4.9231991526971273</v>
      </c>
      <c r="L59" s="3">
        <f>'Stage 1 Inputs'!AA59</f>
        <v>155508804.40000001</v>
      </c>
      <c r="M59" s="3">
        <f>'Stage 1 Inputs'!AB59</f>
        <v>2465886457</v>
      </c>
      <c r="N59" s="3">
        <f>'Stage 1 Inputs'!AC59</f>
        <v>63.064057129861602</v>
      </c>
      <c r="O59" s="3">
        <f>'Stage 1 Inputs'!AD59</f>
        <v>85.903125632639558</v>
      </c>
      <c r="P59" s="3">
        <f>'Stage 1 Inputs'!AE59</f>
        <v>4.4532202152041203</v>
      </c>
      <c r="Q59" s="3">
        <f>'Stage 1 Inputs'!AF59</f>
        <v>86.366512334780452</v>
      </c>
      <c r="R59" s="3">
        <f>'Stage 1 Inputs'!AG59</f>
        <v>4.4586000119602698</v>
      </c>
      <c r="S59" s="3">
        <f>'Stage 1 Inputs'!AT59</f>
        <v>1</v>
      </c>
      <c r="T59" s="3">
        <f>'Stage 1 Inputs'!AU59</f>
        <v>0</v>
      </c>
      <c r="U59" s="3">
        <f>'Stage 1 Inputs'!AV59</f>
        <v>0</v>
      </c>
      <c r="V59" s="3">
        <f>'Stage 1 Inputs'!AS59</f>
        <v>0</v>
      </c>
      <c r="W59" s="3" t="str">
        <f>'Stage 1 Inputs'!AX59</f>
        <v>Historical official/source data</v>
      </c>
      <c r="X59" s="3" t="str">
        <f>'Stage 1 Inputs'!AY59</f>
        <v>No special note</v>
      </c>
    </row>
    <row r="60" spans="1:24" ht="19.95" customHeight="1" x14ac:dyDescent="0.3">
      <c r="A60" s="3" t="str">
        <f>'Stage 1 Inputs'!A60</f>
        <v>2016Q3</v>
      </c>
      <c r="B60" s="3" t="str">
        <f>'Stage 1 Inputs'!B60</f>
        <v>Sep 2016</v>
      </c>
      <c r="C60" s="3">
        <f>'Stage 1 Inputs'!G60</f>
        <v>67138000000</v>
      </c>
      <c r="D60" s="3">
        <f>'Stage 1 Inputs'!E60</f>
        <v>1139</v>
      </c>
      <c r="E60" s="3">
        <f>'Stage 1 Inputs'!F60</f>
        <v>1.3705004389815627</v>
      </c>
      <c r="F60" s="3">
        <f>'Stage 1 Inputs'!J60</f>
        <v>92012658472.344162</v>
      </c>
      <c r="G60" s="3">
        <f>'Stage 1 Inputs'!L60</f>
        <v>25.245191996621227</v>
      </c>
      <c r="H60" s="3">
        <f>'Stage 1 Inputs'!Q60</f>
        <v>102.79999995759763</v>
      </c>
      <c r="I60" s="3">
        <f>'Stage 1 Inputs'!D60</f>
        <v>1.3580121703853956</v>
      </c>
      <c r="J60" s="3">
        <f>'Stage 1 Inputs'!R60</f>
        <v>139.60365105803572</v>
      </c>
      <c r="K60" s="3">
        <f>'Stage 1 Inputs'!S60</f>
        <v>4.9388073436971274</v>
      </c>
      <c r="L60" s="3">
        <f>'Stage 1 Inputs'!AA60</f>
        <v>158672270</v>
      </c>
      <c r="M60" s="3">
        <f>'Stage 1 Inputs'!AB60</f>
        <v>2518564236</v>
      </c>
      <c r="N60" s="3">
        <f>'Stage 1 Inputs'!AC60</f>
        <v>63.001081223961279</v>
      </c>
      <c r="O60" s="3">
        <f>'Stage 1 Inputs'!AD60</f>
        <v>85.556235049578248</v>
      </c>
      <c r="P60" s="3">
        <f>'Stage 1 Inputs'!AE60</f>
        <v>4.4491738796178995</v>
      </c>
      <c r="Q60" s="3">
        <f>'Stage 1 Inputs'!AF60</f>
        <v>85.903125632639558</v>
      </c>
      <c r="R60" s="3">
        <f>'Stage 1 Inputs'!AG60</f>
        <v>4.4532202152041203</v>
      </c>
      <c r="S60" s="3">
        <f>'Stage 1 Inputs'!AT60</f>
        <v>0</v>
      </c>
      <c r="T60" s="3">
        <f>'Stage 1 Inputs'!AU60</f>
        <v>1</v>
      </c>
      <c r="U60" s="3">
        <f>'Stage 1 Inputs'!AV60</f>
        <v>0</v>
      </c>
      <c r="V60" s="3">
        <f>'Stage 1 Inputs'!AS60</f>
        <v>0</v>
      </c>
      <c r="W60" s="3" t="str">
        <f>'Stage 1 Inputs'!AX60</f>
        <v>Historical official/source data</v>
      </c>
      <c r="X60" s="3" t="str">
        <f>'Stage 1 Inputs'!AY60</f>
        <v>No special note</v>
      </c>
    </row>
    <row r="61" spans="1:24" ht="19.95" customHeight="1" x14ac:dyDescent="0.3">
      <c r="A61" s="3" t="str">
        <f>'Stage 1 Inputs'!A61</f>
        <v>2016Q4</v>
      </c>
      <c r="B61" s="3" t="str">
        <f>'Stage 1 Inputs'!B61</f>
        <v>Dec 2016</v>
      </c>
      <c r="C61" s="3">
        <f>'Stage 1 Inputs'!G61</f>
        <v>68058000000</v>
      </c>
      <c r="D61" s="3">
        <f>'Stage 1 Inputs'!E61</f>
        <v>1153</v>
      </c>
      <c r="E61" s="3">
        <f>'Stage 1 Inputs'!F61</f>
        <v>1.3538594969644406</v>
      </c>
      <c r="F61" s="3">
        <f>'Stage 1 Inputs'!J61</f>
        <v>92140969644.405899</v>
      </c>
      <c r="G61" s="3">
        <f>'Stage 1 Inputs'!L61</f>
        <v>25.246585519997744</v>
      </c>
      <c r="H61" s="3">
        <f>'Stage 1 Inputs'!Q61</f>
        <v>111.50000002613746</v>
      </c>
      <c r="I61" s="3">
        <f>'Stage 1 Inputs'!D61</f>
        <v>1.3525252525252525</v>
      </c>
      <c r="J61" s="3">
        <f>'Stage 1 Inputs'!R61</f>
        <v>150.80656569191723</v>
      </c>
      <c r="K61" s="3">
        <f>'Stage 1 Inputs'!S61</f>
        <v>5.0159979936971268</v>
      </c>
      <c r="L61" s="3">
        <f>'Stage 1 Inputs'!AA61</f>
        <v>167852702.40000001</v>
      </c>
      <c r="M61" s="3">
        <f>'Stage 1 Inputs'!AB61</f>
        <v>2662616466</v>
      </c>
      <c r="N61" s="3">
        <f>'Stage 1 Inputs'!AC61</f>
        <v>63.040510919757835</v>
      </c>
      <c r="O61" s="3">
        <f>'Stage 1 Inputs'!AD61</f>
        <v>85.263882951066407</v>
      </c>
      <c r="P61" s="3">
        <f>'Stage 1 Inputs'!AE61</f>
        <v>4.4457509527709078</v>
      </c>
      <c r="Q61" s="3">
        <f>'Stage 1 Inputs'!AF61</f>
        <v>85.556235049578248</v>
      </c>
      <c r="R61" s="3">
        <f>'Stage 1 Inputs'!AG61</f>
        <v>4.4491738796178995</v>
      </c>
      <c r="S61" s="3">
        <f>'Stage 1 Inputs'!AT61</f>
        <v>0</v>
      </c>
      <c r="T61" s="3">
        <f>'Stage 1 Inputs'!AU61</f>
        <v>0</v>
      </c>
      <c r="U61" s="3">
        <f>'Stage 1 Inputs'!AV61</f>
        <v>1</v>
      </c>
      <c r="V61" s="3">
        <f>'Stage 1 Inputs'!AS61</f>
        <v>0</v>
      </c>
      <c r="W61" s="3" t="str">
        <f>'Stage 1 Inputs'!AX61</f>
        <v>Historical official/source data</v>
      </c>
      <c r="X61" s="3" t="str">
        <f>'Stage 1 Inputs'!AY61</f>
        <v>No special note</v>
      </c>
    </row>
    <row r="62" spans="1:24" ht="19.95" customHeight="1" x14ac:dyDescent="0.3">
      <c r="A62" s="3" t="str">
        <f>'Stage 1 Inputs'!A62</f>
        <v>2017Q1</v>
      </c>
      <c r="B62" s="3" t="str">
        <f>'Stage 1 Inputs'!B62</f>
        <v>Mar 2017</v>
      </c>
      <c r="C62" s="3">
        <f>'Stage 1 Inputs'!G62</f>
        <v>70034000000</v>
      </c>
      <c r="D62" s="3">
        <f>'Stage 1 Inputs'!E62</f>
        <v>1169</v>
      </c>
      <c r="E62" s="3">
        <f>'Stage 1 Inputs'!F62</f>
        <v>1.3353293413173652</v>
      </c>
      <c r="F62" s="3">
        <f>'Stage 1 Inputs'!J62</f>
        <v>93518455089.820358</v>
      </c>
      <c r="G62" s="3">
        <f>'Stage 1 Inputs'!L62</f>
        <v>25.261424634403848</v>
      </c>
      <c r="H62" s="3">
        <f>'Stage 1 Inputs'!Q62</f>
        <v>118.90000003464222</v>
      </c>
      <c r="I62" s="3">
        <f>'Stage 1 Inputs'!D62</f>
        <v>1.339</v>
      </c>
      <c r="J62" s="3">
        <f>'Stage 1 Inputs'!R62</f>
        <v>159.20710004638593</v>
      </c>
      <c r="K62" s="3">
        <f>'Stage 1 Inputs'!S62</f>
        <v>5.0702058706971274</v>
      </c>
      <c r="L62" s="3">
        <f>'Stage 1 Inputs'!AA62</f>
        <v>164953915.09999999</v>
      </c>
      <c r="M62" s="3">
        <f>'Stage 1 Inputs'!AB62</f>
        <v>2615952777</v>
      </c>
      <c r="N62" s="3">
        <f>'Stage 1 Inputs'!AC62</f>
        <v>63.05691622200105</v>
      </c>
      <c r="O62" s="3">
        <f>'Stage 1 Inputs'!AD62</f>
        <v>84.433210821259408</v>
      </c>
      <c r="P62" s="3">
        <f>'Stage 1 Inputs'!AE62</f>
        <v>4.4359608173466718</v>
      </c>
      <c r="Q62" s="3">
        <f>'Stage 1 Inputs'!AF62</f>
        <v>85.263882951066407</v>
      </c>
      <c r="R62" s="3">
        <f>'Stage 1 Inputs'!AG62</f>
        <v>4.4457509527709078</v>
      </c>
      <c r="S62" s="3">
        <f>'Stage 1 Inputs'!AT62</f>
        <v>0</v>
      </c>
      <c r="T62" s="3">
        <f>'Stage 1 Inputs'!AU62</f>
        <v>0</v>
      </c>
      <c r="U62" s="3">
        <f>'Stage 1 Inputs'!AV62</f>
        <v>0</v>
      </c>
      <c r="V62" s="3">
        <f>'Stage 1 Inputs'!AS62</f>
        <v>0</v>
      </c>
      <c r="W62" s="3" t="str">
        <f>'Stage 1 Inputs'!AX62</f>
        <v>Historical official/source data</v>
      </c>
      <c r="X62" s="3" t="str">
        <f>'Stage 1 Inputs'!AY62</f>
        <v>No special note</v>
      </c>
    </row>
    <row r="63" spans="1:24" ht="19.95" customHeight="1" x14ac:dyDescent="0.3">
      <c r="A63" s="3" t="str">
        <f>'Stage 1 Inputs'!A63</f>
        <v>2017Q2</v>
      </c>
      <c r="B63" s="3" t="str">
        <f>'Stage 1 Inputs'!B63</f>
        <v>Jun 2017</v>
      </c>
      <c r="C63" s="3">
        <f>'Stage 1 Inputs'!G63</f>
        <v>70463000000</v>
      </c>
      <c r="D63" s="3">
        <f>'Stage 1 Inputs'!E63</f>
        <v>1164</v>
      </c>
      <c r="E63" s="3">
        <f>'Stage 1 Inputs'!F63</f>
        <v>1.3410652920962198</v>
      </c>
      <c r="F63" s="3">
        <f>'Stage 1 Inputs'!J63</f>
        <v>94495483676.975937</v>
      </c>
      <c r="G63" s="3">
        <f>'Stage 1 Inputs'!L63</f>
        <v>25.271817878526011</v>
      </c>
      <c r="H63" s="3">
        <f>'Stage 1 Inputs'!Q63</f>
        <v>115.39999999008631</v>
      </c>
      <c r="I63" s="3">
        <f>'Stage 1 Inputs'!D63</f>
        <v>1.339</v>
      </c>
      <c r="J63" s="3">
        <f>'Stage 1 Inputs'!R63</f>
        <v>154.52059998672559</v>
      </c>
      <c r="K63" s="3">
        <f>'Stage 1 Inputs'!S63</f>
        <v>5.0403274206971274</v>
      </c>
      <c r="L63" s="3">
        <f>'Stage 1 Inputs'!AA63</f>
        <v>165501666</v>
      </c>
      <c r="M63" s="3">
        <f>'Stage 1 Inputs'!AB63</f>
        <v>2628477360</v>
      </c>
      <c r="N63" s="3">
        <f>'Stage 1 Inputs'!AC63</f>
        <v>62.964843646208926</v>
      </c>
      <c r="O63" s="3">
        <f>'Stage 1 Inputs'!AD63</f>
        <v>84.309925642273754</v>
      </c>
      <c r="P63" s="3">
        <f>'Stage 1 Inputs'!AE63</f>
        <v>4.4344995999780066</v>
      </c>
      <c r="Q63" s="3">
        <f>'Stage 1 Inputs'!AF63</f>
        <v>84.433210821259408</v>
      </c>
      <c r="R63" s="3">
        <f>'Stage 1 Inputs'!AG63</f>
        <v>4.4359608173466718</v>
      </c>
      <c r="S63" s="3">
        <f>'Stage 1 Inputs'!AT63</f>
        <v>1</v>
      </c>
      <c r="T63" s="3">
        <f>'Stage 1 Inputs'!AU63</f>
        <v>0</v>
      </c>
      <c r="U63" s="3">
        <f>'Stage 1 Inputs'!AV63</f>
        <v>0</v>
      </c>
      <c r="V63" s="3">
        <f>'Stage 1 Inputs'!AS63</f>
        <v>0</v>
      </c>
      <c r="W63" s="3" t="str">
        <f>'Stage 1 Inputs'!AX63</f>
        <v>Historical official/source data</v>
      </c>
      <c r="X63" s="3" t="str">
        <f>'Stage 1 Inputs'!AY63</f>
        <v>No special note</v>
      </c>
    </row>
    <row r="64" spans="1:24" ht="19.95" customHeight="1" x14ac:dyDescent="0.3">
      <c r="A64" s="3" t="str">
        <f>'Stage 1 Inputs'!A64</f>
        <v>2017Q3</v>
      </c>
      <c r="B64" s="3" t="str">
        <f>'Stage 1 Inputs'!B64</f>
        <v>Sep 2017</v>
      </c>
      <c r="C64" s="3">
        <f>'Stage 1 Inputs'!G64</f>
        <v>72079000000</v>
      </c>
      <c r="D64" s="3">
        <f>'Stage 1 Inputs'!E64</f>
        <v>1178</v>
      </c>
      <c r="E64" s="3">
        <f>'Stage 1 Inputs'!F64</f>
        <v>1.3251273344651953</v>
      </c>
      <c r="F64" s="3">
        <f>'Stage 1 Inputs'!J64</f>
        <v>95513853140.916809</v>
      </c>
      <c r="G64" s="3">
        <f>'Stage 1 Inputs'!L64</f>
        <v>25.282537132980238</v>
      </c>
      <c r="H64" s="3">
        <f>'Stage 1 Inputs'!Q64</f>
        <v>112.200000046062</v>
      </c>
      <c r="I64" s="3">
        <f>'Stage 1 Inputs'!D64</f>
        <v>1.3323383084577114</v>
      </c>
      <c r="J64" s="3">
        <f>'Stage 1 Inputs'!R64</f>
        <v>149.48835827032539</v>
      </c>
      <c r="K64" s="3">
        <f>'Stage 1 Inputs'!S64</f>
        <v>5.007218518697127</v>
      </c>
      <c r="L64" s="3">
        <f>'Stage 1 Inputs'!AA64</f>
        <v>167419114.90000001</v>
      </c>
      <c r="M64" s="3">
        <f>'Stage 1 Inputs'!AB64</f>
        <v>2663515345</v>
      </c>
      <c r="N64" s="3">
        <f>'Stage 1 Inputs'!AC64</f>
        <v>62.856448420423874</v>
      </c>
      <c r="O64" s="3">
        <f>'Stage 1 Inputs'!AD64</f>
        <v>83.746054164126932</v>
      </c>
      <c r="P64" s="3">
        <f>'Stage 1 Inputs'!AE64</f>
        <v>4.4277890551370689</v>
      </c>
      <c r="Q64" s="3">
        <f>'Stage 1 Inputs'!AF64</f>
        <v>84.309925642273754</v>
      </c>
      <c r="R64" s="3">
        <f>'Stage 1 Inputs'!AG64</f>
        <v>4.4344995999780066</v>
      </c>
      <c r="S64" s="3">
        <f>'Stage 1 Inputs'!AT64</f>
        <v>0</v>
      </c>
      <c r="T64" s="3">
        <f>'Stage 1 Inputs'!AU64</f>
        <v>1</v>
      </c>
      <c r="U64" s="3">
        <f>'Stage 1 Inputs'!AV64</f>
        <v>0</v>
      </c>
      <c r="V64" s="3">
        <f>'Stage 1 Inputs'!AS64</f>
        <v>0</v>
      </c>
      <c r="W64" s="3" t="str">
        <f>'Stage 1 Inputs'!AX64</f>
        <v>Historical official/source data</v>
      </c>
      <c r="X64" s="3" t="str">
        <f>'Stage 1 Inputs'!AY64</f>
        <v>No special note</v>
      </c>
    </row>
    <row r="65" spans="1:24" ht="19.95" customHeight="1" x14ac:dyDescent="0.3">
      <c r="A65" s="3" t="str">
        <f>'Stage 1 Inputs'!A65</f>
        <v>2017Q4</v>
      </c>
      <c r="B65" s="3" t="str">
        <f>'Stage 1 Inputs'!B65</f>
        <v>Dec 2017</v>
      </c>
      <c r="C65" s="3">
        <f>'Stage 1 Inputs'!G65</f>
        <v>73799000000</v>
      </c>
      <c r="D65" s="3">
        <f>'Stage 1 Inputs'!E65</f>
        <v>1191</v>
      </c>
      <c r="E65" s="3">
        <f>'Stage 1 Inputs'!F65</f>
        <v>1.3106633081444166</v>
      </c>
      <c r="F65" s="3">
        <f>'Stage 1 Inputs'!J65</f>
        <v>96725641477.749802</v>
      </c>
      <c r="G65" s="3">
        <f>'Stage 1 Inputs'!L65</f>
        <v>25.295144369485666</v>
      </c>
      <c r="H65" s="3">
        <f>'Stage 1 Inputs'!Q65</f>
        <v>124.60000003891091</v>
      </c>
      <c r="I65" s="3">
        <f>'Stage 1 Inputs'!D65</f>
        <v>1.331013916500994</v>
      </c>
      <c r="J65" s="3">
        <f>'Stage 1 Inputs'!R65</f>
        <v>165.84433404781481</v>
      </c>
      <c r="K65" s="3">
        <f>'Stage 1 Inputs'!S65</f>
        <v>5.1110496016971272</v>
      </c>
      <c r="L65" s="3">
        <f>'Stage 1 Inputs'!AA65</f>
        <v>181314240.30000001</v>
      </c>
      <c r="M65" s="3">
        <f>'Stage 1 Inputs'!AB65</f>
        <v>2876639424</v>
      </c>
      <c r="N65" s="3">
        <f>'Stage 1 Inputs'!AC65</f>
        <v>63.029880904531474</v>
      </c>
      <c r="O65" s="3">
        <f>'Stage 1 Inputs'!AD65</f>
        <v>83.893648639331644</v>
      </c>
      <c r="P65" s="3">
        <f>'Stage 1 Inputs'!AE65</f>
        <v>4.4295499090502233</v>
      </c>
      <c r="Q65" s="3">
        <f>'Stage 1 Inputs'!AF65</f>
        <v>83.746054164126932</v>
      </c>
      <c r="R65" s="3">
        <f>'Stage 1 Inputs'!AG65</f>
        <v>4.4277890551370689</v>
      </c>
      <c r="S65" s="3">
        <f>'Stage 1 Inputs'!AT65</f>
        <v>0</v>
      </c>
      <c r="T65" s="3">
        <f>'Stage 1 Inputs'!AU65</f>
        <v>0</v>
      </c>
      <c r="U65" s="3">
        <f>'Stage 1 Inputs'!AV65</f>
        <v>1</v>
      </c>
      <c r="V65" s="3">
        <f>'Stage 1 Inputs'!AS65</f>
        <v>0</v>
      </c>
      <c r="W65" s="3" t="str">
        <f>'Stage 1 Inputs'!AX65</f>
        <v>Historical official/source data</v>
      </c>
      <c r="X65" s="3" t="str">
        <f>'Stage 1 Inputs'!AY65</f>
        <v>No special note</v>
      </c>
    </row>
    <row r="66" spans="1:24" ht="19.95" customHeight="1" x14ac:dyDescent="0.3">
      <c r="A66" s="3" t="str">
        <f>'Stage 1 Inputs'!A66</f>
        <v>2018Q1</v>
      </c>
      <c r="B66" s="3" t="str">
        <f>'Stage 1 Inputs'!B66</f>
        <v>Mar 2018</v>
      </c>
      <c r="C66" s="3">
        <f>'Stage 1 Inputs'!G66</f>
        <v>74376000000</v>
      </c>
      <c r="D66" s="3">
        <f>'Stage 1 Inputs'!E66</f>
        <v>1187</v>
      </c>
      <c r="E66" s="3">
        <f>'Stage 1 Inputs'!F66</f>
        <v>1.3150800336983994</v>
      </c>
      <c r="F66" s="3">
        <f>'Stage 1 Inputs'!J66</f>
        <v>97810392586.352158</v>
      </c>
      <c r="G66" s="3">
        <f>'Stage 1 Inputs'!L66</f>
        <v>25.306296672005733</v>
      </c>
      <c r="H66" s="3">
        <f>'Stage 1 Inputs'!Q66</f>
        <v>131.29999996293083</v>
      </c>
      <c r="I66" s="3">
        <f>'Stage 1 Inputs'!D66</f>
        <v>1.324431256181998</v>
      </c>
      <c r="J66" s="3">
        <f>'Stage 1 Inputs'!R66</f>
        <v>173.89782388760077</v>
      </c>
      <c r="K66" s="3">
        <f>'Stage 1 Inputs'!S66</f>
        <v>5.1584679076971272</v>
      </c>
      <c r="L66" s="3">
        <f>'Stage 1 Inputs'!AA66</f>
        <v>173822156.59999999</v>
      </c>
      <c r="M66" s="3">
        <f>'Stage 1 Inputs'!AB66</f>
        <v>2765640680</v>
      </c>
      <c r="N66" s="3">
        <f>'Stage 1 Inputs'!AC66</f>
        <v>62.850592941090227</v>
      </c>
      <c r="O66" s="3">
        <f>'Stage 1 Inputs'!AD66</f>
        <v>83.241289760751542</v>
      </c>
      <c r="P66" s="3">
        <f>'Stage 1 Inputs'!AE66</f>
        <v>4.4217434958882347</v>
      </c>
      <c r="Q66" s="3">
        <f>'Stage 1 Inputs'!AF66</f>
        <v>83.893648639331644</v>
      </c>
      <c r="R66" s="3">
        <f>'Stage 1 Inputs'!AG66</f>
        <v>4.4295499090502233</v>
      </c>
      <c r="S66" s="3">
        <f>'Stage 1 Inputs'!AT66</f>
        <v>0</v>
      </c>
      <c r="T66" s="3">
        <f>'Stage 1 Inputs'!AU66</f>
        <v>0</v>
      </c>
      <c r="U66" s="3">
        <f>'Stage 1 Inputs'!AV66</f>
        <v>0</v>
      </c>
      <c r="V66" s="3">
        <f>'Stage 1 Inputs'!AS66</f>
        <v>0</v>
      </c>
      <c r="W66" s="3" t="str">
        <f>'Stage 1 Inputs'!AX66</f>
        <v>Historical official/source data</v>
      </c>
      <c r="X66" s="3" t="str">
        <f>'Stage 1 Inputs'!AY66</f>
        <v>No special note</v>
      </c>
    </row>
    <row r="67" spans="1:24" ht="19.95" customHeight="1" x14ac:dyDescent="0.3">
      <c r="A67" s="3" t="str">
        <f>'Stage 1 Inputs'!A67</f>
        <v>2018Q2</v>
      </c>
      <c r="B67" s="3" t="str">
        <f>'Stage 1 Inputs'!B67</f>
        <v>Jun 2018</v>
      </c>
      <c r="C67" s="3">
        <f>'Stage 1 Inputs'!G67</f>
        <v>75236000000</v>
      </c>
      <c r="D67" s="3">
        <f>'Stage 1 Inputs'!E67</f>
        <v>1191</v>
      </c>
      <c r="E67" s="3">
        <f>'Stage 1 Inputs'!F67</f>
        <v>1.3106633081444166</v>
      </c>
      <c r="F67" s="3">
        <f>'Stage 1 Inputs'!J67</f>
        <v>98609064651.553329</v>
      </c>
      <c r="G67" s="3">
        <f>'Stage 1 Inputs'!L67</f>
        <v>25.3144290279151</v>
      </c>
      <c r="H67" s="3">
        <f>'Stage 1 Inputs'!Q67</f>
        <v>137.59999999760566</v>
      </c>
      <c r="I67" s="3">
        <f>'Stage 1 Inputs'!D67</f>
        <v>1.3192118226600986</v>
      </c>
      <c r="J67" s="3">
        <f>'Stage 1 Inputs'!R67</f>
        <v>181.52354679487092</v>
      </c>
      <c r="K67" s="3">
        <f>'Stage 1 Inputs'!S67</f>
        <v>5.2013853796971272</v>
      </c>
      <c r="L67" s="3">
        <f>'Stage 1 Inputs'!AA67</f>
        <v>176520113.30000001</v>
      </c>
      <c r="M67" s="3">
        <f>'Stage 1 Inputs'!AB67</f>
        <v>2806431711</v>
      </c>
      <c r="N67" s="3">
        <f>'Stage 1 Inputs'!AC67</f>
        <v>62.898417448790021</v>
      </c>
      <c r="O67" s="3">
        <f>'Stage 1 Inputs'!AD67</f>
        <v>82.97633592505403</v>
      </c>
      <c r="P67" s="3">
        <f>'Stage 1 Inputs'!AE67</f>
        <v>4.4185554578085053</v>
      </c>
      <c r="Q67" s="3">
        <f>'Stage 1 Inputs'!AF67</f>
        <v>83.241289760751542</v>
      </c>
      <c r="R67" s="3">
        <f>'Stage 1 Inputs'!AG67</f>
        <v>4.4217434958882347</v>
      </c>
      <c r="S67" s="3">
        <f>'Stage 1 Inputs'!AT67</f>
        <v>1</v>
      </c>
      <c r="T67" s="3">
        <f>'Stage 1 Inputs'!AU67</f>
        <v>0</v>
      </c>
      <c r="U67" s="3">
        <f>'Stage 1 Inputs'!AV67</f>
        <v>0</v>
      </c>
      <c r="V67" s="3">
        <f>'Stage 1 Inputs'!AS67</f>
        <v>0</v>
      </c>
      <c r="W67" s="3" t="str">
        <f>'Stage 1 Inputs'!AX67</f>
        <v>Historical official/source data</v>
      </c>
      <c r="X67" s="3" t="str">
        <f>'Stage 1 Inputs'!AY67</f>
        <v>No special note</v>
      </c>
    </row>
    <row r="68" spans="1:24" ht="19.95" customHeight="1" x14ac:dyDescent="0.3">
      <c r="A68" s="3" t="str">
        <f>'Stage 1 Inputs'!A68</f>
        <v>2018Q3</v>
      </c>
      <c r="B68" s="3" t="str">
        <f>'Stage 1 Inputs'!B68</f>
        <v>Sep 2018</v>
      </c>
      <c r="C68" s="3">
        <f>'Stage 1 Inputs'!G68</f>
        <v>75785000000</v>
      </c>
      <c r="D68" s="3">
        <f>'Stage 1 Inputs'!E68</f>
        <v>1199</v>
      </c>
      <c r="E68" s="3">
        <f>'Stage 1 Inputs'!F68</f>
        <v>1.3019182652210175</v>
      </c>
      <c r="F68" s="3">
        <f>'Stage 1 Inputs'!J68</f>
        <v>98665875729.774811</v>
      </c>
      <c r="G68" s="3">
        <f>'Stage 1 Inputs'!L68</f>
        <v>25.315004986317948</v>
      </c>
      <c r="H68" s="3">
        <f>'Stage 1 Inputs'!Q68</f>
        <v>150.29999997692579</v>
      </c>
      <c r="I68" s="3">
        <f>'Stage 1 Inputs'!D68</f>
        <v>1.3076171875</v>
      </c>
      <c r="J68" s="3">
        <f>'Stage 1 Inputs'!R68</f>
        <v>196.53486325107775</v>
      </c>
      <c r="K68" s="3">
        <f>'Stage 1 Inputs'!S68</f>
        <v>5.280839836697127</v>
      </c>
      <c r="L68" s="3">
        <f>'Stage 1 Inputs'!AA68</f>
        <v>186433481.30000001</v>
      </c>
      <c r="M68" s="3">
        <f>'Stage 1 Inputs'!AB68</f>
        <v>2969453691</v>
      </c>
      <c r="N68" s="3">
        <f>'Stage 1 Inputs'!AC68</f>
        <v>62.783764523775503</v>
      </c>
      <c r="O68" s="3">
        <f>'Stage 1 Inputs'!AD68</f>
        <v>82.097129587241596</v>
      </c>
      <c r="P68" s="3">
        <f>'Stage 1 Inputs'!AE68</f>
        <v>4.4079030534506138</v>
      </c>
      <c r="Q68" s="3">
        <f>'Stage 1 Inputs'!AF68</f>
        <v>82.97633592505403</v>
      </c>
      <c r="R68" s="3">
        <f>'Stage 1 Inputs'!AG68</f>
        <v>4.4185554578085053</v>
      </c>
      <c r="S68" s="3">
        <f>'Stage 1 Inputs'!AT68</f>
        <v>0</v>
      </c>
      <c r="T68" s="3">
        <f>'Stage 1 Inputs'!AU68</f>
        <v>1</v>
      </c>
      <c r="U68" s="3">
        <f>'Stage 1 Inputs'!AV68</f>
        <v>0</v>
      </c>
      <c r="V68" s="3">
        <f>'Stage 1 Inputs'!AS68</f>
        <v>0</v>
      </c>
      <c r="W68" s="3" t="str">
        <f>'Stage 1 Inputs'!AX68</f>
        <v>Historical official/source data</v>
      </c>
      <c r="X68" s="3" t="str">
        <f>'Stage 1 Inputs'!AY68</f>
        <v>No special note</v>
      </c>
    </row>
    <row r="69" spans="1:24" ht="19.95" customHeight="1" x14ac:dyDescent="0.3">
      <c r="A69" s="3" t="str">
        <f>'Stage 1 Inputs'!A69</f>
        <v>2018Q4</v>
      </c>
      <c r="B69" s="3" t="str">
        <f>'Stage 1 Inputs'!B69</f>
        <v>Dec 2018</v>
      </c>
      <c r="C69" s="3">
        <f>'Stage 1 Inputs'!G69</f>
        <v>76787000000</v>
      </c>
      <c r="D69" s="3">
        <f>'Stage 1 Inputs'!E69</f>
        <v>1195</v>
      </c>
      <c r="E69" s="3">
        <f>'Stage 1 Inputs'!F69</f>
        <v>1.306276150627615</v>
      </c>
      <c r="F69" s="3">
        <f>'Stage 1 Inputs'!J69</f>
        <v>100305026778.24268</v>
      </c>
      <c r="G69" s="3">
        <f>'Stage 1 Inputs'!L69</f>
        <v>25.331481648088602</v>
      </c>
      <c r="H69" s="3">
        <f>'Stage 1 Inputs'!Q69</f>
        <v>153.8999999590057</v>
      </c>
      <c r="I69" s="3">
        <f>'Stage 1 Inputs'!D69</f>
        <v>1.3063414634146342</v>
      </c>
      <c r="J69" s="3">
        <f>'Stage 1 Inputs'!R69</f>
        <v>201.04595116595965</v>
      </c>
      <c r="K69" s="3">
        <f>'Stage 1 Inputs'!S69</f>
        <v>5.3035334946971275</v>
      </c>
      <c r="L69" s="3">
        <f>'Stage 1 Inputs'!AA69</f>
        <v>203258231.59999999</v>
      </c>
      <c r="M69" s="3">
        <f>'Stage 1 Inputs'!AB69</f>
        <v>2969564969</v>
      </c>
      <c r="N69" s="3">
        <f>'Stage 1 Inputs'!AC69</f>
        <v>68.447140817547805</v>
      </c>
      <c r="O69" s="3">
        <f>'Stage 1 Inputs'!AD69</f>
        <v>89.41533810214294</v>
      </c>
      <c r="P69" s="3">
        <f>'Stage 1 Inputs'!AE69</f>
        <v>4.493292234601574</v>
      </c>
      <c r="Q69" s="3">
        <f>'Stage 1 Inputs'!AF69</f>
        <v>82.097129587241596</v>
      </c>
      <c r="R69" s="3">
        <f>'Stage 1 Inputs'!AG69</f>
        <v>4.4079030534506138</v>
      </c>
      <c r="S69" s="3">
        <f>'Stage 1 Inputs'!AT69</f>
        <v>0</v>
      </c>
      <c r="T69" s="3">
        <f>'Stage 1 Inputs'!AU69</f>
        <v>0</v>
      </c>
      <c r="U69" s="3">
        <f>'Stage 1 Inputs'!AV69</f>
        <v>1</v>
      </c>
      <c r="V69" s="3">
        <f>'Stage 1 Inputs'!AS69</f>
        <v>0</v>
      </c>
      <c r="W69" s="3" t="str">
        <f>'Stage 1 Inputs'!AX69</f>
        <v>Historical official/source data</v>
      </c>
      <c r="X69" s="3" t="str">
        <f>'Stage 1 Inputs'!AY69</f>
        <v>No special note</v>
      </c>
    </row>
    <row r="70" spans="1:24" ht="19.95" customHeight="1" x14ac:dyDescent="0.3">
      <c r="A70" s="3" t="str">
        <f>'Stage 1 Inputs'!A70</f>
        <v>2019Q1</v>
      </c>
      <c r="B70" s="3" t="str">
        <f>'Stage 1 Inputs'!B70</f>
        <v>Mar 2019</v>
      </c>
      <c r="C70" s="3">
        <f>'Stage 1 Inputs'!G70</f>
        <v>78271000000</v>
      </c>
      <c r="D70" s="3">
        <f>'Stage 1 Inputs'!E70</f>
        <v>1203</v>
      </c>
      <c r="E70" s="3">
        <f>'Stage 1 Inputs'!F70</f>
        <v>1.2975893599334996</v>
      </c>
      <c r="F70" s="3">
        <f>'Stage 1 Inputs'!J70</f>
        <v>101563616791.35495</v>
      </c>
      <c r="G70" s="3">
        <f>'Stage 1 Inputs'!L70</f>
        <v>25.343951205509505</v>
      </c>
      <c r="H70" s="3">
        <f>'Stage 1 Inputs'!Q70</f>
        <v>145.20000005023545</v>
      </c>
      <c r="I70" s="3">
        <f>'Stage 1 Inputs'!D70</f>
        <v>1.3050682261208577</v>
      </c>
      <c r="J70" s="3">
        <f>'Stage 1 Inputs'!R70</f>
        <v>189.49590649830921</v>
      </c>
      <c r="K70" s="3">
        <f>'Stage 1 Inputs'!S70</f>
        <v>5.2443674226971275</v>
      </c>
      <c r="L70" s="3">
        <f>'Stage 1 Inputs'!AA70</f>
        <v>198534303.19999999</v>
      </c>
      <c r="M70" s="3">
        <f>'Stage 1 Inputs'!AB70</f>
        <v>2882610412</v>
      </c>
      <c r="N70" s="3">
        <f>'Stage 1 Inputs'!AC70</f>
        <v>68.873095848652611</v>
      </c>
      <c r="O70" s="3">
        <f>'Stage 1 Inputs'!AD70</f>
        <v>89.884089026652873</v>
      </c>
      <c r="P70" s="3">
        <f>'Stage 1 Inputs'!AE70</f>
        <v>4.4985209405708222</v>
      </c>
      <c r="Q70" s="3">
        <f>'Stage 1 Inputs'!AF70</f>
        <v>89.41533810214294</v>
      </c>
      <c r="R70" s="3">
        <f>'Stage 1 Inputs'!AG70</f>
        <v>4.493292234601574</v>
      </c>
      <c r="S70" s="3">
        <f>'Stage 1 Inputs'!AT70</f>
        <v>0</v>
      </c>
      <c r="T70" s="3">
        <f>'Stage 1 Inputs'!AU70</f>
        <v>0</v>
      </c>
      <c r="U70" s="3">
        <f>'Stage 1 Inputs'!AV70</f>
        <v>0</v>
      </c>
      <c r="V70" s="3">
        <f>'Stage 1 Inputs'!AS70</f>
        <v>0</v>
      </c>
      <c r="W70" s="3" t="str">
        <f>'Stage 1 Inputs'!AX70</f>
        <v>Historical official/source data</v>
      </c>
      <c r="X70" s="3" t="str">
        <f>'Stage 1 Inputs'!AY70</f>
        <v>No special note</v>
      </c>
    </row>
    <row r="71" spans="1:24" ht="19.95" customHeight="1" x14ac:dyDescent="0.3">
      <c r="A71" s="3" t="str">
        <f>'Stage 1 Inputs'!A71</f>
        <v>2019Q2</v>
      </c>
      <c r="B71" s="3" t="str">
        <f>'Stage 1 Inputs'!B71</f>
        <v>Jun 2019</v>
      </c>
      <c r="C71" s="3">
        <f>'Stage 1 Inputs'!G71</f>
        <v>79331000000</v>
      </c>
      <c r="D71" s="3">
        <f>'Stage 1 Inputs'!E71</f>
        <v>1220</v>
      </c>
      <c r="E71" s="3">
        <f>'Stage 1 Inputs'!F71</f>
        <v>1.2795081967213116</v>
      </c>
      <c r="F71" s="3">
        <f>'Stage 1 Inputs'!J71</f>
        <v>101504664754.09837</v>
      </c>
      <c r="G71" s="3">
        <f>'Stage 1 Inputs'!L71</f>
        <v>25.343370592540666</v>
      </c>
      <c r="H71" s="3">
        <f>'Stage 1 Inputs'!Q71</f>
        <v>151.09999996506096</v>
      </c>
      <c r="I71" s="3">
        <f>'Stage 1 Inputs'!D71</f>
        <v>1.2974806201550388</v>
      </c>
      <c r="J71" s="3">
        <f>'Stage 1 Inputs'!R71</f>
        <v>196.04932166009365</v>
      </c>
      <c r="K71" s="3">
        <f>'Stage 1 Inputs'!S71</f>
        <v>5.2783662686971269</v>
      </c>
      <c r="L71" s="3">
        <f>'Stage 1 Inputs'!AA71</f>
        <v>211664856.5</v>
      </c>
      <c r="M71" s="3">
        <f>'Stage 1 Inputs'!AB71</f>
        <v>3076596136</v>
      </c>
      <c r="N71" s="3">
        <f>'Stage 1 Inputs'!AC71</f>
        <v>68.798388590318382</v>
      </c>
      <c r="O71" s="3">
        <f>'Stage 1 Inputs'!AD71</f>
        <v>89.264575893833637</v>
      </c>
      <c r="P71" s="3">
        <f>'Stage 1 Inputs'!AE71</f>
        <v>4.4916047226623226</v>
      </c>
      <c r="Q71" s="3">
        <f>'Stage 1 Inputs'!AF71</f>
        <v>89.884089026652873</v>
      </c>
      <c r="R71" s="3">
        <f>'Stage 1 Inputs'!AG71</f>
        <v>4.4985209405708222</v>
      </c>
      <c r="S71" s="3">
        <f>'Stage 1 Inputs'!AT71</f>
        <v>1</v>
      </c>
      <c r="T71" s="3">
        <f>'Stage 1 Inputs'!AU71</f>
        <v>0</v>
      </c>
      <c r="U71" s="3">
        <f>'Stage 1 Inputs'!AV71</f>
        <v>0</v>
      </c>
      <c r="V71" s="3">
        <f>'Stage 1 Inputs'!AS71</f>
        <v>0</v>
      </c>
      <c r="W71" s="3" t="str">
        <f>'Stage 1 Inputs'!AX71</f>
        <v>Historical official/source data</v>
      </c>
      <c r="X71" s="3" t="str">
        <f>'Stage 1 Inputs'!AY71</f>
        <v>No special note</v>
      </c>
    </row>
    <row r="72" spans="1:24" ht="19.95" customHeight="1" x14ac:dyDescent="0.3">
      <c r="A72" s="3" t="str">
        <f>'Stage 1 Inputs'!A72</f>
        <v>2019Q3</v>
      </c>
      <c r="B72" s="3" t="str">
        <f>'Stage 1 Inputs'!B72</f>
        <v>Sep 2019</v>
      </c>
      <c r="C72" s="3">
        <f>'Stage 1 Inputs'!G72</f>
        <v>80380000000</v>
      </c>
      <c r="D72" s="3">
        <f>'Stage 1 Inputs'!E72</f>
        <v>1226</v>
      </c>
      <c r="E72" s="3">
        <f>'Stage 1 Inputs'!F72</f>
        <v>1.2732463295269167</v>
      </c>
      <c r="F72" s="3">
        <f>'Stage 1 Inputs'!J72</f>
        <v>102343539967.37357</v>
      </c>
      <c r="G72" s="3">
        <f>'Stage 1 Inputs'!L72</f>
        <v>25.351601029986742</v>
      </c>
      <c r="H72" s="3">
        <f>'Stage 1 Inputs'!Q72</f>
        <v>142.19999996246511</v>
      </c>
      <c r="I72" s="3">
        <f>'Stage 1 Inputs'!D72</f>
        <v>1.2887391722810395</v>
      </c>
      <c r="J72" s="3">
        <f>'Stage 1 Inputs'!R72</f>
        <v>183.25871024999114</v>
      </c>
      <c r="K72" s="3">
        <f>'Stage 1 Inputs'!S72</f>
        <v>5.2108988716971272</v>
      </c>
      <c r="L72" s="3">
        <f>'Stage 1 Inputs'!AA72</f>
        <v>205780326.5</v>
      </c>
      <c r="M72" s="3">
        <f>'Stage 1 Inputs'!AB72</f>
        <v>2839219834</v>
      </c>
      <c r="N72" s="3">
        <f>'Stage 1 Inputs'!AC72</f>
        <v>72.477771546872063</v>
      </c>
      <c r="O72" s="3">
        <f>'Stage 1 Inputs'!AD72</f>
        <v>93.404943312090182</v>
      </c>
      <c r="P72" s="3">
        <f>'Stage 1 Inputs'!AE72</f>
        <v>4.5369442700878944</v>
      </c>
      <c r="Q72" s="3">
        <f>'Stage 1 Inputs'!AF72</f>
        <v>89.264575893833637</v>
      </c>
      <c r="R72" s="3">
        <f>'Stage 1 Inputs'!AG72</f>
        <v>4.4916047226623226</v>
      </c>
      <c r="S72" s="3">
        <f>'Stage 1 Inputs'!AT72</f>
        <v>0</v>
      </c>
      <c r="T72" s="3">
        <f>'Stage 1 Inputs'!AU72</f>
        <v>1</v>
      </c>
      <c r="U72" s="3">
        <f>'Stage 1 Inputs'!AV72</f>
        <v>0</v>
      </c>
      <c r="V72" s="3">
        <f>'Stage 1 Inputs'!AS72</f>
        <v>0</v>
      </c>
      <c r="W72" s="3" t="str">
        <f>'Stage 1 Inputs'!AX72</f>
        <v>Historical official/source data</v>
      </c>
      <c r="X72" s="3" t="str">
        <f>'Stage 1 Inputs'!AY72</f>
        <v>No special note</v>
      </c>
    </row>
    <row r="73" spans="1:24" ht="19.95" customHeight="1" x14ac:dyDescent="0.3">
      <c r="A73" s="3" t="str">
        <f>'Stage 1 Inputs'!A73</f>
        <v>2019Q4</v>
      </c>
      <c r="B73" s="3" t="str">
        <f>'Stage 1 Inputs'!B73</f>
        <v>Dec 2019</v>
      </c>
      <c r="C73" s="3">
        <f>'Stage 1 Inputs'!G73</f>
        <v>81861000000</v>
      </c>
      <c r="D73" s="3">
        <f>'Stage 1 Inputs'!E73</f>
        <v>1240</v>
      </c>
      <c r="E73" s="3">
        <f>'Stage 1 Inputs'!F73</f>
        <v>1.2588709677419354</v>
      </c>
      <c r="F73" s="3">
        <f>'Stage 1 Inputs'!J73</f>
        <v>103052436290.32257</v>
      </c>
      <c r="G73" s="3">
        <f>'Stage 1 Inputs'!L73</f>
        <v>25.358503785830901</v>
      </c>
      <c r="H73" s="3">
        <f>'Stage 1 Inputs'!Q73</f>
        <v>141.9999999783135</v>
      </c>
      <c r="I73" s="3">
        <f>'Stage 1 Inputs'!D73</f>
        <v>1.2825670498084292</v>
      </c>
      <c r="J73" s="3">
        <f>'Stage 1 Inputs'!R73</f>
        <v>182.12452104498254</v>
      </c>
      <c r="K73" s="3">
        <f>'Stage 1 Inputs'!S73</f>
        <v>5.2046906346971271</v>
      </c>
      <c r="L73" s="3">
        <f>'Stage 1 Inputs'!AA73</f>
        <v>226165740.59999999</v>
      </c>
      <c r="M73" s="3">
        <f>'Stage 1 Inputs'!AB73</f>
        <v>3102749444</v>
      </c>
      <c r="N73" s="3">
        <f>'Stage 1 Inputs'!AC73</f>
        <v>72.892041294972188</v>
      </c>
      <c r="O73" s="3">
        <f>'Stage 1 Inputs'!AD73</f>
        <v>93.488930358206673</v>
      </c>
      <c r="P73" s="3">
        <f>'Stage 1 Inputs'!AE73</f>
        <v>4.5378430373949303</v>
      </c>
      <c r="Q73" s="3">
        <f>'Stage 1 Inputs'!AF73</f>
        <v>93.404943312090182</v>
      </c>
      <c r="R73" s="3">
        <f>'Stage 1 Inputs'!AG73</f>
        <v>4.5369442700878944</v>
      </c>
      <c r="S73" s="3">
        <f>'Stage 1 Inputs'!AT73</f>
        <v>0</v>
      </c>
      <c r="T73" s="3">
        <f>'Stage 1 Inputs'!AU73</f>
        <v>0</v>
      </c>
      <c r="U73" s="3">
        <f>'Stage 1 Inputs'!AV73</f>
        <v>1</v>
      </c>
      <c r="V73" s="3">
        <f>'Stage 1 Inputs'!AS73</f>
        <v>0</v>
      </c>
      <c r="W73" s="3" t="str">
        <f>'Stage 1 Inputs'!AX73</f>
        <v>Historical official/source data</v>
      </c>
      <c r="X73" s="3" t="str">
        <f>'Stage 1 Inputs'!AY73</f>
        <v>No special note</v>
      </c>
    </row>
    <row r="74" spans="1:24" ht="19.95" customHeight="1" x14ac:dyDescent="0.3">
      <c r="A74" s="3" t="str">
        <f>'Stage 1 Inputs'!A74</f>
        <v>2020Q1</v>
      </c>
      <c r="B74" s="3" t="str">
        <f>'Stage 1 Inputs'!B74</f>
        <v>Mar 2020</v>
      </c>
      <c r="C74" s="3">
        <f>'Stage 1 Inputs'!G74</f>
        <v>81939000000</v>
      </c>
      <c r="D74" s="3">
        <f>'Stage 1 Inputs'!E74</f>
        <v>1251</v>
      </c>
      <c r="E74" s="3">
        <f>'Stage 1 Inputs'!F74</f>
        <v>1.2478017585931256</v>
      </c>
      <c r="F74" s="3">
        <f>'Stage 1 Inputs'!J74</f>
        <v>102243628297.36212</v>
      </c>
      <c r="G74" s="3">
        <f>'Stage 1 Inputs'!L74</f>
        <v>25.350624314987442</v>
      </c>
      <c r="H74" s="3">
        <f>'Stage 1 Inputs'!Q74</f>
        <v>138.19999999585957</v>
      </c>
      <c r="I74" s="3">
        <f>'Stage 1 Inputs'!D74</f>
        <v>1.2728136882129277</v>
      </c>
      <c r="J74" s="3">
        <f>'Stage 1 Inputs'!R74</f>
        <v>175.9028517057566</v>
      </c>
      <c r="K74" s="3">
        <f>'Stage 1 Inputs'!S74</f>
        <v>5.1699318636971272</v>
      </c>
      <c r="L74" s="3">
        <f>'Stage 1 Inputs'!AA74</f>
        <v>205000649.5</v>
      </c>
      <c r="M74" s="3">
        <f>'Stage 1 Inputs'!AB74</f>
        <v>2812678357</v>
      </c>
      <c r="N74" s="3">
        <f>'Stage 1 Inputs'!AC74</f>
        <v>72.884497791867489</v>
      </c>
      <c r="O74" s="3">
        <f>'Stage 1 Inputs'!AD74</f>
        <v>92.768386448013842</v>
      </c>
      <c r="P74" s="3">
        <f>'Stage 1 Inputs'!AE74</f>
        <v>4.5301059184775267</v>
      </c>
      <c r="Q74" s="3">
        <f>'Stage 1 Inputs'!AF74</f>
        <v>93.488930358206673</v>
      </c>
      <c r="R74" s="3">
        <f>'Stage 1 Inputs'!AG74</f>
        <v>4.5378430373949303</v>
      </c>
      <c r="S74" s="3">
        <f>'Stage 1 Inputs'!AT74</f>
        <v>0</v>
      </c>
      <c r="T74" s="3">
        <f>'Stage 1 Inputs'!AU74</f>
        <v>0</v>
      </c>
      <c r="U74" s="3">
        <f>'Stage 1 Inputs'!AV74</f>
        <v>0</v>
      </c>
      <c r="V74" s="3">
        <f>'Stage 1 Inputs'!AS74</f>
        <v>0</v>
      </c>
      <c r="W74" s="3" t="str">
        <f>'Stage 1 Inputs'!AX74</f>
        <v>Historical official/source data</v>
      </c>
      <c r="X74" s="3" t="str">
        <f>'Stage 1 Inputs'!AY74</f>
        <v>No special note</v>
      </c>
    </row>
    <row r="75" spans="1:24" ht="19.95" customHeight="1" x14ac:dyDescent="0.3">
      <c r="A75" s="3" t="str">
        <f>'Stage 1 Inputs'!A75</f>
        <v>2020Q2</v>
      </c>
      <c r="B75" s="3" t="str">
        <f>'Stage 1 Inputs'!B75</f>
        <v>Jun 2020</v>
      </c>
      <c r="C75" s="3">
        <f>'Stage 1 Inputs'!G75</f>
        <v>73696000000</v>
      </c>
      <c r="D75" s="3">
        <f>'Stage 1 Inputs'!E75</f>
        <v>1250</v>
      </c>
      <c r="E75" s="3">
        <f>'Stage 1 Inputs'!F75</f>
        <v>1.2487999999999999</v>
      </c>
      <c r="F75" s="3">
        <f>'Stage 1 Inputs'!J75</f>
        <v>92031564800</v>
      </c>
      <c r="G75" s="3">
        <f>'Stage 1 Inputs'!L75</f>
        <v>25.245397450803772</v>
      </c>
      <c r="H75" s="3">
        <f>'Stage 1 Inputs'!Q75</f>
        <v>116.20000005329874</v>
      </c>
      <c r="I75" s="3">
        <f>'Stage 1 Inputs'!D75</f>
        <v>1.2788920725883477</v>
      </c>
      <c r="J75" s="3">
        <f>'Stage 1 Inputs'!R75</f>
        <v>148.60725890292935</v>
      </c>
      <c r="K75" s="3">
        <f>'Stage 1 Inputs'!S75</f>
        <v>5.0013069796971275</v>
      </c>
      <c r="L75" s="3">
        <f>'Stage 1 Inputs'!AA75</f>
        <v>191574900.30000001</v>
      </c>
      <c r="M75" s="3">
        <f>'Stage 1 Inputs'!AB75</f>
        <v>2631289175</v>
      </c>
      <c r="N75" s="3">
        <f>'Stage 1 Inputs'!AC75</f>
        <v>72.806479090235314</v>
      </c>
      <c r="O75" s="3">
        <f>'Stage 1 Inputs'!AD75</f>
        <v>93.11162894157124</v>
      </c>
      <c r="P75" s="3">
        <f>'Stage 1 Inputs'!AE75</f>
        <v>4.5337990845553886</v>
      </c>
      <c r="Q75" s="3">
        <f>'Stage 1 Inputs'!AF75</f>
        <v>92.768386448013842</v>
      </c>
      <c r="R75" s="3">
        <f>'Stage 1 Inputs'!AG75</f>
        <v>4.5301059184775267</v>
      </c>
      <c r="S75" s="3">
        <f>'Stage 1 Inputs'!AT75</f>
        <v>1</v>
      </c>
      <c r="T75" s="3">
        <f>'Stage 1 Inputs'!AU75</f>
        <v>0</v>
      </c>
      <c r="U75" s="3">
        <f>'Stage 1 Inputs'!AV75</f>
        <v>0</v>
      </c>
      <c r="V75" s="3">
        <f>'Stage 1 Inputs'!AS75</f>
        <v>0</v>
      </c>
      <c r="W75" s="3" t="str">
        <f>'Stage 1 Inputs'!AX75</f>
        <v>Historical official/source data</v>
      </c>
      <c r="X75" s="3" t="str">
        <f>'Stage 1 Inputs'!AY75</f>
        <v>No special note</v>
      </c>
    </row>
    <row r="76" spans="1:24" ht="19.95" customHeight="1" x14ac:dyDescent="0.3">
      <c r="A76" s="3" t="str">
        <f>'Stage 1 Inputs'!A76</f>
        <v>2020Q3</v>
      </c>
      <c r="B76" s="3" t="str">
        <f>'Stage 1 Inputs'!B76</f>
        <v>Sep 2020</v>
      </c>
      <c r="C76" s="3">
        <f>'Stage 1 Inputs'!G76</f>
        <v>84045000000</v>
      </c>
      <c r="D76" s="3">
        <f>'Stage 1 Inputs'!E76</f>
        <v>1250</v>
      </c>
      <c r="E76" s="3">
        <f>'Stage 1 Inputs'!F76</f>
        <v>1.2487999999999999</v>
      </c>
      <c r="F76" s="3">
        <f>'Stage 1 Inputs'!J76</f>
        <v>104955396000</v>
      </c>
      <c r="G76" s="3">
        <f>'Stage 1 Inputs'!L76</f>
        <v>25.376801296850854</v>
      </c>
      <c r="H76" s="3">
        <f>'Stage 1 Inputs'!Q76</f>
        <v>114.3000000350327</v>
      </c>
      <c r="I76" s="3">
        <f>'Stage 1 Inputs'!D76</f>
        <v>1.2703984819734346</v>
      </c>
      <c r="J76" s="3">
        <f>'Stage 1 Inputs'!R76</f>
        <v>145.20654653406905</v>
      </c>
      <c r="K76" s="3">
        <f>'Stage 1 Inputs'!S76</f>
        <v>4.9781571876971276</v>
      </c>
      <c r="L76" s="3">
        <f>'Stage 1 Inputs'!AA76</f>
        <v>212541056.69999999</v>
      </c>
      <c r="M76" s="3">
        <f>'Stage 1 Inputs'!AB76</f>
        <v>2778045013</v>
      </c>
      <c r="N76" s="3">
        <f>'Stage 1 Inputs'!AC76</f>
        <v>76.507420040137418</v>
      </c>
      <c r="O76" s="3">
        <f>'Stage 1 Inputs'!AD76</f>
        <v>97.194910278694508</v>
      </c>
      <c r="P76" s="3">
        <f>'Stage 1 Inputs'!AE76</f>
        <v>4.5767183467074668</v>
      </c>
      <c r="Q76" s="3">
        <f>'Stage 1 Inputs'!AF76</f>
        <v>93.11162894157124</v>
      </c>
      <c r="R76" s="3">
        <f>'Stage 1 Inputs'!AG76</f>
        <v>4.5337990845553886</v>
      </c>
      <c r="S76" s="3">
        <f>'Stage 1 Inputs'!AT76</f>
        <v>0</v>
      </c>
      <c r="T76" s="3">
        <f>'Stage 1 Inputs'!AU76</f>
        <v>1</v>
      </c>
      <c r="U76" s="3">
        <f>'Stage 1 Inputs'!AV76</f>
        <v>0</v>
      </c>
      <c r="V76" s="3">
        <f>'Stage 1 Inputs'!AS76</f>
        <v>0</v>
      </c>
      <c r="W76" s="3" t="str">
        <f>'Stage 1 Inputs'!AX76</f>
        <v>Historical official/source data</v>
      </c>
      <c r="X76" s="3" t="str">
        <f>'Stage 1 Inputs'!AY76</f>
        <v>No special note</v>
      </c>
    </row>
    <row r="77" spans="1:24" ht="19.95" customHeight="1" x14ac:dyDescent="0.3">
      <c r="A77" s="3" t="str">
        <f>'Stage 1 Inputs'!A77</f>
        <v>2020Q4</v>
      </c>
      <c r="B77" s="3" t="str">
        <f>'Stage 1 Inputs'!B77</f>
        <v>Dec 2020</v>
      </c>
      <c r="C77" s="3">
        <f>'Stage 1 Inputs'!G77</f>
        <v>84539000000</v>
      </c>
      <c r="D77" s="3">
        <f>'Stage 1 Inputs'!E77</f>
        <v>1252</v>
      </c>
      <c r="E77" s="3">
        <f>'Stage 1 Inputs'!F77</f>
        <v>1.2468051118210863</v>
      </c>
      <c r="F77" s="3">
        <f>'Stage 1 Inputs'!J77</f>
        <v>105403657348.24281</v>
      </c>
      <c r="G77" s="3">
        <f>'Stage 1 Inputs'!L77</f>
        <v>25.381063172150352</v>
      </c>
      <c r="H77" s="3">
        <f>'Stage 1 Inputs'!Q77</f>
        <v>113.69999998304404</v>
      </c>
      <c r="I77" s="3">
        <f>'Stage 1 Inputs'!D77</f>
        <v>1.2644003777148254</v>
      </c>
      <c r="J77" s="3">
        <f>'Stage 1 Inputs'!R77</f>
        <v>143.76232292473651</v>
      </c>
      <c r="K77" s="3">
        <f>'Stage 1 Inputs'!S77</f>
        <v>4.9681614006971273</v>
      </c>
      <c r="L77" s="3">
        <f>'Stage 1 Inputs'!AA77</f>
        <v>238134190.30000001</v>
      </c>
      <c r="M77" s="3">
        <f>'Stage 1 Inputs'!AB77</f>
        <v>3098962585</v>
      </c>
      <c r="N77" s="3">
        <f>'Stage 1 Inputs'!AC77</f>
        <v>76.843196317583164</v>
      </c>
      <c r="O77" s="3">
        <f>'Stage 1 Inputs'!AD77</f>
        <v>97.16056644876663</v>
      </c>
      <c r="P77" s="3">
        <f>'Stage 1 Inputs'!AE77</f>
        <v>4.576364934178387</v>
      </c>
      <c r="Q77" s="3">
        <f>'Stage 1 Inputs'!AF77</f>
        <v>97.194910278694508</v>
      </c>
      <c r="R77" s="3">
        <f>'Stage 1 Inputs'!AG77</f>
        <v>4.5767183467074668</v>
      </c>
      <c r="S77" s="3">
        <f>'Stage 1 Inputs'!AT77</f>
        <v>0</v>
      </c>
      <c r="T77" s="3">
        <f>'Stage 1 Inputs'!AU77</f>
        <v>0</v>
      </c>
      <c r="U77" s="3">
        <f>'Stage 1 Inputs'!AV77</f>
        <v>1</v>
      </c>
      <c r="V77" s="3">
        <f>'Stage 1 Inputs'!AS77</f>
        <v>0</v>
      </c>
      <c r="W77" s="3" t="str">
        <f>'Stage 1 Inputs'!AX77</f>
        <v>Historical official/source data</v>
      </c>
      <c r="X77" s="3" t="str">
        <f>'Stage 1 Inputs'!AY77</f>
        <v>No special note</v>
      </c>
    </row>
    <row r="78" spans="1:24" ht="19.95" customHeight="1" x14ac:dyDescent="0.3">
      <c r="A78" s="3" t="str">
        <f>'Stage 1 Inputs'!A78</f>
        <v>2021Q1</v>
      </c>
      <c r="B78" s="3" t="str">
        <f>'Stage 1 Inputs'!B78</f>
        <v>Mar 2021</v>
      </c>
      <c r="C78" s="3">
        <f>'Stage 1 Inputs'!G78</f>
        <v>86716000000</v>
      </c>
      <c r="D78" s="3">
        <f>'Stage 1 Inputs'!E78</f>
        <v>1258</v>
      </c>
      <c r="E78" s="3">
        <f>'Stage 1 Inputs'!F78</f>
        <v>1.2408585055643879</v>
      </c>
      <c r="F78" s="3">
        <f>'Stage 1 Inputs'!J78</f>
        <v>107602286168.52147</v>
      </c>
      <c r="G78" s="3">
        <f>'Stage 1 Inputs'!L78</f>
        <v>25.401707731367726</v>
      </c>
      <c r="H78" s="3">
        <f>'Stage 1 Inputs'!Q78</f>
        <v>127.99999994962913</v>
      </c>
      <c r="I78" s="3">
        <f>'Stage 1 Inputs'!D78</f>
        <v>1.2537453183520599</v>
      </c>
      <c r="J78" s="3">
        <f>'Stage 1 Inputs'!R78</f>
        <v>160.47940068591143</v>
      </c>
      <c r="K78" s="3">
        <f>'Stage 1 Inputs'!S78</f>
        <v>5.0781655896971269</v>
      </c>
      <c r="L78" s="3">
        <f>'Stage 1 Inputs'!AA78</f>
        <v>235198247.09999999</v>
      </c>
      <c r="M78" s="3">
        <f>'Stage 1 Inputs'!AB78</f>
        <v>3057690721</v>
      </c>
      <c r="N78" s="3">
        <f>'Stage 1 Inputs'!AC78</f>
        <v>76.920221356815247</v>
      </c>
      <c r="O78" s="3">
        <f>'Stage 1 Inputs'!AD78</f>
        <v>96.438367412711258</v>
      </c>
      <c r="P78" s="3">
        <f>'Stage 1 Inputs'!AE78</f>
        <v>4.568904124641179</v>
      </c>
      <c r="Q78" s="3">
        <f>'Stage 1 Inputs'!AF78</f>
        <v>97.16056644876663</v>
      </c>
      <c r="R78" s="3">
        <f>'Stage 1 Inputs'!AG78</f>
        <v>4.576364934178387</v>
      </c>
      <c r="S78" s="3">
        <f>'Stage 1 Inputs'!AT78</f>
        <v>0</v>
      </c>
      <c r="T78" s="3">
        <f>'Stage 1 Inputs'!AU78</f>
        <v>0</v>
      </c>
      <c r="U78" s="3">
        <f>'Stage 1 Inputs'!AV78</f>
        <v>0</v>
      </c>
      <c r="V78" s="3">
        <f>'Stage 1 Inputs'!AS78</f>
        <v>1</v>
      </c>
      <c r="W78" s="3" t="str">
        <f>'Stage 1 Inputs'!AX78</f>
        <v>Historical official/source data</v>
      </c>
      <c r="X78" s="3" t="str">
        <f>'Stage 1 Inputs'!AY78</f>
        <v>No special note</v>
      </c>
    </row>
    <row r="79" spans="1:24" ht="19.95" customHeight="1" x14ac:dyDescent="0.3">
      <c r="A79" s="3" t="str">
        <f>'Stage 1 Inputs'!A79</f>
        <v>2021Q2</v>
      </c>
      <c r="B79" s="3" t="str">
        <f>'Stage 1 Inputs'!B79</f>
        <v>Jun 2021</v>
      </c>
      <c r="C79" s="3">
        <f>'Stage 1 Inputs'!G79</f>
        <v>88442000000</v>
      </c>
      <c r="D79" s="3">
        <f>'Stage 1 Inputs'!E79</f>
        <v>1273</v>
      </c>
      <c r="E79" s="3">
        <f>'Stage 1 Inputs'!F79</f>
        <v>1.2262372348782404</v>
      </c>
      <c r="F79" s="3">
        <f>'Stage 1 Inputs'!J79</f>
        <v>108450873527.10133</v>
      </c>
      <c r="G79" s="3">
        <f>'Stage 1 Inputs'!L79</f>
        <v>25.409563128839704</v>
      </c>
      <c r="H79" s="3">
        <f>'Stage 1 Inputs'!Q79</f>
        <v>139.60000001174171</v>
      </c>
      <c r="I79" s="3">
        <f>'Stage 1 Inputs'!D79</f>
        <v>1.2375231053604436</v>
      </c>
      <c r="J79" s="3">
        <f>'Stage 1 Inputs'!R79</f>
        <v>172.75822552284856</v>
      </c>
      <c r="K79" s="3">
        <f>'Stage 1 Inputs'!S79</f>
        <v>5.1518930766971271</v>
      </c>
      <c r="L79" s="3">
        <f>'Stage 1 Inputs'!AA79</f>
        <v>235527731.59999999</v>
      </c>
      <c r="M79" s="3">
        <f>'Stage 1 Inputs'!AB79</f>
        <v>3063464694</v>
      </c>
      <c r="N79" s="3">
        <f>'Stage 1 Inputs'!AC79</f>
        <v>76.882796156031034</v>
      </c>
      <c r="O79" s="3">
        <f>'Stage 1 Inputs'!AD79</f>
        <v>95.144236647805499</v>
      </c>
      <c r="P79" s="3">
        <f>'Stage 1 Inputs'!AE79</f>
        <v>4.5553940206812209</v>
      </c>
      <c r="Q79" s="3">
        <f>'Stage 1 Inputs'!AF79</f>
        <v>96.438367412711258</v>
      </c>
      <c r="R79" s="3">
        <f>'Stage 1 Inputs'!AG79</f>
        <v>4.568904124641179</v>
      </c>
      <c r="S79" s="3">
        <f>'Stage 1 Inputs'!AT79</f>
        <v>1</v>
      </c>
      <c r="T79" s="3">
        <f>'Stage 1 Inputs'!AU79</f>
        <v>0</v>
      </c>
      <c r="U79" s="3">
        <f>'Stage 1 Inputs'!AV79</f>
        <v>0</v>
      </c>
      <c r="V79" s="3">
        <f>'Stage 1 Inputs'!AS79</f>
        <v>1</v>
      </c>
      <c r="W79" s="3" t="str">
        <f>'Stage 1 Inputs'!AX79</f>
        <v>Historical official/source data</v>
      </c>
      <c r="X79" s="3" t="str">
        <f>'Stage 1 Inputs'!AY79</f>
        <v>No special note</v>
      </c>
    </row>
    <row r="80" spans="1:24" ht="19.95" customHeight="1" x14ac:dyDescent="0.3">
      <c r="A80" s="3" t="str">
        <f>'Stage 1 Inputs'!A80</f>
        <v>2021Q3</v>
      </c>
      <c r="B80" s="3" t="str">
        <f>'Stage 1 Inputs'!B80</f>
        <v>Sep 2021</v>
      </c>
      <c r="C80" s="3">
        <f>'Stage 1 Inputs'!G80</f>
        <v>86465000000</v>
      </c>
      <c r="D80" s="3">
        <f>'Stage 1 Inputs'!E80</f>
        <v>1302</v>
      </c>
      <c r="E80" s="3">
        <f>'Stage 1 Inputs'!F80</f>
        <v>1.1989247311827957</v>
      </c>
      <c r="F80" s="3">
        <f>'Stage 1 Inputs'!J80</f>
        <v>103665026881.72043</v>
      </c>
      <c r="G80" s="3">
        <f>'Stage 1 Inputs'!L80</f>
        <v>25.364430642471213</v>
      </c>
      <c r="H80" s="3">
        <f>'Stage 1 Inputs'!Q80</f>
        <v>152.19999994835089</v>
      </c>
      <c r="I80" s="3">
        <f>'Stage 1 Inputs'!D80</f>
        <v>1.2106690777576854</v>
      </c>
      <c r="J80" s="3">
        <f>'Stage 1 Inputs'!R80</f>
        <v>184.26383357218975</v>
      </c>
      <c r="K80" s="3">
        <f>'Stage 1 Inputs'!S80</f>
        <v>5.2163686086971275</v>
      </c>
      <c r="L80" s="3">
        <f>'Stage 1 Inputs'!AA80</f>
        <v>201332032.59999999</v>
      </c>
      <c r="M80" s="3">
        <f>'Stage 1 Inputs'!AB80</f>
        <v>2623042829</v>
      </c>
      <c r="N80" s="3">
        <f>'Stage 1 Inputs'!AC80</f>
        <v>76.755144969079723</v>
      </c>
      <c r="O80" s="3">
        <f>'Stage 1 Inputs'!AD80</f>
        <v>92.925080572873199</v>
      </c>
      <c r="P80" s="3">
        <f>'Stage 1 Inputs'!AE80</f>
        <v>4.5317935832571736</v>
      </c>
      <c r="Q80" s="3">
        <f>'Stage 1 Inputs'!AF80</f>
        <v>95.144236647805499</v>
      </c>
      <c r="R80" s="3">
        <f>'Stage 1 Inputs'!AG80</f>
        <v>4.5553940206812209</v>
      </c>
      <c r="S80" s="3">
        <f>'Stage 1 Inputs'!AT80</f>
        <v>0</v>
      </c>
      <c r="T80" s="3">
        <f>'Stage 1 Inputs'!AU80</f>
        <v>1</v>
      </c>
      <c r="U80" s="3">
        <f>'Stage 1 Inputs'!AV80</f>
        <v>0</v>
      </c>
      <c r="V80" s="3">
        <f>'Stage 1 Inputs'!AS80</f>
        <v>1</v>
      </c>
      <c r="W80" s="3" t="str">
        <f>'Stage 1 Inputs'!AX80</f>
        <v>Historical official/source data</v>
      </c>
      <c r="X80" s="3" t="str">
        <f>'Stage 1 Inputs'!AY80</f>
        <v>No special note</v>
      </c>
    </row>
    <row r="81" spans="1:24" ht="19.95" customHeight="1" x14ac:dyDescent="0.3">
      <c r="A81" s="3" t="str">
        <f>'Stage 1 Inputs'!A81</f>
        <v>2021Q4</v>
      </c>
      <c r="B81" s="3" t="str">
        <f>'Stage 1 Inputs'!B81</f>
        <v>Dec 2021</v>
      </c>
      <c r="C81" s="3">
        <f>'Stage 1 Inputs'!G81</f>
        <v>91173000000</v>
      </c>
      <c r="D81" s="3">
        <f>'Stage 1 Inputs'!E81</f>
        <v>1320</v>
      </c>
      <c r="E81" s="3">
        <f>'Stage 1 Inputs'!F81</f>
        <v>1.1825757575757576</v>
      </c>
      <c r="F81" s="3">
        <f>'Stage 1 Inputs'!J81</f>
        <v>107818979545.45454</v>
      </c>
      <c r="G81" s="3">
        <f>'Stage 1 Inputs'!L81</f>
        <v>25.403719542497903</v>
      </c>
      <c r="H81" s="3">
        <f>'Stage 1 Inputs'!Q81</f>
        <v>170.50000006223667</v>
      </c>
      <c r="I81" s="3">
        <f>'Stage 1 Inputs'!D81</f>
        <v>1.1934046345811051</v>
      </c>
      <c r="J81" s="3">
        <f>'Stage 1 Inputs'!R81</f>
        <v>203.47549027035194</v>
      </c>
      <c r="K81" s="3">
        <f>'Stage 1 Inputs'!S81</f>
        <v>5.3155455566971268</v>
      </c>
      <c r="L81" s="3">
        <f>'Stage 1 Inputs'!AA81</f>
        <v>223598889.30000001</v>
      </c>
      <c r="M81" s="3">
        <f>'Stage 1 Inputs'!AB81</f>
        <v>2915860475</v>
      </c>
      <c r="N81" s="3">
        <f>'Stage 1 Inputs'!AC81</f>
        <v>76.683672355756315</v>
      </c>
      <c r="O81" s="3">
        <f>'Stage 1 Inputs'!AD81</f>
        <v>91.514649986058558</v>
      </c>
      <c r="P81" s="3">
        <f>'Stage 1 Inputs'!AE81</f>
        <v>4.5164990686026281</v>
      </c>
      <c r="Q81" s="3">
        <f>'Stage 1 Inputs'!AF81</f>
        <v>92.925080572873199</v>
      </c>
      <c r="R81" s="3">
        <f>'Stage 1 Inputs'!AG81</f>
        <v>4.5317935832571736</v>
      </c>
      <c r="S81" s="3">
        <f>'Stage 1 Inputs'!AT81</f>
        <v>0</v>
      </c>
      <c r="T81" s="3">
        <f>'Stage 1 Inputs'!AU81</f>
        <v>0</v>
      </c>
      <c r="U81" s="3">
        <f>'Stage 1 Inputs'!AV81</f>
        <v>1</v>
      </c>
      <c r="V81" s="3">
        <f>'Stage 1 Inputs'!AS81</f>
        <v>1</v>
      </c>
      <c r="W81" s="3" t="str">
        <f>'Stage 1 Inputs'!AX81</f>
        <v>Historical official/source data</v>
      </c>
      <c r="X81" s="3" t="str">
        <f>'Stage 1 Inputs'!AY81</f>
        <v>No special note</v>
      </c>
    </row>
    <row r="82" spans="1:24" ht="19.95" customHeight="1" x14ac:dyDescent="0.3">
      <c r="A82" s="3" t="str">
        <f>'Stage 1 Inputs'!A82</f>
        <v>2022Q1</v>
      </c>
      <c r="B82" s="3" t="str">
        <f>'Stage 1 Inputs'!B82</f>
        <v>Mar 2022</v>
      </c>
      <c r="C82" s="3">
        <f>'Stage 1 Inputs'!G82</f>
        <v>92559000000</v>
      </c>
      <c r="D82" s="3">
        <f>'Stage 1 Inputs'!E82</f>
        <v>1339</v>
      </c>
      <c r="E82" s="3">
        <f>'Stage 1 Inputs'!F82</f>
        <v>1.1657953696788648</v>
      </c>
      <c r="F82" s="3">
        <f>'Stage 1 Inputs'!J82</f>
        <v>107904853622.10605</v>
      </c>
      <c r="G82" s="3">
        <f>'Stage 1 Inputs'!L82</f>
        <v>25.404515690794792</v>
      </c>
      <c r="H82" s="3">
        <f>'Stage 1 Inputs'!Q82</f>
        <v>198.40000007363369</v>
      </c>
      <c r="I82" s="3">
        <f>'Stage 1 Inputs'!D82</f>
        <v>1.1725043782837128</v>
      </c>
      <c r="J82" s="3">
        <f>'Stage 1 Inputs'!R82</f>
        <v>232.62486873782444</v>
      </c>
      <c r="K82" s="3">
        <f>'Stage 1 Inputs'!S82</f>
        <v>5.4494271506971268</v>
      </c>
      <c r="L82" s="3">
        <f>'Stage 1 Inputs'!AA82</f>
        <v>223660744.30000001</v>
      </c>
      <c r="M82" s="3">
        <f>'Stage 1 Inputs'!AB82</f>
        <v>2912022134</v>
      </c>
      <c r="N82" s="3">
        <f>'Stage 1 Inputs'!AC82</f>
        <v>76.805990479466601</v>
      </c>
      <c r="O82" s="3">
        <f>'Stage 1 Inputs'!AD82</f>
        <v>90.055360115591753</v>
      </c>
      <c r="P82" s="3">
        <f>'Stage 1 Inputs'!AE82</f>
        <v>4.5004245936216423</v>
      </c>
      <c r="Q82" s="3">
        <f>'Stage 1 Inputs'!AF82</f>
        <v>91.514649986058558</v>
      </c>
      <c r="R82" s="3">
        <f>'Stage 1 Inputs'!AG82</f>
        <v>4.5164990686026281</v>
      </c>
      <c r="S82" s="3">
        <f>'Stage 1 Inputs'!AT82</f>
        <v>0</v>
      </c>
      <c r="T82" s="3">
        <f>'Stage 1 Inputs'!AU82</f>
        <v>0</v>
      </c>
      <c r="U82" s="3">
        <f>'Stage 1 Inputs'!AV82</f>
        <v>0</v>
      </c>
      <c r="V82" s="3">
        <f>'Stage 1 Inputs'!AS82</f>
        <v>1</v>
      </c>
      <c r="W82" s="3" t="str">
        <f>'Stage 1 Inputs'!AX82</f>
        <v>Historical official/source data</v>
      </c>
      <c r="X82" s="3" t="str">
        <f>'Stage 1 Inputs'!AY82</f>
        <v>No special note</v>
      </c>
    </row>
    <row r="83" spans="1:24" ht="19.95" customHeight="1" x14ac:dyDescent="0.3">
      <c r="A83" s="3" t="str">
        <f>'Stage 1 Inputs'!A83</f>
        <v>2022Q2</v>
      </c>
      <c r="B83" s="3" t="str">
        <f>'Stage 1 Inputs'!B83</f>
        <v>Jun 2022</v>
      </c>
      <c r="C83" s="3">
        <f>'Stage 1 Inputs'!G83</f>
        <v>95107000000</v>
      </c>
      <c r="D83" s="3">
        <f>'Stage 1 Inputs'!E83</f>
        <v>1358</v>
      </c>
      <c r="E83" s="3">
        <f>'Stage 1 Inputs'!F83</f>
        <v>1.1494845360824741</v>
      </c>
      <c r="F83" s="3">
        <f>'Stage 1 Inputs'!J83</f>
        <v>109324025773.19586</v>
      </c>
      <c r="G83" s="3">
        <f>'Stage 1 Inputs'!L83</f>
        <v>25.417582022915461</v>
      </c>
      <c r="H83" s="3">
        <f>'Stage 1 Inputs'!Q83</f>
        <v>257.20000008754619</v>
      </c>
      <c r="I83" s="3">
        <f>'Stage 1 Inputs'!D83</f>
        <v>1.1533161068044788</v>
      </c>
      <c r="J83" s="3">
        <f>'Stage 1 Inputs'!R83</f>
        <v>296.63290277108035</v>
      </c>
      <c r="K83" s="3">
        <f>'Stage 1 Inputs'!S83</f>
        <v>5.692495356697127</v>
      </c>
      <c r="L83" s="3">
        <f>'Stage 1 Inputs'!AA83</f>
        <v>217349024.19999999</v>
      </c>
      <c r="M83" s="3">
        <f>'Stage 1 Inputs'!AB83</f>
        <v>4193282770</v>
      </c>
      <c r="N83" s="3">
        <f>'Stage 1 Inputs'!AC83</f>
        <v>51.832665746984667</v>
      </c>
      <c r="O83" s="3">
        <f>'Stage 1 Inputs'!AD83</f>
        <v>59.779448264610217</v>
      </c>
      <c r="P83" s="3">
        <f>'Stage 1 Inputs'!AE83</f>
        <v>4.090661927382123</v>
      </c>
      <c r="Q83" s="3">
        <f>'Stage 1 Inputs'!AF83</f>
        <v>90.055360115591753</v>
      </c>
      <c r="R83" s="3">
        <f>'Stage 1 Inputs'!AG83</f>
        <v>4.5004245936216423</v>
      </c>
      <c r="S83" s="3">
        <f>'Stage 1 Inputs'!AT83</f>
        <v>1</v>
      </c>
      <c r="T83" s="3">
        <f>'Stage 1 Inputs'!AU83</f>
        <v>0</v>
      </c>
      <c r="U83" s="3">
        <f>'Stage 1 Inputs'!AV83</f>
        <v>0</v>
      </c>
      <c r="V83" s="3">
        <f>'Stage 1 Inputs'!AS83</f>
        <v>1</v>
      </c>
      <c r="W83" s="3" t="str">
        <f>'Stage 1 Inputs'!AX83</f>
        <v>Historical official/source data</v>
      </c>
      <c r="X83" s="3" t="str">
        <f>'Stage 1 Inputs'!AY83</f>
        <v>No special note</v>
      </c>
    </row>
    <row r="84" spans="1:24" ht="19.95" customHeight="1" x14ac:dyDescent="0.3">
      <c r="A84" s="3" t="str">
        <f>'Stage 1 Inputs'!A84</f>
        <v>2022Q3</v>
      </c>
      <c r="B84" s="3" t="str">
        <f>'Stage 1 Inputs'!B84</f>
        <v>Sep 2022</v>
      </c>
      <c r="C84" s="3">
        <f>'Stage 1 Inputs'!G84</f>
        <v>97704000000</v>
      </c>
      <c r="D84" s="3">
        <f>'Stage 1 Inputs'!E84</f>
        <v>1364</v>
      </c>
      <c r="E84" s="3">
        <f>'Stage 1 Inputs'!F84</f>
        <v>1.1444281524926687</v>
      </c>
      <c r="F84" s="3">
        <f>'Stage 1 Inputs'!J84</f>
        <v>111815208211.14371</v>
      </c>
      <c r="G84" s="3">
        <f>'Stage 1 Inputs'!L84</f>
        <v>25.440113418927222</v>
      </c>
      <c r="H84" s="3">
        <f>'Stage 1 Inputs'!Q84</f>
        <v>263.59999998293802</v>
      </c>
      <c r="I84" s="3">
        <f>'Stage 1 Inputs'!D84</f>
        <v>1.1290050590219225</v>
      </c>
      <c r="J84" s="3">
        <f>'Stage 1 Inputs'!R84</f>
        <v>297.60573353891573</v>
      </c>
      <c r="K84" s="3">
        <f>'Stage 1 Inputs'!S84</f>
        <v>5.695769568697127</v>
      </c>
      <c r="L84" s="3">
        <f>'Stage 1 Inputs'!AA84</f>
        <v>143279019.90000001</v>
      </c>
      <c r="M84" s="3">
        <f>'Stage 1 Inputs'!AB84</f>
        <v>2905714827</v>
      </c>
      <c r="N84" s="3">
        <f>'Stage 1 Inputs'!AC84</f>
        <v>49.309388026879489</v>
      </c>
      <c r="O84" s="3">
        <f>'Stage 1 Inputs'!AD84</f>
        <v>55.670548539621954</v>
      </c>
      <c r="P84" s="3">
        <f>'Stage 1 Inputs'!AE84</f>
        <v>4.0194512555620321</v>
      </c>
      <c r="Q84" s="3">
        <f>'Stage 1 Inputs'!AF84</f>
        <v>59.779448264610217</v>
      </c>
      <c r="R84" s="3">
        <f>'Stage 1 Inputs'!AG84</f>
        <v>4.090661927382123</v>
      </c>
      <c r="S84" s="3">
        <f>'Stage 1 Inputs'!AT84</f>
        <v>0</v>
      </c>
      <c r="T84" s="3">
        <f>'Stage 1 Inputs'!AU84</f>
        <v>1</v>
      </c>
      <c r="U84" s="3">
        <f>'Stage 1 Inputs'!AV84</f>
        <v>0</v>
      </c>
      <c r="V84" s="3">
        <f>'Stage 1 Inputs'!AS84</f>
        <v>1</v>
      </c>
      <c r="W84" s="3" t="str">
        <f>'Stage 1 Inputs'!AX84</f>
        <v>Historical official/source data</v>
      </c>
      <c r="X84" s="3" t="str">
        <f>'Stage 1 Inputs'!AY84</f>
        <v>No special note</v>
      </c>
    </row>
    <row r="85" spans="1:24" ht="19.95" customHeight="1" x14ac:dyDescent="0.3">
      <c r="A85" s="3" t="str">
        <f>'Stage 1 Inputs'!A85</f>
        <v>2022Q4</v>
      </c>
      <c r="B85" s="3" t="str">
        <f>'Stage 1 Inputs'!B85</f>
        <v>Dec 2022</v>
      </c>
      <c r="C85" s="3">
        <f>'Stage 1 Inputs'!G85</f>
        <v>99981000000</v>
      </c>
      <c r="D85" s="3">
        <f>'Stage 1 Inputs'!E85</f>
        <v>1392</v>
      </c>
      <c r="E85" s="3">
        <f>'Stage 1 Inputs'!F85</f>
        <v>1.1214080459770115</v>
      </c>
      <c r="F85" s="3">
        <f>'Stage 1 Inputs'!J85</f>
        <v>112119497844.82759</v>
      </c>
      <c r="G85" s="3">
        <f>'Stage 1 Inputs'!L85</f>
        <v>25.442831084503283</v>
      </c>
      <c r="H85" s="3">
        <f>'Stage 1 Inputs'!Q85</f>
        <v>252.69999989550479</v>
      </c>
      <c r="I85" s="3">
        <f>'Stage 1 Inputs'!D85</f>
        <v>1.113050706566916</v>
      </c>
      <c r="J85" s="3">
        <f>'Stage 1 Inputs'!R85</f>
        <v>281.26791343315119</v>
      </c>
      <c r="K85" s="3">
        <f>'Stage 1 Inputs'!S85</f>
        <v>5.6393076436971272</v>
      </c>
      <c r="L85" s="3">
        <f>'Stage 1 Inputs'!AA85</f>
        <v>152687391.90000001</v>
      </c>
      <c r="M85" s="3">
        <f>'Stage 1 Inputs'!AB85</f>
        <v>3081592238</v>
      </c>
      <c r="N85" s="3">
        <f>'Stage 1 Inputs'!AC85</f>
        <v>49.54821407490838</v>
      </c>
      <c r="O85" s="3">
        <f>'Stage 1 Inputs'!AD85</f>
        <v>55.149674685205582</v>
      </c>
      <c r="P85" s="3">
        <f>'Stage 1 Inputs'!AE85</f>
        <v>4.0100508469551075</v>
      </c>
      <c r="Q85" s="3">
        <f>'Stage 1 Inputs'!AF85</f>
        <v>55.670548539621954</v>
      </c>
      <c r="R85" s="3">
        <f>'Stage 1 Inputs'!AG85</f>
        <v>4.0194512555620321</v>
      </c>
      <c r="S85" s="3">
        <f>'Stage 1 Inputs'!AT85</f>
        <v>0</v>
      </c>
      <c r="T85" s="3">
        <f>'Stage 1 Inputs'!AU85</f>
        <v>0</v>
      </c>
      <c r="U85" s="3">
        <f>'Stage 1 Inputs'!AV85</f>
        <v>1</v>
      </c>
      <c r="V85" s="3">
        <f>'Stage 1 Inputs'!AS85</f>
        <v>1</v>
      </c>
      <c r="W85" s="3" t="str">
        <f>'Stage 1 Inputs'!AX85</f>
        <v>Historical official/source data</v>
      </c>
      <c r="X85" s="3" t="str">
        <f>'Stage 1 Inputs'!AY85</f>
        <v>No special note</v>
      </c>
    </row>
    <row r="86" spans="1:24" ht="19.95" customHeight="1" x14ac:dyDescent="0.3">
      <c r="A86" s="3" t="str">
        <f>'Stage 1 Inputs'!A86</f>
        <v>2023Q1</v>
      </c>
      <c r="B86" s="3" t="str">
        <f>'Stage 1 Inputs'!B86</f>
        <v>Mar 2023</v>
      </c>
      <c r="C86" s="3">
        <f>'Stage 1 Inputs'!G86</f>
        <v>100996000000</v>
      </c>
      <c r="D86" s="3">
        <f>'Stage 1 Inputs'!E86</f>
        <v>1409</v>
      </c>
      <c r="E86" s="3">
        <f>'Stage 1 Inputs'!F86</f>
        <v>1.1078779276082329</v>
      </c>
      <c r="F86" s="3">
        <f>'Stage 1 Inputs'!J86</f>
        <v>111891239176.72108</v>
      </c>
      <c r="G86" s="3">
        <f>'Stage 1 Inputs'!L86</f>
        <v>25.440793157659769</v>
      </c>
      <c r="H86" s="3">
        <f>'Stage 1 Inputs'!Q86</f>
        <v>224.10000010508412</v>
      </c>
      <c r="I86" s="3">
        <f>'Stage 1 Inputs'!D86</f>
        <v>1.0993431855500821</v>
      </c>
      <c r="J86" s="3">
        <f>'Stage 1 Inputs'!R86</f>
        <v>246.36280799729693</v>
      </c>
      <c r="K86" s="3">
        <f>'Stage 1 Inputs'!S86</f>
        <v>5.5068052786971275</v>
      </c>
      <c r="L86" s="3">
        <f>'Stage 1 Inputs'!AA86</f>
        <v>191371543.90000001</v>
      </c>
      <c r="M86" s="3">
        <f>'Stage 1 Inputs'!AB86</f>
        <v>3576861558</v>
      </c>
      <c r="N86" s="3">
        <f>'Stage 1 Inputs'!AC86</f>
        <v>53.502642133850237</v>
      </c>
      <c r="O86" s="3">
        <f>'Stage 1 Inputs'!AD86</f>
        <v>58.817765038772961</v>
      </c>
      <c r="P86" s="3">
        <f>'Stage 1 Inputs'!AE86</f>
        <v>4.074443935783302</v>
      </c>
      <c r="Q86" s="3">
        <f>'Stage 1 Inputs'!AF86</f>
        <v>55.149674685205582</v>
      </c>
      <c r="R86" s="3">
        <f>'Stage 1 Inputs'!AG86</f>
        <v>4.0100508469551075</v>
      </c>
      <c r="S86" s="3">
        <f>'Stage 1 Inputs'!AT86</f>
        <v>0</v>
      </c>
      <c r="T86" s="3">
        <f>'Stage 1 Inputs'!AU86</f>
        <v>0</v>
      </c>
      <c r="U86" s="3">
        <f>'Stage 1 Inputs'!AV86</f>
        <v>0</v>
      </c>
      <c r="V86" s="3">
        <f>'Stage 1 Inputs'!AS86</f>
        <v>1</v>
      </c>
      <c r="W86" s="3" t="str">
        <f>'Stage 1 Inputs'!AX86</f>
        <v>Historical official/source data</v>
      </c>
      <c r="X86" s="3" t="str">
        <f>'Stage 1 Inputs'!AY86</f>
        <v>No special note</v>
      </c>
    </row>
    <row r="87" spans="1:24" ht="19.95" customHeight="1" x14ac:dyDescent="0.3">
      <c r="A87" s="3" t="str">
        <f>'Stage 1 Inputs'!A87</f>
        <v>2023Q2</v>
      </c>
      <c r="B87" s="3" t="str">
        <f>'Stage 1 Inputs'!B87</f>
        <v>Jun 2023</v>
      </c>
      <c r="C87" s="3">
        <f>'Stage 1 Inputs'!G87</f>
        <v>103162000000</v>
      </c>
      <c r="D87" s="3">
        <f>'Stage 1 Inputs'!E87</f>
        <v>1429</v>
      </c>
      <c r="E87" s="3">
        <f>'Stage 1 Inputs'!F87</f>
        <v>1.0923722883135059</v>
      </c>
      <c r="F87" s="3">
        <f>'Stage 1 Inputs'!J87</f>
        <v>112691310006.99789</v>
      </c>
      <c r="G87" s="3">
        <f>'Stage 1 Inputs'!L87</f>
        <v>25.447918147716628</v>
      </c>
      <c r="H87" s="3">
        <f>'Stage 1 Inputs'!Q87</f>
        <v>196.60000009384538</v>
      </c>
      <c r="I87" s="3">
        <f>'Stage 1 Inputs'!D87</f>
        <v>1.0877335499593825</v>
      </c>
      <c r="J87" s="3">
        <f>'Stage 1 Inputs'!R87</f>
        <v>213.84841602409338</v>
      </c>
      <c r="K87" s="3">
        <f>'Stage 1 Inputs'!S87</f>
        <v>5.3652674276971268</v>
      </c>
      <c r="L87" s="3">
        <f>'Stage 1 Inputs'!AA87</f>
        <v>197770887.80000001</v>
      </c>
      <c r="M87" s="3">
        <f>'Stage 1 Inputs'!AB87</f>
        <v>3989118992</v>
      </c>
      <c r="N87" s="3">
        <f>'Stage 1 Inputs'!AC87</f>
        <v>49.577585476046387</v>
      </c>
      <c r="O87" s="3">
        <f>'Stage 1 Inputs'!AD87</f>
        <v>53.927203048274663</v>
      </c>
      <c r="P87" s="3">
        <f>'Stage 1 Inputs'!AE87</f>
        <v>3.9876350453725644</v>
      </c>
      <c r="Q87" s="3">
        <f>'Stage 1 Inputs'!AF87</f>
        <v>58.817765038772961</v>
      </c>
      <c r="R87" s="3">
        <f>'Stage 1 Inputs'!AG87</f>
        <v>4.074443935783302</v>
      </c>
      <c r="S87" s="3">
        <f>'Stage 1 Inputs'!AT87</f>
        <v>1</v>
      </c>
      <c r="T87" s="3">
        <f>'Stage 1 Inputs'!AU87</f>
        <v>0</v>
      </c>
      <c r="U87" s="3">
        <f>'Stage 1 Inputs'!AV87</f>
        <v>0</v>
      </c>
      <c r="V87" s="3">
        <f>'Stage 1 Inputs'!AS87</f>
        <v>1</v>
      </c>
      <c r="W87" s="3" t="str">
        <f>'Stage 1 Inputs'!AX87</f>
        <v>Historical official/source data</v>
      </c>
      <c r="X87" s="3" t="str">
        <f>'Stage 1 Inputs'!AY87</f>
        <v>No special note</v>
      </c>
    </row>
    <row r="88" spans="1:24" ht="19.95" customHeight="1" x14ac:dyDescent="0.3">
      <c r="A88" s="3" t="str">
        <f>'Stage 1 Inputs'!A88</f>
        <v>2023Q3</v>
      </c>
      <c r="B88" s="3" t="str">
        <f>'Stage 1 Inputs'!B88</f>
        <v>Sep 2023</v>
      </c>
      <c r="C88" s="3">
        <f>'Stage 1 Inputs'!G88</f>
        <v>104531000000</v>
      </c>
      <c r="D88" s="3">
        <f>'Stage 1 Inputs'!E88</f>
        <v>1448</v>
      </c>
      <c r="E88" s="3">
        <f>'Stage 1 Inputs'!F88</f>
        <v>1.0780386740331491</v>
      </c>
      <c r="F88" s="3">
        <f>'Stage 1 Inputs'!J88</f>
        <v>112688460635.35912</v>
      </c>
      <c r="G88" s="3">
        <f>'Stage 1 Inputs'!L88</f>
        <v>25.447892862646626</v>
      </c>
      <c r="H88" s="3">
        <f>'Stage 1 Inputs'!Q88</f>
        <v>211.79999994381302</v>
      </c>
      <c r="I88" s="3">
        <f>'Stage 1 Inputs'!D88</f>
        <v>1.0686352753391859</v>
      </c>
      <c r="J88" s="3">
        <f>'Stage 1 Inputs'!R88</f>
        <v>226.3369512567962</v>
      </c>
      <c r="K88" s="3">
        <f>'Stage 1 Inputs'!S88</f>
        <v>5.4220248236971269</v>
      </c>
      <c r="L88" s="3">
        <f>'Stage 1 Inputs'!AA88</f>
        <v>158799181.40000001</v>
      </c>
      <c r="M88" s="3">
        <f>'Stage 1 Inputs'!AB88</f>
        <v>2110673004</v>
      </c>
      <c r="N88" s="3">
        <f>'Stage 1 Inputs'!AC88</f>
        <v>75.236278238767866</v>
      </c>
      <c r="O88" s="3">
        <f>'Stage 1 Inputs'!AD88</f>
        <v>80.400140911181296</v>
      </c>
      <c r="P88" s="3">
        <f>'Stage 1 Inputs'!AE88</f>
        <v>4.3870159288100181</v>
      </c>
      <c r="Q88" s="3">
        <f>'Stage 1 Inputs'!AF88</f>
        <v>53.927203048274663</v>
      </c>
      <c r="R88" s="3">
        <f>'Stage 1 Inputs'!AG88</f>
        <v>3.9876350453725644</v>
      </c>
      <c r="S88" s="3">
        <f>'Stage 1 Inputs'!AT88</f>
        <v>0</v>
      </c>
      <c r="T88" s="3">
        <f>'Stage 1 Inputs'!AU88</f>
        <v>1</v>
      </c>
      <c r="U88" s="3">
        <f>'Stage 1 Inputs'!AV88</f>
        <v>0</v>
      </c>
      <c r="V88" s="3">
        <f>'Stage 1 Inputs'!AS88</f>
        <v>1</v>
      </c>
      <c r="W88" s="3" t="str">
        <f>'Stage 1 Inputs'!AX88</f>
        <v>Historical official/source data</v>
      </c>
      <c r="X88" s="3" t="str">
        <f>'Stage 1 Inputs'!AY88</f>
        <v>No special note</v>
      </c>
    </row>
    <row r="89" spans="1:24" ht="19.95" customHeight="1" x14ac:dyDescent="0.3">
      <c r="A89" s="3" t="str">
        <f>'Stage 1 Inputs'!A89</f>
        <v>2023Q4</v>
      </c>
      <c r="B89" s="3" t="str">
        <f>'Stage 1 Inputs'!B89</f>
        <v>Dec 2023</v>
      </c>
      <c r="C89" s="3">
        <f>'Stage 1 Inputs'!G89</f>
        <v>103942000000</v>
      </c>
      <c r="D89" s="3">
        <f>'Stage 1 Inputs'!E89</f>
        <v>1435</v>
      </c>
      <c r="E89" s="3">
        <f>'Stage 1 Inputs'!F89</f>
        <v>1.0878048780487806</v>
      </c>
      <c r="F89" s="3">
        <f>'Stage 1 Inputs'!J89</f>
        <v>113068614634.14635</v>
      </c>
      <c r="G89" s="3">
        <f>'Stage 1 Inputs'!L89</f>
        <v>25.451260680533604</v>
      </c>
      <c r="H89" s="3">
        <f>'Stage 1 Inputs'!Q89</f>
        <v>222.39999992746974</v>
      </c>
      <c r="I89" s="3">
        <f>'Stage 1 Inputs'!D89</f>
        <v>1.0635424940428913</v>
      </c>
      <c r="J89" s="3">
        <f>'Stage 1 Inputs'!R89</f>
        <v>236.53185059800001</v>
      </c>
      <c r="K89" s="3">
        <f>'Stage 1 Inputs'!S89</f>
        <v>5.4660828736971272</v>
      </c>
      <c r="L89" s="3">
        <f>'Stage 1 Inputs'!AA89</f>
        <v>200687353.80000001</v>
      </c>
      <c r="M89" s="3">
        <f>'Stage 1 Inputs'!AB89</f>
        <v>2578310413</v>
      </c>
      <c r="N89" s="3">
        <f>'Stage 1 Inputs'!AC89</f>
        <v>77.836769687669104</v>
      </c>
      <c r="O89" s="3">
        <f>'Stage 1 Inputs'!AD89</f>
        <v>82.782712161865717</v>
      </c>
      <c r="P89" s="3">
        <f>'Stage 1 Inputs'!AE89</f>
        <v>4.4162192492758505</v>
      </c>
      <c r="Q89" s="3">
        <f>'Stage 1 Inputs'!AF89</f>
        <v>80.400140911181296</v>
      </c>
      <c r="R89" s="3">
        <f>'Stage 1 Inputs'!AG89</f>
        <v>4.3870159288100181</v>
      </c>
      <c r="S89" s="3">
        <f>'Stage 1 Inputs'!AT89</f>
        <v>0</v>
      </c>
      <c r="T89" s="3">
        <f>'Stage 1 Inputs'!AU89</f>
        <v>0</v>
      </c>
      <c r="U89" s="3">
        <f>'Stage 1 Inputs'!AV89</f>
        <v>1</v>
      </c>
      <c r="V89" s="3">
        <f>'Stage 1 Inputs'!AS89</f>
        <v>1</v>
      </c>
      <c r="W89" s="3" t="str">
        <f>'Stage 1 Inputs'!AX89</f>
        <v>Historical official/source data</v>
      </c>
      <c r="X89" s="3" t="str">
        <f>'Stage 1 Inputs'!AY89</f>
        <v>No special note</v>
      </c>
    </row>
    <row r="90" spans="1:24" ht="19.95" customHeight="1" x14ac:dyDescent="0.3">
      <c r="A90" s="3" t="str">
        <f>'Stage 1 Inputs'!A90</f>
        <v>2024Q1</v>
      </c>
      <c r="B90" s="3" t="str">
        <f>'Stage 1 Inputs'!B90</f>
        <v>Mar 2024</v>
      </c>
      <c r="C90" s="3">
        <f>'Stage 1 Inputs'!G90</f>
        <v>105841000000</v>
      </c>
      <c r="D90" s="3">
        <f>'Stage 1 Inputs'!E90</f>
        <v>1460</v>
      </c>
      <c r="E90" s="3">
        <f>'Stage 1 Inputs'!F90</f>
        <v>1.0691780821917809</v>
      </c>
      <c r="F90" s="3">
        <f>'Stage 1 Inputs'!J90</f>
        <v>113162877397.26028</v>
      </c>
      <c r="G90" s="3">
        <f>'Stage 1 Inputs'!L90</f>
        <v>25.45209401074526</v>
      </c>
      <c r="H90" s="3">
        <f>'Stage 1 Inputs'!Q90</f>
        <v>213.20000000754823</v>
      </c>
      <c r="I90" s="3">
        <f>'Stage 1 Inputs'!D90</f>
        <v>1.0568271507498026</v>
      </c>
      <c r="J90" s="3">
        <f>'Stage 1 Inputs'!R90</f>
        <v>225.31554854783508</v>
      </c>
      <c r="K90" s="3">
        <f>'Stage 1 Inputs'!S90</f>
        <v>5.4175018576971272</v>
      </c>
      <c r="L90" s="3">
        <f>'Stage 1 Inputs'!AA90</f>
        <v>219125576</v>
      </c>
      <c r="M90" s="3">
        <f>'Stage 1 Inputs'!AB90</f>
        <v>2812615108</v>
      </c>
      <c r="N90" s="3">
        <f>'Stage 1 Inputs'!AC90</f>
        <v>77.908127342676565</v>
      </c>
      <c r="O90" s="3">
        <f>'Stage 1 Inputs'!AD90</f>
        <v>82.335424239813662</v>
      </c>
      <c r="P90" s="3">
        <f>'Stage 1 Inputs'!AE90</f>
        <v>4.4108014432626712</v>
      </c>
      <c r="Q90" s="3">
        <f>'Stage 1 Inputs'!AF90</f>
        <v>82.782712161865717</v>
      </c>
      <c r="R90" s="3">
        <f>'Stage 1 Inputs'!AG90</f>
        <v>4.4162192492758505</v>
      </c>
      <c r="S90" s="3">
        <f>'Stage 1 Inputs'!AT90</f>
        <v>0</v>
      </c>
      <c r="T90" s="3">
        <f>'Stage 1 Inputs'!AU90</f>
        <v>0</v>
      </c>
      <c r="U90" s="3">
        <f>'Stage 1 Inputs'!AV90</f>
        <v>0</v>
      </c>
      <c r="V90" s="3">
        <f>'Stage 1 Inputs'!AS90</f>
        <v>1</v>
      </c>
      <c r="W90" s="3" t="str">
        <f>'Stage 1 Inputs'!AX90</f>
        <v>Historical official/source data</v>
      </c>
      <c r="X90" s="3" t="str">
        <f>'Stage 1 Inputs'!AY90</f>
        <v>No special note</v>
      </c>
    </row>
    <row r="91" spans="1:24" ht="19.95" customHeight="1" x14ac:dyDescent="0.3">
      <c r="A91" s="3" t="str">
        <f>'Stage 1 Inputs'!A91</f>
        <v>2024Q2</v>
      </c>
      <c r="B91" s="3" t="str">
        <f>'Stage 1 Inputs'!B91</f>
        <v>Jun 2024</v>
      </c>
      <c r="C91" s="3">
        <f>'Stage 1 Inputs'!G91</f>
        <v>106539000000</v>
      </c>
      <c r="D91" s="3">
        <f>'Stage 1 Inputs'!E91</f>
        <v>1475</v>
      </c>
      <c r="E91" s="3">
        <f>'Stage 1 Inputs'!F91</f>
        <v>1.0583050847457627</v>
      </c>
      <c r="F91" s="3">
        <f>'Stage 1 Inputs'!J91</f>
        <v>112750765423.72881</v>
      </c>
      <c r="G91" s="3">
        <f>'Stage 1 Inputs'!L91</f>
        <v>25.448445603986677</v>
      </c>
      <c r="H91" s="3">
        <f>'Stage 1 Inputs'!Q91</f>
        <v>209.30000009503638</v>
      </c>
      <c r="I91" s="3">
        <f>'Stage 1 Inputs'!D91</f>
        <v>1.0526729559748427</v>
      </c>
      <c r="J91" s="3">
        <f>'Stage 1 Inputs'!R91</f>
        <v>220.3244497855768</v>
      </c>
      <c r="K91" s="3">
        <f>'Stage 1 Inputs'!S91</f>
        <v>5.3951012316971267</v>
      </c>
      <c r="L91" s="3">
        <f>'Stage 1 Inputs'!AA91</f>
        <v>222191355.09999999</v>
      </c>
      <c r="M91" s="3">
        <f>'Stage 1 Inputs'!AB91</f>
        <v>2853952134</v>
      </c>
      <c r="N91" s="3">
        <f>'Stage 1 Inputs'!AC91</f>
        <v>77.853917889149841</v>
      </c>
      <c r="O91" s="3">
        <f>'Stage 1 Inputs'!AD91</f>
        <v>81.954713878594049</v>
      </c>
      <c r="P91" s="3">
        <f>'Stage 1 Inputs'!AE91</f>
        <v>4.4061668249338872</v>
      </c>
      <c r="Q91" s="3">
        <f>'Stage 1 Inputs'!AF91</f>
        <v>82.335424239813662</v>
      </c>
      <c r="R91" s="3">
        <f>'Stage 1 Inputs'!AG91</f>
        <v>4.4108014432626712</v>
      </c>
      <c r="S91" s="3">
        <f>'Stage 1 Inputs'!AT91</f>
        <v>1</v>
      </c>
      <c r="T91" s="3">
        <f>'Stage 1 Inputs'!AU91</f>
        <v>0</v>
      </c>
      <c r="U91" s="3">
        <f>'Stage 1 Inputs'!AV91</f>
        <v>0</v>
      </c>
      <c r="V91" s="3">
        <f>'Stage 1 Inputs'!AS91</f>
        <v>1</v>
      </c>
      <c r="W91" s="3" t="str">
        <f>'Stage 1 Inputs'!AX91</f>
        <v>Historical official/source data</v>
      </c>
      <c r="X91" s="3" t="str">
        <f>'Stage 1 Inputs'!AY91</f>
        <v>No special note</v>
      </c>
    </row>
    <row r="92" spans="1:24" ht="19.95" customHeight="1" x14ac:dyDescent="0.3">
      <c r="A92" s="3" t="str">
        <f>'Stage 1 Inputs'!A92</f>
        <v>2024Q3</v>
      </c>
      <c r="B92" s="3" t="str">
        <f>'Stage 1 Inputs'!B92</f>
        <v>Sep 2024</v>
      </c>
      <c r="C92" s="3">
        <f>'Stage 1 Inputs'!G92</f>
        <v>106858000000</v>
      </c>
      <c r="D92" s="3">
        <f>'Stage 1 Inputs'!E92</f>
        <v>1497</v>
      </c>
      <c r="E92" s="3">
        <f>'Stage 1 Inputs'!F92</f>
        <v>1.042752171008684</v>
      </c>
      <c r="F92" s="3">
        <f>'Stage 1 Inputs'!J92</f>
        <v>111426411489.64595</v>
      </c>
      <c r="G92" s="3">
        <f>'Stage 1 Inputs'!L92</f>
        <v>25.436630223319582</v>
      </c>
      <c r="H92" s="3">
        <f>'Stage 1 Inputs'!Q92</f>
        <v>191.20000005780295</v>
      </c>
      <c r="I92" s="3">
        <f>'Stage 1 Inputs'!D92</f>
        <v>1.04609375</v>
      </c>
      <c r="J92" s="3">
        <f>'Stage 1 Inputs'!R92</f>
        <v>200.0131250604673</v>
      </c>
      <c r="K92" s="3">
        <f>'Stage 1 Inputs'!S92</f>
        <v>5.2983829896971271</v>
      </c>
      <c r="L92" s="3">
        <f>'Stage 1 Inputs'!AA92</f>
        <v>229135898.80000001</v>
      </c>
      <c r="M92" s="3">
        <f>'Stage 1 Inputs'!AB92</f>
        <v>2946968636</v>
      </c>
      <c r="N92" s="3">
        <f>'Stage 1 Inputs'!AC92</f>
        <v>77.753083626642308</v>
      </c>
      <c r="O92" s="3">
        <f>'Stage 1 Inputs'!AD92</f>
        <v>81.33701482505785</v>
      </c>
      <c r="P92" s="3">
        <f>'Stage 1 Inputs'!AE92</f>
        <v>4.3986011998432115</v>
      </c>
      <c r="Q92" s="3">
        <f>'Stage 1 Inputs'!AF92</f>
        <v>81.954713878594049</v>
      </c>
      <c r="R92" s="3">
        <f>'Stage 1 Inputs'!AG92</f>
        <v>4.4061668249338872</v>
      </c>
      <c r="S92" s="3">
        <f>'Stage 1 Inputs'!AT92</f>
        <v>0</v>
      </c>
      <c r="T92" s="3">
        <f>'Stage 1 Inputs'!AU92</f>
        <v>1</v>
      </c>
      <c r="U92" s="3">
        <f>'Stage 1 Inputs'!AV92</f>
        <v>0</v>
      </c>
      <c r="V92" s="3">
        <f>'Stage 1 Inputs'!AS92</f>
        <v>1</v>
      </c>
      <c r="W92" s="3" t="str">
        <f>'Stage 1 Inputs'!AX92</f>
        <v>Historical official/source data</v>
      </c>
      <c r="X92" s="3" t="str">
        <f>'Stage 1 Inputs'!AY92</f>
        <v>No special note</v>
      </c>
    </row>
    <row r="93" spans="1:24" ht="19.95" customHeight="1" x14ac:dyDescent="0.3">
      <c r="A93" s="3" t="str">
        <f>'Stage 1 Inputs'!A93</f>
        <v>2024Q4</v>
      </c>
      <c r="B93" s="3" t="str">
        <f>'Stage 1 Inputs'!B93</f>
        <v>Dec 2024</v>
      </c>
      <c r="C93" s="3">
        <f>'Stage 1 Inputs'!G93</f>
        <v>108067000000</v>
      </c>
      <c r="D93" s="3">
        <f>'Stage 1 Inputs'!E93</f>
        <v>1512</v>
      </c>
      <c r="E93" s="3">
        <f>'Stage 1 Inputs'!F93</f>
        <v>1.0324074074074074</v>
      </c>
      <c r="F93" s="3">
        <f>'Stage 1 Inputs'!J93</f>
        <v>111569171296.2963</v>
      </c>
      <c r="G93" s="3">
        <f>'Stage 1 Inputs'!L93</f>
        <v>25.437910605866804</v>
      </c>
      <c r="H93" s="3">
        <f>'Stage 1 Inputs'!Q93</f>
        <v>183.70000006999001</v>
      </c>
      <c r="I93" s="3">
        <f>'Stage 1 Inputs'!D93</f>
        <v>1.0404040404040404</v>
      </c>
      <c r="J93" s="3">
        <f>'Stage 1 Inputs'!R93</f>
        <v>191.12222229504013</v>
      </c>
      <c r="K93" s="3">
        <f>'Stage 1 Inputs'!S93</f>
        <v>5.2529131306971273</v>
      </c>
      <c r="L93" s="3">
        <f>'Stage 1 Inputs'!AA93</f>
        <v>248478544.80000001</v>
      </c>
      <c r="M93" s="3">
        <f>'Stage 1 Inputs'!AB93</f>
        <v>3191938877</v>
      </c>
      <c r="N93" s="3">
        <f>'Stage 1 Inputs'!AC93</f>
        <v>77.845646290550818</v>
      </c>
      <c r="O93" s="3">
        <f>'Stage 1 Inputs'!AD93</f>
        <v>80.990924928552872</v>
      </c>
      <c r="P93" s="3">
        <f>'Stage 1 Inputs'!AE93</f>
        <v>4.3943371104766218</v>
      </c>
      <c r="Q93" s="3">
        <f>'Stage 1 Inputs'!AF93</f>
        <v>81.33701482505785</v>
      </c>
      <c r="R93" s="3">
        <f>'Stage 1 Inputs'!AG93</f>
        <v>4.3986011998432115</v>
      </c>
      <c r="S93" s="3">
        <f>'Stage 1 Inputs'!AT93</f>
        <v>0</v>
      </c>
      <c r="T93" s="3">
        <f>'Stage 1 Inputs'!AU93</f>
        <v>0</v>
      </c>
      <c r="U93" s="3">
        <f>'Stage 1 Inputs'!AV93</f>
        <v>1</v>
      </c>
      <c r="V93" s="3">
        <f>'Stage 1 Inputs'!AS93</f>
        <v>1</v>
      </c>
      <c r="W93" s="3" t="str">
        <f>'Stage 1 Inputs'!AX93</f>
        <v>Historical official/source data</v>
      </c>
      <c r="X93" s="3" t="str">
        <f>'Stage 1 Inputs'!AY93</f>
        <v>No special note</v>
      </c>
    </row>
    <row r="94" spans="1:24" ht="19.95" customHeight="1" x14ac:dyDescent="0.3">
      <c r="A94" s="3" t="str">
        <f>'Stage 1 Inputs'!A94</f>
        <v>2025Q1</v>
      </c>
      <c r="B94" s="3" t="str">
        <f>'Stage 1 Inputs'!B94</f>
        <v>Mar 2025</v>
      </c>
      <c r="C94" s="3">
        <f>'Stage 1 Inputs'!G94</f>
        <v>109906000000</v>
      </c>
      <c r="D94" s="3">
        <f>'Stage 1 Inputs'!E94</f>
        <v>1521</v>
      </c>
      <c r="E94" s="3">
        <f>'Stage 1 Inputs'!F94</f>
        <v>1.0262984878369494</v>
      </c>
      <c r="F94" s="3">
        <f>'Stage 1 Inputs'!J94</f>
        <v>112796361604.20776</v>
      </c>
      <c r="G94" s="3">
        <f>'Stage 1 Inputs'!L94</f>
        <v>25.44884992020831</v>
      </c>
      <c r="H94" s="3">
        <f>'Stage 1 Inputs'!Q94</f>
        <v>197.09999990497417</v>
      </c>
      <c r="I94" s="3">
        <f>'Stage 1 Inputs'!D94</f>
        <v>1.0307929176289454</v>
      </c>
      <c r="J94" s="3">
        <f>'Stage 1 Inputs'!R94</f>
        <v>203.16928396671318</v>
      </c>
      <c r="K94" s="3">
        <f>'Stage 1 Inputs'!S94</f>
        <v>5.3140395426971274</v>
      </c>
      <c r="L94" s="3">
        <f>'Stage 1 Inputs'!AA94</f>
        <v>243141467.40000001</v>
      </c>
      <c r="M94" s="3">
        <f>'Stage 1 Inputs'!AB94</f>
        <v>3118762564</v>
      </c>
      <c r="N94" s="3">
        <f>'Stage 1 Inputs'!AC94</f>
        <v>77.960877883616931</v>
      </c>
      <c r="O94" s="3">
        <f>'Stage 1 Inputs'!AD94</f>
        <v>80.361520774567424</v>
      </c>
      <c r="P94" s="3">
        <f>'Stage 1 Inputs'!AE94</f>
        <v>4.3865354642894125</v>
      </c>
      <c r="Q94" s="3">
        <f>'Stage 1 Inputs'!AF94</f>
        <v>80.990924928552872</v>
      </c>
      <c r="R94" s="3">
        <f>'Stage 1 Inputs'!AG94</f>
        <v>4.3943371104766218</v>
      </c>
      <c r="S94" s="3">
        <f>'Stage 1 Inputs'!AT94</f>
        <v>0</v>
      </c>
      <c r="T94" s="3">
        <f>'Stage 1 Inputs'!AU94</f>
        <v>0</v>
      </c>
      <c r="U94" s="3">
        <f>'Stage 1 Inputs'!AV94</f>
        <v>0</v>
      </c>
      <c r="V94" s="3">
        <f>'Stage 1 Inputs'!AS94</f>
        <v>1</v>
      </c>
      <c r="W94" s="3" t="str">
        <f>'Stage 1 Inputs'!AX94</f>
        <v>Historical official/source data</v>
      </c>
      <c r="X94" s="3" t="str">
        <f>'Stage 1 Inputs'!AY94</f>
        <v>No special note</v>
      </c>
    </row>
    <row r="95" spans="1:24" ht="19.95" customHeight="1" x14ac:dyDescent="0.3">
      <c r="A95" s="3" t="str">
        <f>'Stage 1 Inputs'!A95</f>
        <v>2025Q2</v>
      </c>
      <c r="B95" s="3" t="str">
        <f>'Stage 1 Inputs'!B95</f>
        <v>Jun 2025</v>
      </c>
      <c r="C95" s="3">
        <f>'Stage 1 Inputs'!G95</f>
        <v>110143000000</v>
      </c>
      <c r="D95" s="3">
        <f>'Stage 1 Inputs'!E95</f>
        <v>1535</v>
      </c>
      <c r="E95" s="3">
        <f>'Stage 1 Inputs'!F95</f>
        <v>1.0169381107491857</v>
      </c>
      <c r="F95" s="3">
        <f>'Stage 1 Inputs'!J95</f>
        <v>112008614332.24756</v>
      </c>
      <c r="G95" s="3">
        <f>'Stage 1 Inputs'!L95</f>
        <v>25.441841618964581</v>
      </c>
      <c r="H95" s="3">
        <f>'Stage 1 Inputs'!Q95</f>
        <v>183.90000004267498</v>
      </c>
      <c r="I95" s="3">
        <f>'Stage 1 Inputs'!D95</f>
        <v>1.0252679938744258</v>
      </c>
      <c r="J95" s="3">
        <f>'Stage 1 Inputs'!R95</f>
        <v>188.54678411726019</v>
      </c>
      <c r="K95" s="3">
        <f>'Stage 1 Inputs'!S95</f>
        <v>5.2393461676971267</v>
      </c>
      <c r="L95" s="3">
        <f>'Stage 1 Inputs'!AA95</f>
        <v>234864710.19999999</v>
      </c>
      <c r="M95" s="3">
        <f>'Stage 1 Inputs'!AB95</f>
        <v>3016313795</v>
      </c>
      <c r="N95" s="3">
        <f>'Stage 1 Inputs'!AC95</f>
        <v>77.864813199914423</v>
      </c>
      <c r="O95" s="3">
        <f>'Stage 1 Inputs'!AD95</f>
        <v>79.83230082288317</v>
      </c>
      <c r="P95" s="3">
        <f>'Stage 1 Inputs'!AE95</f>
        <v>4.3799281947741697</v>
      </c>
      <c r="Q95" s="3">
        <f>'Stage 1 Inputs'!AF95</f>
        <v>80.361520774567424</v>
      </c>
      <c r="R95" s="3">
        <f>'Stage 1 Inputs'!AG95</f>
        <v>4.3865354642894125</v>
      </c>
      <c r="S95" s="3">
        <f>'Stage 1 Inputs'!AT95</f>
        <v>1</v>
      </c>
      <c r="T95" s="3">
        <f>'Stage 1 Inputs'!AU95</f>
        <v>0</v>
      </c>
      <c r="U95" s="3">
        <f>'Stage 1 Inputs'!AV95</f>
        <v>0</v>
      </c>
      <c r="V95" s="3">
        <f>'Stage 1 Inputs'!AS95</f>
        <v>1</v>
      </c>
      <c r="W95" s="3" t="str">
        <f>'Stage 1 Inputs'!AX95</f>
        <v>Historical official/source data</v>
      </c>
      <c r="X95" s="3" t="str">
        <f>'Stage 1 Inputs'!AY95</f>
        <v>No special note</v>
      </c>
    </row>
    <row r="96" spans="1:24" ht="19.95" customHeight="1" x14ac:dyDescent="0.3">
      <c r="A96" s="3" t="str">
        <f>'Stage 1 Inputs'!A96</f>
        <v>2025Q3</v>
      </c>
      <c r="B96" s="3" t="str">
        <f>'Stage 1 Inputs'!B96</f>
        <v>Sep 2025</v>
      </c>
      <c r="C96" s="3">
        <f>'Stage 1 Inputs'!G96</f>
        <v>111669000000</v>
      </c>
      <c r="D96" s="3">
        <f>'Stage 1 Inputs'!E96</f>
        <v>1542</v>
      </c>
      <c r="E96" s="3">
        <f>'Stage 1 Inputs'!F96</f>
        <v>1.0123216601815823</v>
      </c>
      <c r="F96" s="3">
        <f>'Stage 1 Inputs'!J96</f>
        <v>113044947470.81711</v>
      </c>
      <c r="G96" s="3">
        <f>'Stage 1 Inputs'!L96</f>
        <v>25.451051341799605</v>
      </c>
      <c r="H96" s="3">
        <f>'Stage 1 Inputs'!Q96</f>
        <v>185.39999992426687</v>
      </c>
      <c r="I96" s="3">
        <f>'Stage 1 Inputs'!D96</f>
        <v>1.0151630022744504</v>
      </c>
      <c r="J96" s="3">
        <f>'Stage 1 Inputs'!R96</f>
        <v>188.21122054480165</v>
      </c>
      <c r="K96" s="3">
        <f>'Stage 1 Inputs'!S96</f>
        <v>5.2375648456971273</v>
      </c>
      <c r="L96" s="3">
        <f>'Stage 1 Inputs'!AA96</f>
        <v>243178366.90000001</v>
      </c>
      <c r="M96" s="3">
        <f>'Stage 1 Inputs'!AB96</f>
        <v>3122958703</v>
      </c>
      <c r="N96" s="3">
        <f>'Stage 1 Inputs'!AC96</f>
        <v>77.867941918795196</v>
      </c>
      <c r="O96" s="3">
        <f>'Stage 1 Inputs'!AD96</f>
        <v>79.048653699216658</v>
      </c>
      <c r="P96" s="3">
        <f>'Stage 1 Inputs'!AE96</f>
        <v>4.3700635325075003</v>
      </c>
      <c r="Q96" s="3">
        <f>'Stage 1 Inputs'!AF96</f>
        <v>79.83230082288317</v>
      </c>
      <c r="R96" s="3">
        <f>'Stage 1 Inputs'!AG96</f>
        <v>4.3799281947741697</v>
      </c>
      <c r="S96" s="3">
        <f>'Stage 1 Inputs'!AT96</f>
        <v>0</v>
      </c>
      <c r="T96" s="3">
        <f>'Stage 1 Inputs'!AU96</f>
        <v>1</v>
      </c>
      <c r="U96" s="3">
        <f>'Stage 1 Inputs'!AV96</f>
        <v>0</v>
      </c>
      <c r="V96" s="3">
        <f>'Stage 1 Inputs'!AS96</f>
        <v>1</v>
      </c>
      <c r="W96" s="3" t="str">
        <f>'Stage 1 Inputs'!AX96</f>
        <v>Historical official/source data</v>
      </c>
      <c r="X96" s="3" t="str">
        <f>'Stage 1 Inputs'!AY96</f>
        <v>No special note</v>
      </c>
    </row>
    <row r="97" spans="1:24" ht="19.95" customHeight="1" x14ac:dyDescent="0.3">
      <c r="A97" s="3" t="str">
        <f>'Stage 1 Inputs'!A97</f>
        <v>2025Q4</v>
      </c>
      <c r="B97" s="3" t="str">
        <f>'Stage 1 Inputs'!B97</f>
        <v>Dec 2025</v>
      </c>
      <c r="C97" s="3">
        <f>'Stage 1 Inputs'!G97</f>
        <v>113094000000</v>
      </c>
      <c r="D97" s="3">
        <f>'Stage 1 Inputs'!E97</f>
        <v>1561</v>
      </c>
      <c r="E97" s="3">
        <f>'Stage 1 Inputs'!F97</f>
        <v>1</v>
      </c>
      <c r="F97" s="3">
        <f>'Stage 1 Inputs'!J97</f>
        <v>113094000000</v>
      </c>
      <c r="G97" s="3">
        <f>'Stage 1 Inputs'!L97</f>
        <v>25.451485168263385</v>
      </c>
      <c r="H97" s="3">
        <f>'Stage 1 Inputs'!Q97</f>
        <v>192.8</v>
      </c>
      <c r="I97" s="3">
        <f>'Stage 1 Inputs'!D97</f>
        <v>1.0090429540316503</v>
      </c>
      <c r="J97" s="3">
        <f>'Stage 1 Inputs'!R97</f>
        <v>194.5434815373022</v>
      </c>
      <c r="K97" s="3">
        <f>'Stage 1 Inputs'!S97</f>
        <v>5.2706556935354101</v>
      </c>
      <c r="L97" s="3">
        <f>'Stage 1 Inputs'!AA97</f>
        <v>257740144.59999999</v>
      </c>
      <c r="M97" s="3">
        <f>'Stage 1 Inputs'!AB97</f>
        <v>3307965543</v>
      </c>
      <c r="N97" s="3">
        <f>'Stage 1 Inputs'!AC97</f>
        <v>77.915002816581634</v>
      </c>
      <c r="O97" s="3">
        <f>'Stage 1 Inputs'!AD97</f>
        <v>78.619584605427889</v>
      </c>
      <c r="P97" s="3">
        <f>'Stage 1 Inputs'!AE97</f>
        <v>4.3646208364059564</v>
      </c>
      <c r="Q97" s="3">
        <f>'Stage 1 Inputs'!AF97</f>
        <v>79.048653699216658</v>
      </c>
      <c r="R97" s="3">
        <f>'Stage 1 Inputs'!AG97</f>
        <v>4.3700635325075003</v>
      </c>
      <c r="S97" s="3">
        <f>'Stage 1 Inputs'!AT97</f>
        <v>0</v>
      </c>
      <c r="T97" s="3">
        <f>'Stage 1 Inputs'!AU97</f>
        <v>0</v>
      </c>
      <c r="U97" s="3">
        <f>'Stage 1 Inputs'!AV97</f>
        <v>1</v>
      </c>
      <c r="V97" s="3">
        <f>'Stage 1 Inputs'!AS97</f>
        <v>1</v>
      </c>
      <c r="W97" s="3" t="str">
        <f>'Stage 1 Inputs'!AX97</f>
        <v>Historical official/source data</v>
      </c>
      <c r="X97" s="3" t="str">
        <f>'Stage 1 Inputs'!AY97</f>
        <v>Latest full official quarter for GDP, population, labour and RUC/VKT inputs. Fuel prices refreshed from Stats NZ CPI detailed table.</v>
      </c>
    </row>
    <row r="98" spans="1:24" ht="19.95" customHeight="1" x14ac:dyDescent="0.3">
      <c r="A98" s="3" t="str">
        <f>'Stage 1 Inputs'!A98</f>
        <v>2026Q1</v>
      </c>
      <c r="B98" s="3" t="str">
        <f>'Stage 1 Inputs'!B98</f>
        <v>Mar 2026</v>
      </c>
      <c r="C98" s="3">
        <f>'Stage 1 Inputs'!G98</f>
        <v>0</v>
      </c>
      <c r="D98" s="3">
        <f>'Stage 1 Inputs'!E98</f>
        <v>0</v>
      </c>
      <c r="E98" s="3">
        <f>'Stage 1 Inputs'!F98</f>
        <v>0</v>
      </c>
      <c r="F98" s="3">
        <f>'Stage 1 Inputs'!J98</f>
        <v>0</v>
      </c>
      <c r="G98" s="3">
        <f>'Stage 1 Inputs'!L98</f>
        <v>0</v>
      </c>
      <c r="H98" s="3">
        <f>'Stage 1 Inputs'!Q98</f>
        <v>214.6</v>
      </c>
      <c r="I98" s="3">
        <f>'Stage 1 Inputs'!D98</f>
        <v>1</v>
      </c>
      <c r="J98" s="3">
        <f>'Stage 1 Inputs'!R98</f>
        <v>214.6</v>
      </c>
      <c r="K98" s="3">
        <f>'Stage 1 Inputs'!S98</f>
        <v>5.368775830196598</v>
      </c>
      <c r="L98" s="3">
        <f>'Stage 1 Inputs'!AA98</f>
        <v>0</v>
      </c>
      <c r="M98" s="3">
        <f>'Stage 1 Inputs'!AB98</f>
        <v>0</v>
      </c>
      <c r="N98" s="3">
        <f>'Stage 1 Inputs'!AC98</f>
        <v>0</v>
      </c>
      <c r="O98" s="3">
        <f>'Stage 1 Inputs'!AD98</f>
        <v>0</v>
      </c>
      <c r="P98" s="3">
        <f>'Stage 1 Inputs'!AE98</f>
        <v>0</v>
      </c>
      <c r="Q98" s="3">
        <f>'Stage 1 Inputs'!AF98</f>
        <v>78.619584605427889</v>
      </c>
      <c r="R98" s="3">
        <f>'Stage 1 Inputs'!AG98</f>
        <v>4.3646208364059564</v>
      </c>
      <c r="S98" s="3">
        <f>'Stage 1 Inputs'!AT98</f>
        <v>0</v>
      </c>
      <c r="T98" s="3">
        <f>'Stage 1 Inputs'!AU98</f>
        <v>0</v>
      </c>
      <c r="U98" s="3">
        <f>'Stage 1 Inputs'!AV98</f>
        <v>0</v>
      </c>
      <c r="V98" s="3">
        <f>'Stage 1 Inputs'!AS98</f>
        <v>1</v>
      </c>
      <c r="W98" s="3" t="str">
        <f>'Stage 1 Inputs'!AX98</f>
        <v>Partial official CPI and fuel update</v>
      </c>
      <c r="X98" s="3" t="str">
        <f>'Stage 1 Inputs'!AY98</f>
        <v>CPI and fuel values are official; GDP, population, labour, VKT and RUC volume/revenue are not yet released and remain zero.</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98"/>
  <sheetViews>
    <sheetView showGridLines="0" workbookViewId="0"/>
  </sheetViews>
  <sheetFormatPr defaultRowHeight="14.4" x14ac:dyDescent="0.3"/>
  <cols>
    <col min="1" max="1" width="10" customWidth="1"/>
    <col min="2" max="2" width="12" customWidth="1"/>
    <col min="3" max="14" width="16" customWidth="1"/>
    <col min="15" max="17" width="12" customWidth="1"/>
    <col min="18" max="18" width="26" customWidth="1"/>
    <col min="19" max="19" width="24" customWidth="1"/>
  </cols>
  <sheetData>
    <row r="1" spans="1:19" ht="48" customHeight="1" x14ac:dyDescent="0.3">
      <c r="A1" s="21" t="s">
        <v>33</v>
      </c>
      <c r="B1" s="22" t="s">
        <v>34</v>
      </c>
      <c r="C1" s="22" t="s">
        <v>238</v>
      </c>
      <c r="D1" s="22" t="s">
        <v>37</v>
      </c>
      <c r="E1" s="22" t="s">
        <v>38</v>
      </c>
      <c r="F1" s="22" t="s">
        <v>241</v>
      </c>
      <c r="G1" s="22" t="s">
        <v>243</v>
      </c>
      <c r="H1" s="22" t="s">
        <v>265</v>
      </c>
      <c r="I1" s="22" t="s">
        <v>266</v>
      </c>
      <c r="J1" s="22" t="s">
        <v>267</v>
      </c>
      <c r="K1" s="22" t="s">
        <v>268</v>
      </c>
      <c r="L1" s="22" t="s">
        <v>269</v>
      </c>
      <c r="M1" s="22" t="s">
        <v>270</v>
      </c>
      <c r="N1" s="22" t="s">
        <v>271</v>
      </c>
      <c r="O1" s="22" t="s">
        <v>277</v>
      </c>
      <c r="P1" s="22" t="s">
        <v>278</v>
      </c>
      <c r="Q1" s="22" t="s">
        <v>279</v>
      </c>
      <c r="R1" s="22" t="s">
        <v>39</v>
      </c>
      <c r="S1" s="23" t="s">
        <v>40</v>
      </c>
    </row>
    <row r="2" spans="1:19" ht="19.95" customHeight="1" x14ac:dyDescent="0.3">
      <c r="A2" s="3" t="str">
        <f>'Stage 1 Inputs'!A2</f>
        <v>2002Q1</v>
      </c>
      <c r="B2" s="3" t="str">
        <f>'Stage 1 Inputs'!B2</f>
        <v>Mar 2002</v>
      </c>
      <c r="C2" s="3">
        <f>'Stage 1 Inputs'!G2</f>
        <v>32976000000</v>
      </c>
      <c r="D2" s="3">
        <f>'Stage 1 Inputs'!E2</f>
        <v>835</v>
      </c>
      <c r="E2" s="3">
        <f>'Stage 1 Inputs'!F2</f>
        <v>1.8694610778443115</v>
      </c>
      <c r="F2" s="3">
        <f>'Stage 1 Inputs'!J2</f>
        <v>61647348502.994019</v>
      </c>
      <c r="G2" s="3">
        <f>'Stage 1 Inputs'!L2</f>
        <v>24.844696056759091</v>
      </c>
      <c r="H2" s="3">
        <f>'Stage 1 Inputs'!AH2</f>
        <v>0</v>
      </c>
      <c r="I2" s="3">
        <f>'Stage 1 Inputs'!AI2</f>
        <v>0</v>
      </c>
      <c r="J2" s="3">
        <f>'Stage 1 Inputs'!AJ2</f>
        <v>0</v>
      </c>
      <c r="K2" s="3">
        <f>'Stage 1 Inputs'!AK2</f>
        <v>0</v>
      </c>
      <c r="L2" s="3">
        <f>'Stage 1 Inputs'!AL2</f>
        <v>0</v>
      </c>
      <c r="M2" s="3">
        <f>'Stage 1 Inputs'!AM2</f>
        <v>0</v>
      </c>
      <c r="N2" s="3">
        <f>'Stage 1 Inputs'!AN2</f>
        <v>0</v>
      </c>
      <c r="O2" s="3">
        <f>'Stage 1 Inputs'!AT2</f>
        <v>0</v>
      </c>
      <c r="P2" s="3">
        <f>'Stage 1 Inputs'!AU2</f>
        <v>0</v>
      </c>
      <c r="Q2" s="3">
        <f>'Stage 1 Inputs'!AV2</f>
        <v>0</v>
      </c>
      <c r="R2" s="3" t="str">
        <f>'Stage 1 Inputs'!AX2</f>
        <v>Historical official/source data</v>
      </c>
      <c r="S2" s="3" t="str">
        <f>'Stage 1 Inputs'!AY2</f>
        <v>No special note</v>
      </c>
    </row>
    <row r="3" spans="1:19" ht="19.95" customHeight="1" x14ac:dyDescent="0.3">
      <c r="A3" s="3" t="str">
        <f>'Stage 1 Inputs'!A3</f>
        <v>2002Q2</v>
      </c>
      <c r="B3" s="3" t="str">
        <f>'Stage 1 Inputs'!B3</f>
        <v>Jun 2002</v>
      </c>
      <c r="C3" s="3">
        <f>'Stage 1 Inputs'!G3</f>
        <v>32897000000</v>
      </c>
      <c r="D3" s="3">
        <f>'Stage 1 Inputs'!E3</f>
        <v>825</v>
      </c>
      <c r="E3" s="3">
        <f>'Stage 1 Inputs'!F3</f>
        <v>1.8921212121212121</v>
      </c>
      <c r="F3" s="3">
        <f>'Stage 1 Inputs'!J3</f>
        <v>62245111515.151512</v>
      </c>
      <c r="G3" s="3">
        <f>'Stage 1 Inputs'!L3</f>
        <v>24.854345839330513</v>
      </c>
      <c r="H3" s="3">
        <f>'Stage 1 Inputs'!AH3</f>
        <v>0</v>
      </c>
      <c r="I3" s="3">
        <f>'Stage 1 Inputs'!AI3</f>
        <v>0</v>
      </c>
      <c r="J3" s="3">
        <f>'Stage 1 Inputs'!AJ3</f>
        <v>0</v>
      </c>
      <c r="K3" s="3">
        <f>'Stage 1 Inputs'!AK3</f>
        <v>0</v>
      </c>
      <c r="L3" s="3">
        <f>'Stage 1 Inputs'!AL3</f>
        <v>0</v>
      </c>
      <c r="M3" s="3">
        <f>'Stage 1 Inputs'!AM3</f>
        <v>0</v>
      </c>
      <c r="N3" s="3">
        <f>'Stage 1 Inputs'!AN3</f>
        <v>0</v>
      </c>
      <c r="O3" s="3">
        <f>'Stage 1 Inputs'!AT3</f>
        <v>1</v>
      </c>
      <c r="P3" s="3">
        <f>'Stage 1 Inputs'!AU3</f>
        <v>0</v>
      </c>
      <c r="Q3" s="3">
        <f>'Stage 1 Inputs'!AV3</f>
        <v>0</v>
      </c>
      <c r="R3" s="3" t="str">
        <f>'Stage 1 Inputs'!AX3</f>
        <v>Historical official/source data</v>
      </c>
      <c r="S3" s="3" t="str">
        <f>'Stage 1 Inputs'!AY3</f>
        <v>No special note</v>
      </c>
    </row>
    <row r="4" spans="1:19" ht="19.95" customHeight="1" x14ac:dyDescent="0.3">
      <c r="A4" s="3" t="str">
        <f>'Stage 1 Inputs'!A4</f>
        <v>2002Q3</v>
      </c>
      <c r="B4" s="3" t="str">
        <f>'Stage 1 Inputs'!B4</f>
        <v>Sep 2002</v>
      </c>
      <c r="C4" s="3">
        <f>'Stage 1 Inputs'!G4</f>
        <v>33866000000</v>
      </c>
      <c r="D4" s="3">
        <f>'Stage 1 Inputs'!E4</f>
        <v>832</v>
      </c>
      <c r="E4" s="3">
        <f>'Stage 1 Inputs'!F4</f>
        <v>1.8762019230769231</v>
      </c>
      <c r="F4" s="3">
        <f>'Stage 1 Inputs'!J4</f>
        <v>63539454326.92308</v>
      </c>
      <c r="G4" s="3">
        <f>'Stage 1 Inputs'!L4</f>
        <v>24.874926877883784</v>
      </c>
      <c r="H4" s="3">
        <f>'Stage 1 Inputs'!AH4</f>
        <v>0</v>
      </c>
      <c r="I4" s="3">
        <f>'Stage 1 Inputs'!AI4</f>
        <v>0</v>
      </c>
      <c r="J4" s="3">
        <f>'Stage 1 Inputs'!AJ4</f>
        <v>0</v>
      </c>
      <c r="K4" s="3">
        <f>'Stage 1 Inputs'!AK4</f>
        <v>0</v>
      </c>
      <c r="L4" s="3">
        <f>'Stage 1 Inputs'!AL4</f>
        <v>0</v>
      </c>
      <c r="M4" s="3">
        <f>'Stage 1 Inputs'!AM4</f>
        <v>0</v>
      </c>
      <c r="N4" s="3">
        <f>'Stage 1 Inputs'!AN4</f>
        <v>0</v>
      </c>
      <c r="O4" s="3">
        <f>'Stage 1 Inputs'!AT4</f>
        <v>0</v>
      </c>
      <c r="P4" s="3">
        <f>'Stage 1 Inputs'!AU4</f>
        <v>1</v>
      </c>
      <c r="Q4" s="3">
        <f>'Stage 1 Inputs'!AV4</f>
        <v>0</v>
      </c>
      <c r="R4" s="3" t="str">
        <f>'Stage 1 Inputs'!AX4</f>
        <v>Historical official/source data</v>
      </c>
      <c r="S4" s="3" t="str">
        <f>'Stage 1 Inputs'!AY4</f>
        <v>No special note</v>
      </c>
    </row>
    <row r="5" spans="1:19" ht="19.95" customHeight="1" x14ac:dyDescent="0.3">
      <c r="A5" s="3" t="str">
        <f>'Stage 1 Inputs'!A5</f>
        <v>2002Q4</v>
      </c>
      <c r="B5" s="3" t="str">
        <f>'Stage 1 Inputs'!B5</f>
        <v>Dec 2002</v>
      </c>
      <c r="C5" s="3">
        <f>'Stage 1 Inputs'!G5</f>
        <v>33950000000</v>
      </c>
      <c r="D5" s="3">
        <f>'Stage 1 Inputs'!E5</f>
        <v>820</v>
      </c>
      <c r="E5" s="3">
        <f>'Stage 1 Inputs'!F5</f>
        <v>1.9036585365853658</v>
      </c>
      <c r="F5" s="3">
        <f>'Stage 1 Inputs'!J5</f>
        <v>64629207317.073166</v>
      </c>
      <c r="G5" s="3">
        <f>'Stage 1 Inputs'!L5</f>
        <v>24.891932271208251</v>
      </c>
      <c r="H5" s="3">
        <f>'Stage 1 Inputs'!AH5</f>
        <v>0</v>
      </c>
      <c r="I5" s="3">
        <f>'Stage 1 Inputs'!AI5</f>
        <v>0</v>
      </c>
      <c r="J5" s="3">
        <f>'Stage 1 Inputs'!AJ5</f>
        <v>0</v>
      </c>
      <c r="K5" s="3">
        <f>'Stage 1 Inputs'!AK5</f>
        <v>0</v>
      </c>
      <c r="L5" s="3">
        <f>'Stage 1 Inputs'!AL5</f>
        <v>0</v>
      </c>
      <c r="M5" s="3">
        <f>'Stage 1 Inputs'!AM5</f>
        <v>0</v>
      </c>
      <c r="N5" s="3">
        <f>'Stage 1 Inputs'!AN5</f>
        <v>0</v>
      </c>
      <c r="O5" s="3">
        <f>'Stage 1 Inputs'!AT5</f>
        <v>0</v>
      </c>
      <c r="P5" s="3">
        <f>'Stage 1 Inputs'!AU5</f>
        <v>0</v>
      </c>
      <c r="Q5" s="3">
        <f>'Stage 1 Inputs'!AV5</f>
        <v>1</v>
      </c>
      <c r="R5" s="3" t="str">
        <f>'Stage 1 Inputs'!AX5</f>
        <v>Historical official/source data</v>
      </c>
      <c r="S5" s="3" t="str">
        <f>'Stage 1 Inputs'!AY5</f>
        <v>No special note</v>
      </c>
    </row>
    <row r="6" spans="1:19" ht="19.95" customHeight="1" x14ac:dyDescent="0.3">
      <c r="A6" s="3" t="str">
        <f>'Stage 1 Inputs'!A6</f>
        <v>2003Q1</v>
      </c>
      <c r="B6" s="3" t="str">
        <f>'Stage 1 Inputs'!B6</f>
        <v>Mar 2003</v>
      </c>
      <c r="C6" s="3">
        <f>'Stage 1 Inputs'!G6</f>
        <v>34462000000</v>
      </c>
      <c r="D6" s="3">
        <f>'Stage 1 Inputs'!E6</f>
        <v>828</v>
      </c>
      <c r="E6" s="3">
        <f>'Stage 1 Inputs'!F6</f>
        <v>1.8852657004830917</v>
      </c>
      <c r="F6" s="3">
        <f>'Stage 1 Inputs'!J6</f>
        <v>64970026570.048309</v>
      </c>
      <c r="G6" s="3">
        <f>'Stage 1 Inputs'!L6</f>
        <v>24.897191870797492</v>
      </c>
      <c r="H6" s="3">
        <f>'Stage 1 Inputs'!AH6</f>
        <v>0</v>
      </c>
      <c r="I6" s="3">
        <f>'Stage 1 Inputs'!AI6</f>
        <v>0</v>
      </c>
      <c r="J6" s="3">
        <f>'Stage 1 Inputs'!AJ6</f>
        <v>0</v>
      </c>
      <c r="K6" s="3">
        <f>'Stage 1 Inputs'!AK6</f>
        <v>0</v>
      </c>
      <c r="L6" s="3">
        <f>'Stage 1 Inputs'!AL6</f>
        <v>0</v>
      </c>
      <c r="M6" s="3">
        <f>'Stage 1 Inputs'!AM6</f>
        <v>0</v>
      </c>
      <c r="N6" s="3">
        <f>'Stage 1 Inputs'!AN6</f>
        <v>0</v>
      </c>
      <c r="O6" s="3">
        <f>'Stage 1 Inputs'!AT6</f>
        <v>0</v>
      </c>
      <c r="P6" s="3">
        <f>'Stage 1 Inputs'!AU6</f>
        <v>0</v>
      </c>
      <c r="Q6" s="3">
        <f>'Stage 1 Inputs'!AV6</f>
        <v>0</v>
      </c>
      <c r="R6" s="3" t="str">
        <f>'Stage 1 Inputs'!AX6</f>
        <v>Historical official/source data</v>
      </c>
      <c r="S6" s="3" t="str">
        <f>'Stage 1 Inputs'!AY6</f>
        <v>No special note</v>
      </c>
    </row>
    <row r="7" spans="1:19" ht="19.95" customHeight="1" x14ac:dyDescent="0.3">
      <c r="A7" s="3" t="str">
        <f>'Stage 1 Inputs'!A7</f>
        <v>2003Q2</v>
      </c>
      <c r="B7" s="3" t="str">
        <f>'Stage 1 Inputs'!B7</f>
        <v>Jun 2003</v>
      </c>
      <c r="C7" s="3">
        <f>'Stage 1 Inputs'!G7</f>
        <v>34938000000</v>
      </c>
      <c r="D7" s="3">
        <f>'Stage 1 Inputs'!E7</f>
        <v>836</v>
      </c>
      <c r="E7" s="3">
        <f>'Stage 1 Inputs'!F7</f>
        <v>1.8672248803827751</v>
      </c>
      <c r="F7" s="3">
        <f>'Stage 1 Inputs'!J7</f>
        <v>65237102870.8134</v>
      </c>
      <c r="G7" s="3">
        <f>'Stage 1 Inputs'!L7</f>
        <v>24.901294206460179</v>
      </c>
      <c r="H7" s="3">
        <f>'Stage 1 Inputs'!AH7</f>
        <v>0</v>
      </c>
      <c r="I7" s="3">
        <f>'Stage 1 Inputs'!AI7</f>
        <v>0</v>
      </c>
      <c r="J7" s="3">
        <f>'Stage 1 Inputs'!AJ7</f>
        <v>0</v>
      </c>
      <c r="K7" s="3">
        <f>'Stage 1 Inputs'!AK7</f>
        <v>0</v>
      </c>
      <c r="L7" s="3">
        <f>'Stage 1 Inputs'!AL7</f>
        <v>0</v>
      </c>
      <c r="M7" s="3">
        <f>'Stage 1 Inputs'!AM7</f>
        <v>0</v>
      </c>
      <c r="N7" s="3">
        <f>'Stage 1 Inputs'!AN7</f>
        <v>0</v>
      </c>
      <c r="O7" s="3">
        <f>'Stage 1 Inputs'!AT7</f>
        <v>1</v>
      </c>
      <c r="P7" s="3">
        <f>'Stage 1 Inputs'!AU7</f>
        <v>0</v>
      </c>
      <c r="Q7" s="3">
        <f>'Stage 1 Inputs'!AV7</f>
        <v>0</v>
      </c>
      <c r="R7" s="3" t="str">
        <f>'Stage 1 Inputs'!AX7</f>
        <v>Historical official/source data</v>
      </c>
      <c r="S7" s="3" t="str">
        <f>'Stage 1 Inputs'!AY7</f>
        <v>No special note</v>
      </c>
    </row>
    <row r="8" spans="1:19" ht="19.95" customHeight="1" x14ac:dyDescent="0.3">
      <c r="A8" s="3" t="str">
        <f>'Stage 1 Inputs'!A8</f>
        <v>2003Q3</v>
      </c>
      <c r="B8" s="3" t="str">
        <f>'Stage 1 Inputs'!B8</f>
        <v>Sep 2003</v>
      </c>
      <c r="C8" s="3">
        <f>'Stage 1 Inputs'!G8</f>
        <v>35703000000</v>
      </c>
      <c r="D8" s="3">
        <f>'Stage 1 Inputs'!E8</f>
        <v>841</v>
      </c>
      <c r="E8" s="3">
        <f>'Stage 1 Inputs'!F8</f>
        <v>1.8561236623067776</v>
      </c>
      <c r="F8" s="3">
        <f>'Stage 1 Inputs'!J8</f>
        <v>66269183115.338882</v>
      </c>
      <c r="G8" s="3">
        <f>'Stage 1 Inputs'!L8</f>
        <v>24.916990816357309</v>
      </c>
      <c r="H8" s="3">
        <f>'Stage 1 Inputs'!AH8</f>
        <v>0</v>
      </c>
      <c r="I8" s="3">
        <f>'Stage 1 Inputs'!AI8</f>
        <v>0</v>
      </c>
      <c r="J8" s="3">
        <f>'Stage 1 Inputs'!AJ8</f>
        <v>0</v>
      </c>
      <c r="K8" s="3">
        <f>'Stage 1 Inputs'!AK8</f>
        <v>0</v>
      </c>
      <c r="L8" s="3">
        <f>'Stage 1 Inputs'!AL8</f>
        <v>0</v>
      </c>
      <c r="M8" s="3">
        <f>'Stage 1 Inputs'!AM8</f>
        <v>0</v>
      </c>
      <c r="N8" s="3">
        <f>'Stage 1 Inputs'!AN8</f>
        <v>0</v>
      </c>
      <c r="O8" s="3">
        <f>'Stage 1 Inputs'!AT8</f>
        <v>0</v>
      </c>
      <c r="P8" s="3">
        <f>'Stage 1 Inputs'!AU8</f>
        <v>1</v>
      </c>
      <c r="Q8" s="3">
        <f>'Stage 1 Inputs'!AV8</f>
        <v>0</v>
      </c>
      <c r="R8" s="3" t="str">
        <f>'Stage 1 Inputs'!AX8</f>
        <v>Historical official/source data</v>
      </c>
      <c r="S8" s="3" t="str">
        <f>'Stage 1 Inputs'!AY8</f>
        <v>No special note</v>
      </c>
    </row>
    <row r="9" spans="1:19" ht="19.95" customHeight="1" x14ac:dyDescent="0.3">
      <c r="A9" s="3" t="str">
        <f>'Stage 1 Inputs'!A9</f>
        <v>2003Q4</v>
      </c>
      <c r="B9" s="3" t="str">
        <f>'Stage 1 Inputs'!B9</f>
        <v>Dec 2003</v>
      </c>
      <c r="C9" s="3">
        <f>'Stage 1 Inputs'!G9</f>
        <v>36381000000</v>
      </c>
      <c r="D9" s="3">
        <f>'Stage 1 Inputs'!E9</f>
        <v>847</v>
      </c>
      <c r="E9" s="3">
        <f>'Stage 1 Inputs'!F9</f>
        <v>1.8429752066115703</v>
      </c>
      <c r="F9" s="3">
        <f>'Stage 1 Inputs'!J9</f>
        <v>67049280991.735542</v>
      </c>
      <c r="G9" s="3">
        <f>'Stage 1 Inputs'!L9</f>
        <v>24.928693723152552</v>
      </c>
      <c r="H9" s="3">
        <f>'Stage 1 Inputs'!AH9</f>
        <v>0</v>
      </c>
      <c r="I9" s="3">
        <f>'Stage 1 Inputs'!AI9</f>
        <v>0</v>
      </c>
      <c r="J9" s="3">
        <f>'Stage 1 Inputs'!AJ9</f>
        <v>0</v>
      </c>
      <c r="K9" s="3">
        <f>'Stage 1 Inputs'!AK9</f>
        <v>0</v>
      </c>
      <c r="L9" s="3">
        <f>'Stage 1 Inputs'!AL9</f>
        <v>0</v>
      </c>
      <c r="M9" s="3">
        <f>'Stage 1 Inputs'!AM9</f>
        <v>0</v>
      </c>
      <c r="N9" s="3">
        <f>'Stage 1 Inputs'!AN9</f>
        <v>0</v>
      </c>
      <c r="O9" s="3">
        <f>'Stage 1 Inputs'!AT9</f>
        <v>0</v>
      </c>
      <c r="P9" s="3">
        <f>'Stage 1 Inputs'!AU9</f>
        <v>0</v>
      </c>
      <c r="Q9" s="3">
        <f>'Stage 1 Inputs'!AV9</f>
        <v>1</v>
      </c>
      <c r="R9" s="3" t="str">
        <f>'Stage 1 Inputs'!AX9</f>
        <v>Historical official/source data</v>
      </c>
      <c r="S9" s="3" t="str">
        <f>'Stage 1 Inputs'!AY9</f>
        <v>No special note</v>
      </c>
    </row>
    <row r="10" spans="1:19" ht="19.95" customHeight="1" x14ac:dyDescent="0.3">
      <c r="A10" s="3" t="str">
        <f>'Stage 1 Inputs'!A10</f>
        <v>2004Q1</v>
      </c>
      <c r="B10" s="3" t="str">
        <f>'Stage 1 Inputs'!B10</f>
        <v>Mar 2004</v>
      </c>
      <c r="C10" s="3">
        <f>'Stage 1 Inputs'!G10</f>
        <v>37466000000</v>
      </c>
      <c r="D10" s="3">
        <f>'Stage 1 Inputs'!E10</f>
        <v>850</v>
      </c>
      <c r="E10" s="3">
        <f>'Stage 1 Inputs'!F10</f>
        <v>1.8364705882352941</v>
      </c>
      <c r="F10" s="3">
        <f>'Stage 1 Inputs'!J10</f>
        <v>68805207058.823532</v>
      </c>
      <c r="G10" s="3">
        <f>'Stage 1 Inputs'!L10</f>
        <v>24.95454526301635</v>
      </c>
      <c r="H10" s="3">
        <f>'Stage 1 Inputs'!AH10</f>
        <v>0</v>
      </c>
      <c r="I10" s="3">
        <f>'Stage 1 Inputs'!AI10</f>
        <v>0</v>
      </c>
      <c r="J10" s="3">
        <f>'Stage 1 Inputs'!AJ10</f>
        <v>0</v>
      </c>
      <c r="K10" s="3">
        <f>'Stage 1 Inputs'!AK10</f>
        <v>0</v>
      </c>
      <c r="L10" s="3">
        <f>'Stage 1 Inputs'!AL10</f>
        <v>0</v>
      </c>
      <c r="M10" s="3">
        <f>'Stage 1 Inputs'!AM10</f>
        <v>0</v>
      </c>
      <c r="N10" s="3">
        <f>'Stage 1 Inputs'!AN10</f>
        <v>0</v>
      </c>
      <c r="O10" s="3">
        <f>'Stage 1 Inputs'!AT10</f>
        <v>0</v>
      </c>
      <c r="P10" s="3">
        <f>'Stage 1 Inputs'!AU10</f>
        <v>0</v>
      </c>
      <c r="Q10" s="3">
        <f>'Stage 1 Inputs'!AV10</f>
        <v>0</v>
      </c>
      <c r="R10" s="3" t="str">
        <f>'Stage 1 Inputs'!AX10</f>
        <v>Historical official/source data</v>
      </c>
      <c r="S10" s="3" t="str">
        <f>'Stage 1 Inputs'!AY10</f>
        <v>No special note</v>
      </c>
    </row>
    <row r="11" spans="1:19" ht="19.95" customHeight="1" x14ac:dyDescent="0.3">
      <c r="A11" s="3" t="str">
        <f>'Stage 1 Inputs'!A11</f>
        <v>2004Q2</v>
      </c>
      <c r="B11" s="3" t="str">
        <f>'Stage 1 Inputs'!B11</f>
        <v>Jun 2004</v>
      </c>
      <c r="C11" s="3">
        <f>'Stage 1 Inputs'!G11</f>
        <v>38019000000</v>
      </c>
      <c r="D11" s="3">
        <f>'Stage 1 Inputs'!E11</f>
        <v>862</v>
      </c>
      <c r="E11" s="3">
        <f>'Stage 1 Inputs'!F11</f>
        <v>1.8109048723897911</v>
      </c>
      <c r="F11" s="3">
        <f>'Stage 1 Inputs'!J11</f>
        <v>68848792343.387466</v>
      </c>
      <c r="G11" s="3">
        <f>'Stage 1 Inputs'!L11</f>
        <v>24.955178521566186</v>
      </c>
      <c r="H11" s="3">
        <f>'Stage 1 Inputs'!AH11</f>
        <v>0</v>
      </c>
      <c r="I11" s="3">
        <f>'Stage 1 Inputs'!AI11</f>
        <v>0</v>
      </c>
      <c r="J11" s="3">
        <f>'Stage 1 Inputs'!AJ11</f>
        <v>0</v>
      </c>
      <c r="K11" s="3">
        <f>'Stage 1 Inputs'!AK11</f>
        <v>0</v>
      </c>
      <c r="L11" s="3">
        <f>'Stage 1 Inputs'!AL11</f>
        <v>0</v>
      </c>
      <c r="M11" s="3">
        <f>'Stage 1 Inputs'!AM11</f>
        <v>0</v>
      </c>
      <c r="N11" s="3">
        <f>'Stage 1 Inputs'!AN11</f>
        <v>0</v>
      </c>
      <c r="O11" s="3">
        <f>'Stage 1 Inputs'!AT11</f>
        <v>1</v>
      </c>
      <c r="P11" s="3">
        <f>'Stage 1 Inputs'!AU11</f>
        <v>0</v>
      </c>
      <c r="Q11" s="3">
        <f>'Stage 1 Inputs'!AV11</f>
        <v>0</v>
      </c>
      <c r="R11" s="3" t="str">
        <f>'Stage 1 Inputs'!AX11</f>
        <v>Historical official/source data</v>
      </c>
      <c r="S11" s="3" t="str">
        <f>'Stage 1 Inputs'!AY11</f>
        <v>No special note</v>
      </c>
    </row>
    <row r="12" spans="1:19" ht="19.95" customHeight="1" x14ac:dyDescent="0.3">
      <c r="A12" s="3" t="str">
        <f>'Stage 1 Inputs'!A12</f>
        <v>2004Q3</v>
      </c>
      <c r="B12" s="3" t="str">
        <f>'Stage 1 Inputs'!B12</f>
        <v>Sep 2004</v>
      </c>
      <c r="C12" s="3">
        <f>'Stage 1 Inputs'!G12</f>
        <v>38645000000</v>
      </c>
      <c r="D12" s="3">
        <f>'Stage 1 Inputs'!E12</f>
        <v>875</v>
      </c>
      <c r="E12" s="3">
        <f>'Stage 1 Inputs'!F12</f>
        <v>1.784</v>
      </c>
      <c r="F12" s="3">
        <f>'Stage 1 Inputs'!J12</f>
        <v>68942680000</v>
      </c>
      <c r="G12" s="3">
        <f>'Stage 1 Inputs'!L12</f>
        <v>24.956541271663063</v>
      </c>
      <c r="H12" s="3">
        <f>'Stage 1 Inputs'!AH12</f>
        <v>0</v>
      </c>
      <c r="I12" s="3">
        <f>'Stage 1 Inputs'!AI12</f>
        <v>0</v>
      </c>
      <c r="J12" s="3">
        <f>'Stage 1 Inputs'!AJ12</f>
        <v>0</v>
      </c>
      <c r="K12" s="3">
        <f>'Stage 1 Inputs'!AK12</f>
        <v>0</v>
      </c>
      <c r="L12" s="3">
        <f>'Stage 1 Inputs'!AL12</f>
        <v>0</v>
      </c>
      <c r="M12" s="3">
        <f>'Stage 1 Inputs'!AM12</f>
        <v>0</v>
      </c>
      <c r="N12" s="3">
        <f>'Stage 1 Inputs'!AN12</f>
        <v>0</v>
      </c>
      <c r="O12" s="3">
        <f>'Stage 1 Inputs'!AT12</f>
        <v>0</v>
      </c>
      <c r="P12" s="3">
        <f>'Stage 1 Inputs'!AU12</f>
        <v>1</v>
      </c>
      <c r="Q12" s="3">
        <f>'Stage 1 Inputs'!AV12</f>
        <v>0</v>
      </c>
      <c r="R12" s="3" t="str">
        <f>'Stage 1 Inputs'!AX12</f>
        <v>Historical official/source data</v>
      </c>
      <c r="S12" s="3" t="str">
        <f>'Stage 1 Inputs'!AY12</f>
        <v>No special note</v>
      </c>
    </row>
    <row r="13" spans="1:19" ht="19.95" customHeight="1" x14ac:dyDescent="0.3">
      <c r="A13" s="3" t="str">
        <f>'Stage 1 Inputs'!A13</f>
        <v>2004Q4</v>
      </c>
      <c r="B13" s="3" t="str">
        <f>'Stage 1 Inputs'!B13</f>
        <v>Dec 2004</v>
      </c>
      <c r="C13" s="3">
        <f>'Stage 1 Inputs'!G13</f>
        <v>38871000000</v>
      </c>
      <c r="D13" s="3">
        <f>'Stage 1 Inputs'!E13</f>
        <v>879</v>
      </c>
      <c r="E13" s="3">
        <f>'Stage 1 Inputs'!F13</f>
        <v>1.775881683731513</v>
      </c>
      <c r="F13" s="3">
        <f>'Stage 1 Inputs'!J13</f>
        <v>69030296928.327637</v>
      </c>
      <c r="G13" s="3">
        <f>'Stage 1 Inputs'!L13</f>
        <v>24.957811331091449</v>
      </c>
      <c r="H13" s="3">
        <f>'Stage 1 Inputs'!AH13</f>
        <v>0</v>
      </c>
      <c r="I13" s="3">
        <f>'Stage 1 Inputs'!AI13</f>
        <v>0</v>
      </c>
      <c r="J13" s="3">
        <f>'Stage 1 Inputs'!AJ13</f>
        <v>0</v>
      </c>
      <c r="K13" s="3">
        <f>'Stage 1 Inputs'!AK13</f>
        <v>0</v>
      </c>
      <c r="L13" s="3">
        <f>'Stage 1 Inputs'!AL13</f>
        <v>0</v>
      </c>
      <c r="M13" s="3">
        <f>'Stage 1 Inputs'!AM13</f>
        <v>0</v>
      </c>
      <c r="N13" s="3">
        <f>'Stage 1 Inputs'!AN13</f>
        <v>0</v>
      </c>
      <c r="O13" s="3">
        <f>'Stage 1 Inputs'!AT13</f>
        <v>0</v>
      </c>
      <c r="P13" s="3">
        <f>'Stage 1 Inputs'!AU13</f>
        <v>0</v>
      </c>
      <c r="Q13" s="3">
        <f>'Stage 1 Inputs'!AV13</f>
        <v>1</v>
      </c>
      <c r="R13" s="3" t="str">
        <f>'Stage 1 Inputs'!AX13</f>
        <v>Historical official/source data</v>
      </c>
      <c r="S13" s="3" t="str">
        <f>'Stage 1 Inputs'!AY13</f>
        <v>No special note</v>
      </c>
    </row>
    <row r="14" spans="1:19" ht="19.95" customHeight="1" x14ac:dyDescent="0.3">
      <c r="A14" s="3" t="str">
        <f>'Stage 1 Inputs'!A14</f>
        <v>2005Q1</v>
      </c>
      <c r="B14" s="3" t="str">
        <f>'Stage 1 Inputs'!B14</f>
        <v>Mar 2005</v>
      </c>
      <c r="C14" s="3">
        <f>'Stage 1 Inputs'!G14</f>
        <v>39022000000</v>
      </c>
      <c r="D14" s="3">
        <f>'Stage 1 Inputs'!E14</f>
        <v>880</v>
      </c>
      <c r="E14" s="3">
        <f>'Stage 1 Inputs'!F14</f>
        <v>1.7738636363636364</v>
      </c>
      <c r="F14" s="3">
        <f>'Stage 1 Inputs'!J14</f>
        <v>69219706818.181824</v>
      </c>
      <c r="G14" s="3">
        <f>'Stage 1 Inputs'!L14</f>
        <v>24.9605514396373</v>
      </c>
      <c r="H14" s="3">
        <f>'Stage 1 Inputs'!AH14</f>
        <v>0</v>
      </c>
      <c r="I14" s="3">
        <f>'Stage 1 Inputs'!AI14</f>
        <v>0</v>
      </c>
      <c r="J14" s="3">
        <f>'Stage 1 Inputs'!AJ14</f>
        <v>0</v>
      </c>
      <c r="K14" s="3">
        <f>'Stage 1 Inputs'!AK14</f>
        <v>0</v>
      </c>
      <c r="L14" s="3">
        <f>'Stage 1 Inputs'!AL14</f>
        <v>0</v>
      </c>
      <c r="M14" s="3">
        <f>'Stage 1 Inputs'!AM14</f>
        <v>0</v>
      </c>
      <c r="N14" s="3">
        <f>'Stage 1 Inputs'!AN14</f>
        <v>0</v>
      </c>
      <c r="O14" s="3">
        <f>'Stage 1 Inputs'!AT14</f>
        <v>0</v>
      </c>
      <c r="P14" s="3">
        <f>'Stage 1 Inputs'!AU14</f>
        <v>0</v>
      </c>
      <c r="Q14" s="3">
        <f>'Stage 1 Inputs'!AV14</f>
        <v>0</v>
      </c>
      <c r="R14" s="3" t="str">
        <f>'Stage 1 Inputs'!AX14</f>
        <v>Historical official/source data</v>
      </c>
      <c r="S14" s="3" t="str">
        <f>'Stage 1 Inputs'!AY14</f>
        <v>No special note</v>
      </c>
    </row>
    <row r="15" spans="1:19" ht="19.95" customHeight="1" x14ac:dyDescent="0.3">
      <c r="A15" s="3" t="str">
        <f>'Stage 1 Inputs'!A15</f>
        <v>2005Q2</v>
      </c>
      <c r="B15" s="3" t="str">
        <f>'Stage 1 Inputs'!B15</f>
        <v>Jun 2005</v>
      </c>
      <c r="C15" s="3">
        <f>'Stage 1 Inputs'!G15</f>
        <v>40272000000</v>
      </c>
      <c r="D15" s="3">
        <f>'Stage 1 Inputs'!E15</f>
        <v>886</v>
      </c>
      <c r="E15" s="3">
        <f>'Stage 1 Inputs'!F15</f>
        <v>1.7618510158013545</v>
      </c>
      <c r="F15" s="3">
        <f>'Stage 1 Inputs'!J15</f>
        <v>70953264108.352142</v>
      </c>
      <c r="G15" s="3">
        <f>'Stage 1 Inputs'!L15</f>
        <v>24.985287245249722</v>
      </c>
      <c r="H15" s="3">
        <f>'Stage 1 Inputs'!AH15</f>
        <v>0</v>
      </c>
      <c r="I15" s="3">
        <f>'Stage 1 Inputs'!AI15</f>
        <v>0</v>
      </c>
      <c r="J15" s="3">
        <f>'Stage 1 Inputs'!AJ15</f>
        <v>0</v>
      </c>
      <c r="K15" s="3">
        <f>'Stage 1 Inputs'!AK15</f>
        <v>0</v>
      </c>
      <c r="L15" s="3">
        <f>'Stage 1 Inputs'!AL15</f>
        <v>0</v>
      </c>
      <c r="M15" s="3">
        <f>'Stage 1 Inputs'!AM15</f>
        <v>0</v>
      </c>
      <c r="N15" s="3">
        <f>'Stage 1 Inputs'!AN15</f>
        <v>0</v>
      </c>
      <c r="O15" s="3">
        <f>'Stage 1 Inputs'!AT15</f>
        <v>1</v>
      </c>
      <c r="P15" s="3">
        <f>'Stage 1 Inputs'!AU15</f>
        <v>0</v>
      </c>
      <c r="Q15" s="3">
        <f>'Stage 1 Inputs'!AV15</f>
        <v>0</v>
      </c>
      <c r="R15" s="3" t="str">
        <f>'Stage 1 Inputs'!AX15</f>
        <v>Historical official/source data</v>
      </c>
      <c r="S15" s="3" t="str">
        <f>'Stage 1 Inputs'!AY15</f>
        <v>No special note</v>
      </c>
    </row>
    <row r="16" spans="1:19" ht="19.95" customHeight="1" x14ac:dyDescent="0.3">
      <c r="A16" s="3" t="str">
        <f>'Stage 1 Inputs'!A16</f>
        <v>2005Q3</v>
      </c>
      <c r="B16" s="3" t="str">
        <f>'Stage 1 Inputs'!B16</f>
        <v>Sep 2005</v>
      </c>
      <c r="C16" s="3">
        <f>'Stage 1 Inputs'!G16</f>
        <v>40823000000</v>
      </c>
      <c r="D16" s="3">
        <f>'Stage 1 Inputs'!E16</f>
        <v>896</v>
      </c>
      <c r="E16" s="3">
        <f>'Stage 1 Inputs'!F16</f>
        <v>1.7421875</v>
      </c>
      <c r="F16" s="3">
        <f>'Stage 1 Inputs'!J16</f>
        <v>71121320312.5</v>
      </c>
      <c r="G16" s="3">
        <f>'Stage 1 Inputs'!L16</f>
        <v>24.987652992553699</v>
      </c>
      <c r="H16" s="3">
        <f>'Stage 1 Inputs'!AH16</f>
        <v>0</v>
      </c>
      <c r="I16" s="3">
        <f>'Stage 1 Inputs'!AI16</f>
        <v>0</v>
      </c>
      <c r="J16" s="3">
        <f>'Stage 1 Inputs'!AJ16</f>
        <v>0</v>
      </c>
      <c r="K16" s="3">
        <f>'Stage 1 Inputs'!AK16</f>
        <v>0</v>
      </c>
      <c r="L16" s="3">
        <f>'Stage 1 Inputs'!AL16</f>
        <v>0</v>
      </c>
      <c r="M16" s="3">
        <f>'Stage 1 Inputs'!AM16</f>
        <v>0</v>
      </c>
      <c r="N16" s="3">
        <f>'Stage 1 Inputs'!AN16</f>
        <v>0</v>
      </c>
      <c r="O16" s="3">
        <f>'Stage 1 Inputs'!AT16</f>
        <v>0</v>
      </c>
      <c r="P16" s="3">
        <f>'Stage 1 Inputs'!AU16</f>
        <v>1</v>
      </c>
      <c r="Q16" s="3">
        <f>'Stage 1 Inputs'!AV16</f>
        <v>0</v>
      </c>
      <c r="R16" s="3" t="str">
        <f>'Stage 1 Inputs'!AX16</f>
        <v>Historical official/source data</v>
      </c>
      <c r="S16" s="3" t="str">
        <f>'Stage 1 Inputs'!AY16</f>
        <v>No special note</v>
      </c>
    </row>
    <row r="17" spans="1:19" ht="19.95" customHeight="1" x14ac:dyDescent="0.3">
      <c r="A17" s="3" t="str">
        <f>'Stage 1 Inputs'!A17</f>
        <v>2005Q4</v>
      </c>
      <c r="B17" s="3" t="str">
        <f>'Stage 1 Inputs'!B17</f>
        <v>Dec 2005</v>
      </c>
      <c r="C17" s="3">
        <f>'Stage 1 Inputs'!G17</f>
        <v>40680000000</v>
      </c>
      <c r="D17" s="3">
        <f>'Stage 1 Inputs'!E17</f>
        <v>893</v>
      </c>
      <c r="E17" s="3">
        <f>'Stage 1 Inputs'!F17</f>
        <v>1.7480403135498321</v>
      </c>
      <c r="F17" s="3">
        <f>'Stage 1 Inputs'!J17</f>
        <v>71110279955.207169</v>
      </c>
      <c r="G17" s="3">
        <f>'Stage 1 Inputs'!L17</f>
        <v>24.987497747765705</v>
      </c>
      <c r="H17" s="3">
        <f>'Stage 1 Inputs'!AH17</f>
        <v>0</v>
      </c>
      <c r="I17" s="3">
        <f>'Stage 1 Inputs'!AI17</f>
        <v>0</v>
      </c>
      <c r="J17" s="3">
        <f>'Stage 1 Inputs'!AJ17</f>
        <v>0</v>
      </c>
      <c r="K17" s="3">
        <f>'Stage 1 Inputs'!AK17</f>
        <v>0</v>
      </c>
      <c r="L17" s="3">
        <f>'Stage 1 Inputs'!AL17</f>
        <v>0</v>
      </c>
      <c r="M17" s="3">
        <f>'Stage 1 Inputs'!AM17</f>
        <v>0</v>
      </c>
      <c r="N17" s="3">
        <f>'Stage 1 Inputs'!AN17</f>
        <v>0</v>
      </c>
      <c r="O17" s="3">
        <f>'Stage 1 Inputs'!AT17</f>
        <v>0</v>
      </c>
      <c r="P17" s="3">
        <f>'Stage 1 Inputs'!AU17</f>
        <v>0</v>
      </c>
      <c r="Q17" s="3">
        <f>'Stage 1 Inputs'!AV17</f>
        <v>1</v>
      </c>
      <c r="R17" s="3" t="str">
        <f>'Stage 1 Inputs'!AX17</f>
        <v>Historical official/source data</v>
      </c>
      <c r="S17" s="3" t="str">
        <f>'Stage 1 Inputs'!AY17</f>
        <v>No special note</v>
      </c>
    </row>
    <row r="18" spans="1:19" ht="19.95" customHeight="1" x14ac:dyDescent="0.3">
      <c r="A18" s="3" t="str">
        <f>'Stage 1 Inputs'!A18</f>
        <v>2006Q1</v>
      </c>
      <c r="B18" s="3" t="str">
        <f>'Stage 1 Inputs'!B18</f>
        <v>Mar 2006</v>
      </c>
      <c r="C18" s="3">
        <f>'Stage 1 Inputs'!G18</f>
        <v>41175000000</v>
      </c>
      <c r="D18" s="3">
        <f>'Stage 1 Inputs'!E18</f>
        <v>896</v>
      </c>
      <c r="E18" s="3">
        <f>'Stage 1 Inputs'!F18</f>
        <v>1.7421875</v>
      </c>
      <c r="F18" s="3">
        <f>'Stage 1 Inputs'!J18</f>
        <v>71734570312.5</v>
      </c>
      <c r="G18" s="3">
        <f>'Stage 1 Inputs'!L18</f>
        <v>24.996238620550617</v>
      </c>
      <c r="H18" s="3">
        <f>'Stage 1 Inputs'!AH18</f>
        <v>0</v>
      </c>
      <c r="I18" s="3">
        <f>'Stage 1 Inputs'!AI18</f>
        <v>0</v>
      </c>
      <c r="J18" s="3">
        <f>'Stage 1 Inputs'!AJ18</f>
        <v>0</v>
      </c>
      <c r="K18" s="3">
        <f>'Stage 1 Inputs'!AK18</f>
        <v>0</v>
      </c>
      <c r="L18" s="3">
        <f>'Stage 1 Inputs'!AL18</f>
        <v>0</v>
      </c>
      <c r="M18" s="3">
        <f>'Stage 1 Inputs'!AM18</f>
        <v>0</v>
      </c>
      <c r="N18" s="3">
        <f>'Stage 1 Inputs'!AN18</f>
        <v>0</v>
      </c>
      <c r="O18" s="3">
        <f>'Stage 1 Inputs'!AT18</f>
        <v>0</v>
      </c>
      <c r="P18" s="3">
        <f>'Stage 1 Inputs'!AU18</f>
        <v>0</v>
      </c>
      <c r="Q18" s="3">
        <f>'Stage 1 Inputs'!AV18</f>
        <v>0</v>
      </c>
      <c r="R18" s="3" t="str">
        <f>'Stage 1 Inputs'!AX18</f>
        <v>Historical official/source data</v>
      </c>
      <c r="S18" s="3" t="str">
        <f>'Stage 1 Inputs'!AY18</f>
        <v>No special note</v>
      </c>
    </row>
    <row r="19" spans="1:19" ht="19.95" customHeight="1" x14ac:dyDescent="0.3">
      <c r="A19" s="3" t="str">
        <f>'Stage 1 Inputs'!A19</f>
        <v>2006Q2</v>
      </c>
      <c r="B19" s="3" t="str">
        <f>'Stage 1 Inputs'!B19</f>
        <v>Jun 2006</v>
      </c>
      <c r="C19" s="3">
        <f>'Stage 1 Inputs'!G19</f>
        <v>41785000000</v>
      </c>
      <c r="D19" s="3">
        <f>'Stage 1 Inputs'!E19</f>
        <v>913</v>
      </c>
      <c r="E19" s="3">
        <f>'Stage 1 Inputs'!F19</f>
        <v>1.7097480832420591</v>
      </c>
      <c r="F19" s="3">
        <f>'Stage 1 Inputs'!J19</f>
        <v>71441823658.26944</v>
      </c>
      <c r="G19" s="3">
        <f>'Stage 1 Inputs'!L19</f>
        <v>24.992149300320275</v>
      </c>
      <c r="H19" s="3">
        <f>'Stage 1 Inputs'!AH19</f>
        <v>0</v>
      </c>
      <c r="I19" s="3">
        <f>'Stage 1 Inputs'!AI19</f>
        <v>0</v>
      </c>
      <c r="J19" s="3">
        <f>'Stage 1 Inputs'!AJ19</f>
        <v>0</v>
      </c>
      <c r="K19" s="3">
        <f>'Stage 1 Inputs'!AK19</f>
        <v>0</v>
      </c>
      <c r="L19" s="3">
        <f>'Stage 1 Inputs'!AL19</f>
        <v>0</v>
      </c>
      <c r="M19" s="3">
        <f>'Stage 1 Inputs'!AM19</f>
        <v>0</v>
      </c>
      <c r="N19" s="3">
        <f>'Stage 1 Inputs'!AN19</f>
        <v>0</v>
      </c>
      <c r="O19" s="3">
        <f>'Stage 1 Inputs'!AT19</f>
        <v>1</v>
      </c>
      <c r="P19" s="3">
        <f>'Stage 1 Inputs'!AU19</f>
        <v>0</v>
      </c>
      <c r="Q19" s="3">
        <f>'Stage 1 Inputs'!AV19</f>
        <v>0</v>
      </c>
      <c r="R19" s="3" t="str">
        <f>'Stage 1 Inputs'!AX19</f>
        <v>Historical official/source data</v>
      </c>
      <c r="S19" s="3" t="str">
        <f>'Stage 1 Inputs'!AY19</f>
        <v>No special note</v>
      </c>
    </row>
    <row r="20" spans="1:19" ht="19.95" customHeight="1" x14ac:dyDescent="0.3">
      <c r="A20" s="3" t="str">
        <f>'Stage 1 Inputs'!A20</f>
        <v>2006Q3</v>
      </c>
      <c r="B20" s="3" t="str">
        <f>'Stage 1 Inputs'!B20</f>
        <v>Sep 2006</v>
      </c>
      <c r="C20" s="3">
        <f>'Stage 1 Inputs'!G20</f>
        <v>42293000000</v>
      </c>
      <c r="D20" s="3">
        <f>'Stage 1 Inputs'!E20</f>
        <v>908</v>
      </c>
      <c r="E20" s="3">
        <f>'Stage 1 Inputs'!F20</f>
        <v>1.7191629955947136</v>
      </c>
      <c r="F20" s="3">
        <f>'Stage 1 Inputs'!J20</f>
        <v>72708560572.687225</v>
      </c>
      <c r="G20" s="3">
        <f>'Stage 1 Inputs'!L20</f>
        <v>25.009724966585118</v>
      </c>
      <c r="H20" s="3">
        <f>'Stage 1 Inputs'!AH20</f>
        <v>0</v>
      </c>
      <c r="I20" s="3">
        <f>'Stage 1 Inputs'!AI20</f>
        <v>0</v>
      </c>
      <c r="J20" s="3">
        <f>'Stage 1 Inputs'!AJ20</f>
        <v>0</v>
      </c>
      <c r="K20" s="3">
        <f>'Stage 1 Inputs'!AK20</f>
        <v>0</v>
      </c>
      <c r="L20" s="3">
        <f>'Stage 1 Inputs'!AL20</f>
        <v>0</v>
      </c>
      <c r="M20" s="3">
        <f>'Stage 1 Inputs'!AM20</f>
        <v>0</v>
      </c>
      <c r="N20" s="3">
        <f>'Stage 1 Inputs'!AN20</f>
        <v>0</v>
      </c>
      <c r="O20" s="3">
        <f>'Stage 1 Inputs'!AT20</f>
        <v>0</v>
      </c>
      <c r="P20" s="3">
        <f>'Stage 1 Inputs'!AU20</f>
        <v>1</v>
      </c>
      <c r="Q20" s="3">
        <f>'Stage 1 Inputs'!AV20</f>
        <v>0</v>
      </c>
      <c r="R20" s="3" t="str">
        <f>'Stage 1 Inputs'!AX20</f>
        <v>Historical official/source data</v>
      </c>
      <c r="S20" s="3" t="str">
        <f>'Stage 1 Inputs'!AY20</f>
        <v>No special note</v>
      </c>
    </row>
    <row r="21" spans="1:19" ht="19.95" customHeight="1" x14ac:dyDescent="0.3">
      <c r="A21" s="3" t="str">
        <f>'Stage 1 Inputs'!A21</f>
        <v>2006Q4</v>
      </c>
      <c r="B21" s="3" t="str">
        <f>'Stage 1 Inputs'!B21</f>
        <v>Dec 2006</v>
      </c>
      <c r="C21" s="3">
        <f>'Stage 1 Inputs'!G21</f>
        <v>43649000000</v>
      </c>
      <c r="D21" s="3">
        <f>'Stage 1 Inputs'!E21</f>
        <v>930</v>
      </c>
      <c r="E21" s="3">
        <f>'Stage 1 Inputs'!F21</f>
        <v>1.678494623655914</v>
      </c>
      <c r="F21" s="3">
        <f>'Stage 1 Inputs'!J21</f>
        <v>73264611827.956985</v>
      </c>
      <c r="G21" s="3">
        <f>'Stage 1 Inputs'!L21</f>
        <v>25.017343543830279</v>
      </c>
      <c r="H21" s="3">
        <f>'Stage 1 Inputs'!AH21</f>
        <v>0</v>
      </c>
      <c r="I21" s="3">
        <f>'Stage 1 Inputs'!AI21</f>
        <v>0</v>
      </c>
      <c r="J21" s="3">
        <f>'Stage 1 Inputs'!AJ21</f>
        <v>0</v>
      </c>
      <c r="K21" s="3">
        <f>'Stage 1 Inputs'!AK21</f>
        <v>0</v>
      </c>
      <c r="L21" s="3">
        <f>'Stage 1 Inputs'!AL21</f>
        <v>0</v>
      </c>
      <c r="M21" s="3">
        <f>'Stage 1 Inputs'!AM21</f>
        <v>0</v>
      </c>
      <c r="N21" s="3">
        <f>'Stage 1 Inputs'!AN21</f>
        <v>0</v>
      </c>
      <c r="O21" s="3">
        <f>'Stage 1 Inputs'!AT21</f>
        <v>0</v>
      </c>
      <c r="P21" s="3">
        <f>'Stage 1 Inputs'!AU21</f>
        <v>0</v>
      </c>
      <c r="Q21" s="3">
        <f>'Stage 1 Inputs'!AV21</f>
        <v>1</v>
      </c>
      <c r="R21" s="3" t="str">
        <f>'Stage 1 Inputs'!AX21</f>
        <v>Historical official/source data</v>
      </c>
      <c r="S21" s="3" t="str">
        <f>'Stage 1 Inputs'!AY21</f>
        <v>No special note</v>
      </c>
    </row>
    <row r="22" spans="1:19" ht="19.95" customHeight="1" x14ac:dyDescent="0.3">
      <c r="A22" s="3" t="str">
        <f>'Stage 1 Inputs'!A22</f>
        <v>2007Q1</v>
      </c>
      <c r="B22" s="3" t="str">
        <f>'Stage 1 Inputs'!B22</f>
        <v>Mar 2007</v>
      </c>
      <c r="C22" s="3">
        <f>'Stage 1 Inputs'!G22</f>
        <v>44172000000</v>
      </c>
      <c r="D22" s="3">
        <f>'Stage 1 Inputs'!E22</f>
        <v>934</v>
      </c>
      <c r="E22" s="3">
        <f>'Stage 1 Inputs'!F22</f>
        <v>1.671306209850107</v>
      </c>
      <c r="F22" s="3">
        <f>'Stage 1 Inputs'!J22</f>
        <v>73824937901.498932</v>
      </c>
      <c r="G22" s="3">
        <f>'Stage 1 Inputs'!L22</f>
        <v>25.024962423417886</v>
      </c>
      <c r="H22" s="3">
        <f>'Stage 1 Inputs'!AH22</f>
        <v>0</v>
      </c>
      <c r="I22" s="3">
        <f>'Stage 1 Inputs'!AI22</f>
        <v>0</v>
      </c>
      <c r="J22" s="3">
        <f>'Stage 1 Inputs'!AJ22</f>
        <v>0</v>
      </c>
      <c r="K22" s="3">
        <f>'Stage 1 Inputs'!AK22</f>
        <v>0</v>
      </c>
      <c r="L22" s="3">
        <f>'Stage 1 Inputs'!AL22</f>
        <v>0</v>
      </c>
      <c r="M22" s="3">
        <f>'Stage 1 Inputs'!AM22</f>
        <v>0</v>
      </c>
      <c r="N22" s="3">
        <f>'Stage 1 Inputs'!AN22</f>
        <v>0</v>
      </c>
      <c r="O22" s="3">
        <f>'Stage 1 Inputs'!AT22</f>
        <v>0</v>
      </c>
      <c r="P22" s="3">
        <f>'Stage 1 Inputs'!AU22</f>
        <v>0</v>
      </c>
      <c r="Q22" s="3">
        <f>'Stage 1 Inputs'!AV22</f>
        <v>0</v>
      </c>
      <c r="R22" s="3" t="str">
        <f>'Stage 1 Inputs'!AX22</f>
        <v>Historical official/source data</v>
      </c>
      <c r="S22" s="3" t="str">
        <f>'Stage 1 Inputs'!AY22</f>
        <v>No special note</v>
      </c>
    </row>
    <row r="23" spans="1:19" ht="19.95" customHeight="1" x14ac:dyDescent="0.3">
      <c r="A23" s="3" t="str">
        <f>'Stage 1 Inputs'!A23</f>
        <v>2007Q2</v>
      </c>
      <c r="B23" s="3" t="str">
        <f>'Stage 1 Inputs'!B23</f>
        <v>Jun 2007</v>
      </c>
      <c r="C23" s="3">
        <f>'Stage 1 Inputs'!G23</f>
        <v>45244000000</v>
      </c>
      <c r="D23" s="3">
        <f>'Stage 1 Inputs'!E23</f>
        <v>944</v>
      </c>
      <c r="E23" s="3">
        <f>'Stage 1 Inputs'!F23</f>
        <v>1.6536016949152543</v>
      </c>
      <c r="F23" s="3">
        <f>'Stage 1 Inputs'!J23</f>
        <v>74815555084.745773</v>
      </c>
      <c r="G23" s="3">
        <f>'Stage 1 Inputs'!L23</f>
        <v>25.038291655985478</v>
      </c>
      <c r="H23" s="3">
        <f>'Stage 1 Inputs'!AH23</f>
        <v>0</v>
      </c>
      <c r="I23" s="3">
        <f>'Stage 1 Inputs'!AI23</f>
        <v>0</v>
      </c>
      <c r="J23" s="3">
        <f>'Stage 1 Inputs'!AJ23</f>
        <v>0</v>
      </c>
      <c r="K23" s="3">
        <f>'Stage 1 Inputs'!AK23</f>
        <v>0</v>
      </c>
      <c r="L23" s="3">
        <f>'Stage 1 Inputs'!AL23</f>
        <v>0</v>
      </c>
      <c r="M23" s="3">
        <f>'Stage 1 Inputs'!AM23</f>
        <v>0</v>
      </c>
      <c r="N23" s="3">
        <f>'Stage 1 Inputs'!AN23</f>
        <v>0</v>
      </c>
      <c r="O23" s="3">
        <f>'Stage 1 Inputs'!AT23</f>
        <v>1</v>
      </c>
      <c r="P23" s="3">
        <f>'Stage 1 Inputs'!AU23</f>
        <v>0</v>
      </c>
      <c r="Q23" s="3">
        <f>'Stage 1 Inputs'!AV23</f>
        <v>0</v>
      </c>
      <c r="R23" s="3" t="str">
        <f>'Stage 1 Inputs'!AX23</f>
        <v>Historical official/source data</v>
      </c>
      <c r="S23" s="3" t="str">
        <f>'Stage 1 Inputs'!AY23</f>
        <v>No special note</v>
      </c>
    </row>
    <row r="24" spans="1:19" ht="19.95" customHeight="1" x14ac:dyDescent="0.3">
      <c r="A24" s="3" t="str">
        <f>'Stage 1 Inputs'!A24</f>
        <v>2007Q3</v>
      </c>
      <c r="B24" s="3" t="str">
        <f>'Stage 1 Inputs'!B24</f>
        <v>Sep 2007</v>
      </c>
      <c r="C24" s="3">
        <f>'Stage 1 Inputs'!G24</f>
        <v>46562000000</v>
      </c>
      <c r="D24" s="3">
        <f>'Stage 1 Inputs'!E24</f>
        <v>962</v>
      </c>
      <c r="E24" s="3">
        <f>'Stage 1 Inputs'!F24</f>
        <v>1.6226611226611227</v>
      </c>
      <c r="F24" s="3">
        <f>'Stage 1 Inputs'!J24</f>
        <v>75554347193.347198</v>
      </c>
      <c r="G24" s="3">
        <f>'Stage 1 Inputs'!L24</f>
        <v>25.048118064623225</v>
      </c>
      <c r="H24" s="3">
        <f>'Stage 1 Inputs'!AH24</f>
        <v>0</v>
      </c>
      <c r="I24" s="3">
        <f>'Stage 1 Inputs'!AI24</f>
        <v>0</v>
      </c>
      <c r="J24" s="3">
        <f>'Stage 1 Inputs'!AJ24</f>
        <v>0</v>
      </c>
      <c r="K24" s="3">
        <f>'Stage 1 Inputs'!AK24</f>
        <v>0</v>
      </c>
      <c r="L24" s="3">
        <f>'Stage 1 Inputs'!AL24</f>
        <v>0</v>
      </c>
      <c r="M24" s="3">
        <f>'Stage 1 Inputs'!AM24</f>
        <v>0</v>
      </c>
      <c r="N24" s="3">
        <f>'Stage 1 Inputs'!AN24</f>
        <v>0</v>
      </c>
      <c r="O24" s="3">
        <f>'Stage 1 Inputs'!AT24</f>
        <v>0</v>
      </c>
      <c r="P24" s="3">
        <f>'Stage 1 Inputs'!AU24</f>
        <v>1</v>
      </c>
      <c r="Q24" s="3">
        <f>'Stage 1 Inputs'!AV24</f>
        <v>0</v>
      </c>
      <c r="R24" s="3" t="str">
        <f>'Stage 1 Inputs'!AX24</f>
        <v>Historical official/source data</v>
      </c>
      <c r="S24" s="3" t="str">
        <f>'Stage 1 Inputs'!AY24</f>
        <v>No special note</v>
      </c>
    </row>
    <row r="25" spans="1:19" ht="19.95" customHeight="1" x14ac:dyDescent="0.3">
      <c r="A25" s="3" t="str">
        <f>'Stage 1 Inputs'!A25</f>
        <v>2007Q4</v>
      </c>
      <c r="B25" s="3" t="str">
        <f>'Stage 1 Inputs'!B25</f>
        <v>Dec 2007</v>
      </c>
      <c r="C25" s="3">
        <f>'Stage 1 Inputs'!G25</f>
        <v>47184000000</v>
      </c>
      <c r="D25" s="3">
        <f>'Stage 1 Inputs'!E25</f>
        <v>970</v>
      </c>
      <c r="E25" s="3">
        <f>'Stage 1 Inputs'!F25</f>
        <v>1.609278350515464</v>
      </c>
      <c r="F25" s="3">
        <f>'Stage 1 Inputs'!J25</f>
        <v>75932189690.721649</v>
      </c>
      <c r="G25" s="3">
        <f>'Stage 1 Inputs'!L25</f>
        <v>25.053106538037333</v>
      </c>
      <c r="H25" s="3">
        <f>'Stage 1 Inputs'!AH25</f>
        <v>0</v>
      </c>
      <c r="I25" s="3">
        <f>'Stage 1 Inputs'!AI25</f>
        <v>0</v>
      </c>
      <c r="J25" s="3">
        <f>'Stage 1 Inputs'!AJ25</f>
        <v>0</v>
      </c>
      <c r="K25" s="3">
        <f>'Stage 1 Inputs'!AK25</f>
        <v>0</v>
      </c>
      <c r="L25" s="3">
        <f>'Stage 1 Inputs'!AL25</f>
        <v>0</v>
      </c>
      <c r="M25" s="3">
        <f>'Stage 1 Inputs'!AM25</f>
        <v>0</v>
      </c>
      <c r="N25" s="3">
        <f>'Stage 1 Inputs'!AN25</f>
        <v>0</v>
      </c>
      <c r="O25" s="3">
        <f>'Stage 1 Inputs'!AT25</f>
        <v>0</v>
      </c>
      <c r="P25" s="3">
        <f>'Stage 1 Inputs'!AU25</f>
        <v>0</v>
      </c>
      <c r="Q25" s="3">
        <f>'Stage 1 Inputs'!AV25</f>
        <v>1</v>
      </c>
      <c r="R25" s="3" t="str">
        <f>'Stage 1 Inputs'!AX25</f>
        <v>Historical official/source data</v>
      </c>
      <c r="S25" s="3" t="str">
        <f>'Stage 1 Inputs'!AY25</f>
        <v>No special note</v>
      </c>
    </row>
    <row r="26" spans="1:19" ht="19.95" customHeight="1" x14ac:dyDescent="0.3">
      <c r="A26" s="3" t="str">
        <f>'Stage 1 Inputs'!A26</f>
        <v>2008Q1</v>
      </c>
      <c r="B26" s="3" t="str">
        <f>'Stage 1 Inputs'!B26</f>
        <v>Mar 2008</v>
      </c>
      <c r="C26" s="3">
        <f>'Stage 1 Inputs'!G26</f>
        <v>47595000000</v>
      </c>
      <c r="D26" s="3">
        <f>'Stage 1 Inputs'!E26</f>
        <v>983</v>
      </c>
      <c r="E26" s="3">
        <f>'Stage 1 Inputs'!F26</f>
        <v>1.5879959308240081</v>
      </c>
      <c r="F26" s="3">
        <f>'Stage 1 Inputs'!J26</f>
        <v>75580666327.568665</v>
      </c>
      <c r="G26" s="3">
        <f>'Stage 1 Inputs'!L26</f>
        <v>25.048466351017947</v>
      </c>
      <c r="H26" s="3">
        <f>'Stage 1 Inputs'!AH26</f>
        <v>0</v>
      </c>
      <c r="I26" s="3">
        <f>'Stage 1 Inputs'!AI26</f>
        <v>0</v>
      </c>
      <c r="J26" s="3">
        <f>'Stage 1 Inputs'!AJ26</f>
        <v>0</v>
      </c>
      <c r="K26" s="3">
        <f>'Stage 1 Inputs'!AK26</f>
        <v>0</v>
      </c>
      <c r="L26" s="3">
        <f>'Stage 1 Inputs'!AL26</f>
        <v>0</v>
      </c>
      <c r="M26" s="3">
        <f>'Stage 1 Inputs'!AM26</f>
        <v>0</v>
      </c>
      <c r="N26" s="3">
        <f>'Stage 1 Inputs'!AN26</f>
        <v>0</v>
      </c>
      <c r="O26" s="3">
        <f>'Stage 1 Inputs'!AT26</f>
        <v>0</v>
      </c>
      <c r="P26" s="3">
        <f>'Stage 1 Inputs'!AU26</f>
        <v>0</v>
      </c>
      <c r="Q26" s="3">
        <f>'Stage 1 Inputs'!AV26</f>
        <v>0</v>
      </c>
      <c r="R26" s="3" t="str">
        <f>'Stage 1 Inputs'!AX26</f>
        <v>Historical official/source data</v>
      </c>
      <c r="S26" s="3" t="str">
        <f>'Stage 1 Inputs'!AY26</f>
        <v>No special note</v>
      </c>
    </row>
    <row r="27" spans="1:19" ht="19.95" customHeight="1" x14ac:dyDescent="0.3">
      <c r="A27" s="3" t="str">
        <f>'Stage 1 Inputs'!A27</f>
        <v>2008Q2</v>
      </c>
      <c r="B27" s="3" t="str">
        <f>'Stage 1 Inputs'!B27</f>
        <v>Jun 2008</v>
      </c>
      <c r="C27" s="3">
        <f>'Stage 1 Inputs'!G27</f>
        <v>47561000000</v>
      </c>
      <c r="D27" s="3">
        <f>'Stage 1 Inputs'!E27</f>
        <v>996</v>
      </c>
      <c r="E27" s="3">
        <f>'Stage 1 Inputs'!F27</f>
        <v>1.5672690763052208</v>
      </c>
      <c r="F27" s="3">
        <f>'Stage 1 Inputs'!J27</f>
        <v>74540884538.152603</v>
      </c>
      <c r="G27" s="3">
        <f>'Stage 1 Inputs'!L27</f>
        <v>25.034613597551111</v>
      </c>
      <c r="H27" s="3">
        <f>'Stage 1 Inputs'!AH27</f>
        <v>0</v>
      </c>
      <c r="I27" s="3">
        <f>'Stage 1 Inputs'!AI27</f>
        <v>0</v>
      </c>
      <c r="J27" s="3">
        <f>'Stage 1 Inputs'!AJ27</f>
        <v>0</v>
      </c>
      <c r="K27" s="3">
        <f>'Stage 1 Inputs'!AK27</f>
        <v>0</v>
      </c>
      <c r="L27" s="3">
        <f>'Stage 1 Inputs'!AL27</f>
        <v>0</v>
      </c>
      <c r="M27" s="3">
        <f>'Stage 1 Inputs'!AM27</f>
        <v>0</v>
      </c>
      <c r="N27" s="3">
        <f>'Stage 1 Inputs'!AN27</f>
        <v>0</v>
      </c>
      <c r="O27" s="3">
        <f>'Stage 1 Inputs'!AT27</f>
        <v>1</v>
      </c>
      <c r="P27" s="3">
        <f>'Stage 1 Inputs'!AU27</f>
        <v>0</v>
      </c>
      <c r="Q27" s="3">
        <f>'Stage 1 Inputs'!AV27</f>
        <v>0</v>
      </c>
      <c r="R27" s="3" t="str">
        <f>'Stage 1 Inputs'!AX27</f>
        <v>Historical official/source data</v>
      </c>
      <c r="S27" s="3" t="str">
        <f>'Stage 1 Inputs'!AY27</f>
        <v>No special note</v>
      </c>
    </row>
    <row r="28" spans="1:19" ht="19.95" customHeight="1" x14ac:dyDescent="0.3">
      <c r="A28" s="3" t="str">
        <f>'Stage 1 Inputs'!A28</f>
        <v>2008Q3</v>
      </c>
      <c r="B28" s="3" t="str">
        <f>'Stage 1 Inputs'!B28</f>
        <v>Sep 2008</v>
      </c>
      <c r="C28" s="3">
        <f>'Stage 1 Inputs'!G28</f>
        <v>47007000000</v>
      </c>
      <c r="D28" s="3">
        <f>'Stage 1 Inputs'!E28</f>
        <v>983</v>
      </c>
      <c r="E28" s="3">
        <f>'Stage 1 Inputs'!F28</f>
        <v>1.5879959308240081</v>
      </c>
      <c r="F28" s="3">
        <f>'Stage 1 Inputs'!J28</f>
        <v>74646924720.244156</v>
      </c>
      <c r="G28" s="3">
        <f>'Stage 1 Inputs'!L28</f>
        <v>25.036035164105058</v>
      </c>
      <c r="H28" s="3">
        <f>'Stage 1 Inputs'!AH28</f>
        <v>0</v>
      </c>
      <c r="I28" s="3">
        <f>'Stage 1 Inputs'!AI28</f>
        <v>0</v>
      </c>
      <c r="J28" s="3">
        <f>'Stage 1 Inputs'!AJ28</f>
        <v>0</v>
      </c>
      <c r="K28" s="3">
        <f>'Stage 1 Inputs'!AK28</f>
        <v>0</v>
      </c>
      <c r="L28" s="3">
        <f>'Stage 1 Inputs'!AL28</f>
        <v>0</v>
      </c>
      <c r="M28" s="3">
        <f>'Stage 1 Inputs'!AM28</f>
        <v>0</v>
      </c>
      <c r="N28" s="3">
        <f>'Stage 1 Inputs'!AN28</f>
        <v>0</v>
      </c>
      <c r="O28" s="3">
        <f>'Stage 1 Inputs'!AT28</f>
        <v>0</v>
      </c>
      <c r="P28" s="3">
        <f>'Stage 1 Inputs'!AU28</f>
        <v>1</v>
      </c>
      <c r="Q28" s="3">
        <f>'Stage 1 Inputs'!AV28</f>
        <v>0</v>
      </c>
      <c r="R28" s="3" t="str">
        <f>'Stage 1 Inputs'!AX28</f>
        <v>Historical official/source data</v>
      </c>
      <c r="S28" s="3" t="str">
        <f>'Stage 1 Inputs'!AY28</f>
        <v>No special note</v>
      </c>
    </row>
    <row r="29" spans="1:19" ht="19.95" customHeight="1" x14ac:dyDescent="0.3">
      <c r="A29" s="3" t="str">
        <f>'Stage 1 Inputs'!A29</f>
        <v>2008Q4</v>
      </c>
      <c r="B29" s="3" t="str">
        <f>'Stage 1 Inputs'!B29</f>
        <v>Dec 2008</v>
      </c>
      <c r="C29" s="3">
        <f>'Stage 1 Inputs'!G29</f>
        <v>47621000000</v>
      </c>
      <c r="D29" s="3">
        <f>'Stage 1 Inputs'!E29</f>
        <v>996</v>
      </c>
      <c r="E29" s="3">
        <f>'Stage 1 Inputs'!F29</f>
        <v>1.5672690763052208</v>
      </c>
      <c r="F29" s="3">
        <f>'Stage 1 Inputs'!J29</f>
        <v>74634920682.730927</v>
      </c>
      <c r="G29" s="3">
        <f>'Stage 1 Inputs'!L29</f>
        <v>25.035874340295482</v>
      </c>
      <c r="H29" s="3">
        <f>'Stage 1 Inputs'!AH29</f>
        <v>0</v>
      </c>
      <c r="I29" s="3">
        <f>'Stage 1 Inputs'!AI29</f>
        <v>0</v>
      </c>
      <c r="J29" s="3">
        <f>'Stage 1 Inputs'!AJ29</f>
        <v>0</v>
      </c>
      <c r="K29" s="3">
        <f>'Stage 1 Inputs'!AK29</f>
        <v>0</v>
      </c>
      <c r="L29" s="3">
        <f>'Stage 1 Inputs'!AL29</f>
        <v>0</v>
      </c>
      <c r="M29" s="3">
        <f>'Stage 1 Inputs'!AM29</f>
        <v>0</v>
      </c>
      <c r="N29" s="3">
        <f>'Stage 1 Inputs'!AN29</f>
        <v>0</v>
      </c>
      <c r="O29" s="3">
        <f>'Stage 1 Inputs'!AT29</f>
        <v>0</v>
      </c>
      <c r="P29" s="3">
        <f>'Stage 1 Inputs'!AU29</f>
        <v>0</v>
      </c>
      <c r="Q29" s="3">
        <f>'Stage 1 Inputs'!AV29</f>
        <v>1</v>
      </c>
      <c r="R29" s="3" t="str">
        <f>'Stage 1 Inputs'!AX29</f>
        <v>Historical official/source data</v>
      </c>
      <c r="S29" s="3" t="str">
        <f>'Stage 1 Inputs'!AY29</f>
        <v>No special note</v>
      </c>
    </row>
    <row r="30" spans="1:19" ht="19.95" customHeight="1" x14ac:dyDescent="0.3">
      <c r="A30" s="3" t="str">
        <f>'Stage 1 Inputs'!A30</f>
        <v>2009Q1</v>
      </c>
      <c r="B30" s="3" t="str">
        <f>'Stage 1 Inputs'!B30</f>
        <v>Mar 2009</v>
      </c>
      <c r="C30" s="3">
        <f>'Stage 1 Inputs'!G30</f>
        <v>47589000000</v>
      </c>
      <c r="D30" s="3">
        <f>'Stage 1 Inputs'!E30</f>
        <v>1003</v>
      </c>
      <c r="E30" s="3">
        <f>'Stage 1 Inputs'!F30</f>
        <v>1.5563310069790628</v>
      </c>
      <c r="F30" s="3">
        <f>'Stage 1 Inputs'!J30</f>
        <v>74064236291.126617</v>
      </c>
      <c r="G30" s="3">
        <f>'Stage 1 Inputs'!L30</f>
        <v>25.028198611594334</v>
      </c>
      <c r="H30" s="3">
        <f>'Stage 1 Inputs'!AH30</f>
        <v>0</v>
      </c>
      <c r="I30" s="3">
        <f>'Stage 1 Inputs'!AI30</f>
        <v>0</v>
      </c>
      <c r="J30" s="3">
        <f>'Stage 1 Inputs'!AJ30</f>
        <v>0</v>
      </c>
      <c r="K30" s="3">
        <f>'Stage 1 Inputs'!AK30</f>
        <v>0</v>
      </c>
      <c r="L30" s="3">
        <f>'Stage 1 Inputs'!AL30</f>
        <v>0</v>
      </c>
      <c r="M30" s="3">
        <f>'Stage 1 Inputs'!AM30</f>
        <v>0</v>
      </c>
      <c r="N30" s="3">
        <f>'Stage 1 Inputs'!AN30</f>
        <v>0</v>
      </c>
      <c r="O30" s="3">
        <f>'Stage 1 Inputs'!AT30</f>
        <v>0</v>
      </c>
      <c r="P30" s="3">
        <f>'Stage 1 Inputs'!AU30</f>
        <v>0</v>
      </c>
      <c r="Q30" s="3">
        <f>'Stage 1 Inputs'!AV30</f>
        <v>0</v>
      </c>
      <c r="R30" s="3" t="str">
        <f>'Stage 1 Inputs'!AX30</f>
        <v>Historical official/source data</v>
      </c>
      <c r="S30" s="3" t="str">
        <f>'Stage 1 Inputs'!AY30</f>
        <v>No special note</v>
      </c>
    </row>
    <row r="31" spans="1:19" ht="19.95" customHeight="1" x14ac:dyDescent="0.3">
      <c r="A31" s="3" t="str">
        <f>'Stage 1 Inputs'!A31</f>
        <v>2009Q2</v>
      </c>
      <c r="B31" s="3" t="str">
        <f>'Stage 1 Inputs'!B31</f>
        <v>Jun 2009</v>
      </c>
      <c r="C31" s="3">
        <f>'Stage 1 Inputs'!G31</f>
        <v>47604000000</v>
      </c>
      <c r="D31" s="3">
        <f>'Stage 1 Inputs'!E31</f>
        <v>991</v>
      </c>
      <c r="E31" s="3">
        <f>'Stage 1 Inputs'!F31</f>
        <v>1.5751765893037335</v>
      </c>
      <c r="F31" s="3">
        <f>'Stage 1 Inputs'!J31</f>
        <v>74984706357.214935</v>
      </c>
      <c r="G31" s="3">
        <f>'Stage 1 Inputs'!L31</f>
        <v>25.040550014452048</v>
      </c>
      <c r="H31" s="3">
        <f>'Stage 1 Inputs'!AH31</f>
        <v>0</v>
      </c>
      <c r="I31" s="3">
        <f>'Stage 1 Inputs'!AI31</f>
        <v>0</v>
      </c>
      <c r="J31" s="3">
        <f>'Stage 1 Inputs'!AJ31</f>
        <v>0</v>
      </c>
      <c r="K31" s="3">
        <f>'Stage 1 Inputs'!AK31</f>
        <v>0</v>
      </c>
      <c r="L31" s="3">
        <f>'Stage 1 Inputs'!AL31</f>
        <v>0</v>
      </c>
      <c r="M31" s="3">
        <f>'Stage 1 Inputs'!AM31</f>
        <v>316.45730769677192</v>
      </c>
      <c r="N31" s="3">
        <f>'Stage 1 Inputs'!AN31</f>
        <v>5.7571883436921496</v>
      </c>
      <c r="O31" s="3">
        <f>'Stage 1 Inputs'!AT31</f>
        <v>1</v>
      </c>
      <c r="P31" s="3">
        <f>'Stage 1 Inputs'!AU31</f>
        <v>0</v>
      </c>
      <c r="Q31" s="3">
        <f>'Stage 1 Inputs'!AV31</f>
        <v>0</v>
      </c>
      <c r="R31" s="3" t="str">
        <f>'Stage 1 Inputs'!AX31</f>
        <v>Historical official/source data</v>
      </c>
      <c r="S31" s="3" t="str">
        <f>'Stage 1 Inputs'!AY31</f>
        <v>No special note</v>
      </c>
    </row>
    <row r="32" spans="1:19" ht="19.95" customHeight="1" x14ac:dyDescent="0.3">
      <c r="A32" s="3" t="str">
        <f>'Stage 1 Inputs'!A32</f>
        <v>2009Q3</v>
      </c>
      <c r="B32" s="3" t="str">
        <f>'Stage 1 Inputs'!B32</f>
        <v>Sep 2009</v>
      </c>
      <c r="C32" s="3">
        <f>'Stage 1 Inputs'!G32</f>
        <v>48369000000</v>
      </c>
      <c r="D32" s="3">
        <f>'Stage 1 Inputs'!E32</f>
        <v>1001</v>
      </c>
      <c r="E32" s="3">
        <f>'Stage 1 Inputs'!F32</f>
        <v>1.5594405594405594</v>
      </c>
      <c r="F32" s="3">
        <f>'Stage 1 Inputs'!J32</f>
        <v>75428580419.580414</v>
      </c>
      <c r="G32" s="3">
        <f>'Stage 1 Inputs'!L32</f>
        <v>25.046452090796336</v>
      </c>
      <c r="H32" s="3">
        <f>'Stage 1 Inputs'!AH32</f>
        <v>164451071.09999999</v>
      </c>
      <c r="I32" s="3">
        <f>'Stage 1 Inputs'!AI32</f>
        <v>779203143</v>
      </c>
      <c r="J32" s="3">
        <f>'Stage 1 Inputs'!AJ32</f>
        <v>211.05031797850435</v>
      </c>
      <c r="K32" s="3">
        <f>'Stage 1 Inputs'!AK32</f>
        <v>316.45730769677192</v>
      </c>
      <c r="L32" s="3">
        <f>'Stage 1 Inputs'!AL32</f>
        <v>5.7571883436921496</v>
      </c>
      <c r="M32" s="3">
        <f>'Stage 1 Inputs'!AM32</f>
        <v>324.42653603820798</v>
      </c>
      <c r="N32" s="3">
        <f>'Stage 1 Inputs'!AN32</f>
        <v>5.7820591192601798</v>
      </c>
      <c r="O32" s="3">
        <f>'Stage 1 Inputs'!AT32</f>
        <v>0</v>
      </c>
      <c r="P32" s="3">
        <f>'Stage 1 Inputs'!AU32</f>
        <v>1</v>
      </c>
      <c r="Q32" s="3">
        <f>'Stage 1 Inputs'!AV32</f>
        <v>0</v>
      </c>
      <c r="R32" s="3" t="str">
        <f>'Stage 1 Inputs'!AX32</f>
        <v>Historical official/source data</v>
      </c>
      <c r="S32" s="3" t="str">
        <f>'Stage 1 Inputs'!AY32</f>
        <v>No special note</v>
      </c>
    </row>
    <row r="33" spans="1:19" ht="19.95" customHeight="1" x14ac:dyDescent="0.3">
      <c r="A33" s="3" t="str">
        <f>'Stage 1 Inputs'!A33</f>
        <v>2009Q4</v>
      </c>
      <c r="B33" s="3" t="str">
        <f>'Stage 1 Inputs'!B33</f>
        <v>Dec 2009</v>
      </c>
      <c r="C33" s="3">
        <f>'Stage 1 Inputs'!G33</f>
        <v>48783000000</v>
      </c>
      <c r="D33" s="3">
        <f>'Stage 1 Inputs'!E33</f>
        <v>998</v>
      </c>
      <c r="E33" s="3">
        <f>'Stage 1 Inputs'!F33</f>
        <v>1.5641282565130261</v>
      </c>
      <c r="F33" s="3">
        <f>'Stage 1 Inputs'!J33</f>
        <v>76302868737.47496</v>
      </c>
      <c r="G33" s="3">
        <f>'Stage 1 Inputs'!L33</f>
        <v>25.057976372662075</v>
      </c>
      <c r="H33" s="3">
        <f>'Stage 1 Inputs'!AH33</f>
        <v>178911613.80000001</v>
      </c>
      <c r="I33" s="3">
        <f>'Stage 1 Inputs'!AI33</f>
        <v>827823758</v>
      </c>
      <c r="J33" s="3">
        <f>'Stage 1 Inputs'!AJ33</f>
        <v>216.12283057959786</v>
      </c>
      <c r="K33" s="3">
        <f>'Stage 1 Inputs'!AK33</f>
        <v>324.42653603820798</v>
      </c>
      <c r="L33" s="3">
        <f>'Stage 1 Inputs'!AL33</f>
        <v>5.7820591192601798</v>
      </c>
      <c r="M33" s="3">
        <f>'Stage 1 Inputs'!AM33</f>
        <v>339.53712163743586</v>
      </c>
      <c r="N33" s="3">
        <f>'Stage 1 Inputs'!AN33</f>
        <v>5.8275832831050991</v>
      </c>
      <c r="O33" s="3">
        <f>'Stage 1 Inputs'!AT33</f>
        <v>0</v>
      </c>
      <c r="P33" s="3">
        <f>'Stage 1 Inputs'!AU33</f>
        <v>0</v>
      </c>
      <c r="Q33" s="3">
        <f>'Stage 1 Inputs'!AV33</f>
        <v>1</v>
      </c>
      <c r="R33" s="3" t="str">
        <f>'Stage 1 Inputs'!AX33</f>
        <v>Historical official/source data</v>
      </c>
      <c r="S33" s="3" t="str">
        <f>'Stage 1 Inputs'!AY33</f>
        <v>No special note</v>
      </c>
    </row>
    <row r="34" spans="1:19" ht="19.95" customHeight="1" x14ac:dyDescent="0.3">
      <c r="A34" s="3" t="str">
        <f>'Stage 1 Inputs'!A34</f>
        <v>2010Q1</v>
      </c>
      <c r="B34" s="3" t="str">
        <f>'Stage 1 Inputs'!B34</f>
        <v>Mar 2010</v>
      </c>
      <c r="C34" s="3">
        <f>'Stage 1 Inputs'!G34</f>
        <v>49947000000</v>
      </c>
      <c r="D34" s="3">
        <f>'Stage 1 Inputs'!E34</f>
        <v>1010</v>
      </c>
      <c r="E34" s="3">
        <f>'Stage 1 Inputs'!F34</f>
        <v>1.5455445544554456</v>
      </c>
      <c r="F34" s="3">
        <f>'Stage 1 Inputs'!J34</f>
        <v>77195313861.386139</v>
      </c>
      <c r="G34" s="3">
        <f>'Stage 1 Inputs'!L34</f>
        <v>25.069604590857363</v>
      </c>
      <c r="H34" s="3">
        <f>'Stage 1 Inputs'!AH34</f>
        <v>187389933.09999999</v>
      </c>
      <c r="I34" s="3">
        <f>'Stage 1 Inputs'!AI34</f>
        <v>825689069</v>
      </c>
      <c r="J34" s="3">
        <f>'Stage 1 Inputs'!AJ34</f>
        <v>226.94975643428313</v>
      </c>
      <c r="K34" s="3">
        <f>'Stage 1 Inputs'!AK34</f>
        <v>339.53712163743586</v>
      </c>
      <c r="L34" s="3">
        <f>'Stage 1 Inputs'!AL34</f>
        <v>5.8275832831050991</v>
      </c>
      <c r="M34" s="3">
        <f>'Stage 1 Inputs'!AM34</f>
        <v>336.92746803128222</v>
      </c>
      <c r="N34" s="3">
        <f>'Stage 1 Inputs'!AN34</f>
        <v>5.8198676787935861</v>
      </c>
      <c r="O34" s="3">
        <f>'Stage 1 Inputs'!AT34</f>
        <v>0</v>
      </c>
      <c r="P34" s="3">
        <f>'Stage 1 Inputs'!AU34</f>
        <v>0</v>
      </c>
      <c r="Q34" s="3">
        <f>'Stage 1 Inputs'!AV34</f>
        <v>0</v>
      </c>
      <c r="R34" s="3" t="str">
        <f>'Stage 1 Inputs'!AX34</f>
        <v>Historical official/source data</v>
      </c>
      <c r="S34" s="3" t="str">
        <f>'Stage 1 Inputs'!AY34</f>
        <v>No special note</v>
      </c>
    </row>
    <row r="35" spans="1:19" ht="19.95" customHeight="1" x14ac:dyDescent="0.3">
      <c r="A35" s="3" t="str">
        <f>'Stage 1 Inputs'!A35</f>
        <v>2010Q2</v>
      </c>
      <c r="B35" s="3" t="str">
        <f>'Stage 1 Inputs'!B35</f>
        <v>Jun 2010</v>
      </c>
      <c r="C35" s="3">
        <f>'Stage 1 Inputs'!G35</f>
        <v>50254000000</v>
      </c>
      <c r="D35" s="3">
        <f>'Stage 1 Inputs'!E35</f>
        <v>1010</v>
      </c>
      <c r="E35" s="3">
        <f>'Stage 1 Inputs'!F35</f>
        <v>1.5455445544554456</v>
      </c>
      <c r="F35" s="3">
        <f>'Stage 1 Inputs'!J35</f>
        <v>77669796039.603958</v>
      </c>
      <c r="G35" s="3">
        <f>'Stage 1 Inputs'!L35</f>
        <v>25.075732293387702</v>
      </c>
      <c r="H35" s="3">
        <f>'Stage 1 Inputs'!AH35</f>
        <v>177717807.90000001</v>
      </c>
      <c r="I35" s="3">
        <f>'Stage 1 Inputs'!AI35</f>
        <v>788255658</v>
      </c>
      <c r="J35" s="3">
        <f>'Stage 1 Inputs'!AJ35</f>
        <v>225.4570659865787</v>
      </c>
      <c r="K35" s="3">
        <f>'Stage 1 Inputs'!AK35</f>
        <v>336.92746803128222</v>
      </c>
      <c r="L35" s="3">
        <f>'Stage 1 Inputs'!AL35</f>
        <v>5.8198676787935861</v>
      </c>
      <c r="M35" s="3">
        <f>'Stage 1 Inputs'!AM35</f>
        <v>329.03856796630532</v>
      </c>
      <c r="N35" s="3">
        <f>'Stage 1 Inputs'!AN35</f>
        <v>5.7961749717558337</v>
      </c>
      <c r="O35" s="3">
        <f>'Stage 1 Inputs'!AT35</f>
        <v>1</v>
      </c>
      <c r="P35" s="3">
        <f>'Stage 1 Inputs'!AU35</f>
        <v>0</v>
      </c>
      <c r="Q35" s="3">
        <f>'Stage 1 Inputs'!AV35</f>
        <v>0</v>
      </c>
      <c r="R35" s="3" t="str">
        <f>'Stage 1 Inputs'!AX35</f>
        <v>Historical official/source data</v>
      </c>
      <c r="S35" s="3" t="str">
        <f>'Stage 1 Inputs'!AY35</f>
        <v>No special note</v>
      </c>
    </row>
    <row r="36" spans="1:19" ht="19.95" customHeight="1" x14ac:dyDescent="0.3">
      <c r="A36" s="3" t="str">
        <f>'Stage 1 Inputs'!A36</f>
        <v>2010Q3</v>
      </c>
      <c r="B36" s="3" t="str">
        <f>'Stage 1 Inputs'!B36</f>
        <v>Sep 2010</v>
      </c>
      <c r="C36" s="3">
        <f>'Stage 1 Inputs'!G36</f>
        <v>50570000000</v>
      </c>
      <c r="D36" s="3">
        <f>'Stage 1 Inputs'!E36</f>
        <v>1031</v>
      </c>
      <c r="E36" s="3">
        <f>'Stage 1 Inputs'!F36</f>
        <v>1.5140640155189138</v>
      </c>
      <c r="F36" s="3">
        <f>'Stage 1 Inputs'!J36</f>
        <v>76566217264.791473</v>
      </c>
      <c r="G36" s="3">
        <f>'Stage 1 Inputs'!L36</f>
        <v>25.061421788536776</v>
      </c>
      <c r="H36" s="3">
        <f>'Stage 1 Inputs'!AH36</f>
        <v>179129482.5</v>
      </c>
      <c r="I36" s="3">
        <f>'Stage 1 Inputs'!AI36</f>
        <v>804586320</v>
      </c>
      <c r="J36" s="3">
        <f>'Stage 1 Inputs'!AJ36</f>
        <v>222.63550603246648</v>
      </c>
      <c r="K36" s="3">
        <f>'Stage 1 Inputs'!AK36</f>
        <v>329.03856796630532</v>
      </c>
      <c r="L36" s="3">
        <f>'Stage 1 Inputs'!AL36</f>
        <v>5.7961749717558337</v>
      </c>
      <c r="M36" s="3">
        <f>'Stage 1 Inputs'!AM36</f>
        <v>345.94642368007186</v>
      </c>
      <c r="N36" s="3">
        <f>'Stage 1 Inputs'!AN36</f>
        <v>5.8462839182127384</v>
      </c>
      <c r="O36" s="3">
        <f>'Stage 1 Inputs'!AT36</f>
        <v>0</v>
      </c>
      <c r="P36" s="3">
        <f>'Stage 1 Inputs'!AU36</f>
        <v>1</v>
      </c>
      <c r="Q36" s="3">
        <f>'Stage 1 Inputs'!AV36</f>
        <v>0</v>
      </c>
      <c r="R36" s="3" t="str">
        <f>'Stage 1 Inputs'!AX36</f>
        <v>Historical official/source data</v>
      </c>
      <c r="S36" s="3" t="str">
        <f>'Stage 1 Inputs'!AY36</f>
        <v>No special note</v>
      </c>
    </row>
    <row r="37" spans="1:19" ht="19.95" customHeight="1" x14ac:dyDescent="0.3">
      <c r="A37" s="3" t="str">
        <f>'Stage 1 Inputs'!A37</f>
        <v>2010Q4</v>
      </c>
      <c r="B37" s="3" t="str">
        <f>'Stage 1 Inputs'!B37</f>
        <v>Dec 2010</v>
      </c>
      <c r="C37" s="3">
        <f>'Stage 1 Inputs'!G37</f>
        <v>51272000000</v>
      </c>
      <c r="D37" s="3">
        <f>'Stage 1 Inputs'!E37</f>
        <v>1058</v>
      </c>
      <c r="E37" s="3">
        <f>'Stage 1 Inputs'!F37</f>
        <v>1.4754253308128544</v>
      </c>
      <c r="F37" s="3">
        <f>'Stage 1 Inputs'!J37</f>
        <v>75648007561.436676</v>
      </c>
      <c r="G37" s="3">
        <f>'Stage 1 Inputs'!L37</f>
        <v>25.049356939245524</v>
      </c>
      <c r="H37" s="3">
        <f>'Stage 1 Inputs'!AH37</f>
        <v>214147940.80000001</v>
      </c>
      <c r="I37" s="3">
        <f>'Stage 1 Inputs'!AI37</f>
        <v>894140775</v>
      </c>
      <c r="J37" s="3">
        <f>'Stage 1 Inputs'!AJ37</f>
        <v>239.50137024004974</v>
      </c>
      <c r="K37" s="3">
        <f>'Stage 1 Inputs'!AK37</f>
        <v>345.94642368007186</v>
      </c>
      <c r="L37" s="3">
        <f>'Stage 1 Inputs'!AL37</f>
        <v>5.8462839182127384</v>
      </c>
      <c r="M37" s="3">
        <f>'Stage 1 Inputs'!AM37</f>
        <v>353.35052840535798</v>
      </c>
      <c r="N37" s="3">
        <f>'Stage 1 Inputs'!AN37</f>
        <v>5.8674605625520693</v>
      </c>
      <c r="O37" s="3">
        <f>'Stage 1 Inputs'!AT37</f>
        <v>0</v>
      </c>
      <c r="P37" s="3">
        <f>'Stage 1 Inputs'!AU37</f>
        <v>0</v>
      </c>
      <c r="Q37" s="3">
        <f>'Stage 1 Inputs'!AV37</f>
        <v>1</v>
      </c>
      <c r="R37" s="3" t="str">
        <f>'Stage 1 Inputs'!AX37</f>
        <v>Historical official/source data</v>
      </c>
      <c r="S37" s="3" t="str">
        <f>'Stage 1 Inputs'!AY37</f>
        <v>No special note</v>
      </c>
    </row>
    <row r="38" spans="1:19" ht="19.95" customHeight="1" x14ac:dyDescent="0.3">
      <c r="A38" s="3" t="str">
        <f>'Stage 1 Inputs'!A38</f>
        <v>2011Q1</v>
      </c>
      <c r="B38" s="3" t="str">
        <f>'Stage 1 Inputs'!B38</f>
        <v>Mar 2011</v>
      </c>
      <c r="C38" s="3">
        <f>'Stage 1 Inputs'!G38</f>
        <v>51700000000</v>
      </c>
      <c r="D38" s="3">
        <f>'Stage 1 Inputs'!E38</f>
        <v>1049</v>
      </c>
      <c r="E38" s="3">
        <f>'Stage 1 Inputs'!F38</f>
        <v>1.4880838894184938</v>
      </c>
      <c r="F38" s="3">
        <f>'Stage 1 Inputs'!J38</f>
        <v>76933937082.936127</v>
      </c>
      <c r="G38" s="3">
        <f>'Stage 1 Inputs'!L38</f>
        <v>25.06621293057993</v>
      </c>
      <c r="H38" s="3">
        <f>'Stage 1 Inputs'!AH38</f>
        <v>213592601.69999999</v>
      </c>
      <c r="I38" s="3">
        <f>'Stage 1 Inputs'!AI38</f>
        <v>865664139</v>
      </c>
      <c r="J38" s="3">
        <f>'Stage 1 Inputs'!AJ38</f>
        <v>246.73841976027609</v>
      </c>
      <c r="K38" s="3">
        <f>'Stage 1 Inputs'!AK38</f>
        <v>353.35052840535798</v>
      </c>
      <c r="L38" s="3">
        <f>'Stage 1 Inputs'!AL38</f>
        <v>5.8674605625520693</v>
      </c>
      <c r="M38" s="3">
        <f>'Stage 1 Inputs'!AM38</f>
        <v>350.32701148272173</v>
      </c>
      <c r="N38" s="3">
        <f>'Stage 1 Inputs'!AN38</f>
        <v>5.8588670368016524</v>
      </c>
      <c r="O38" s="3">
        <f>'Stage 1 Inputs'!AT38</f>
        <v>0</v>
      </c>
      <c r="P38" s="3">
        <f>'Stage 1 Inputs'!AU38</f>
        <v>0</v>
      </c>
      <c r="Q38" s="3">
        <f>'Stage 1 Inputs'!AV38</f>
        <v>0</v>
      </c>
      <c r="R38" s="3" t="str">
        <f>'Stage 1 Inputs'!AX38</f>
        <v>Historical official/source data</v>
      </c>
      <c r="S38" s="3" t="str">
        <f>'Stage 1 Inputs'!AY38</f>
        <v>No special note</v>
      </c>
    </row>
    <row r="39" spans="1:19" ht="19.95" customHeight="1" x14ac:dyDescent="0.3">
      <c r="A39" s="3" t="str">
        <f>'Stage 1 Inputs'!A39</f>
        <v>2011Q2</v>
      </c>
      <c r="B39" s="3" t="str">
        <f>'Stage 1 Inputs'!B39</f>
        <v>Jun 2011</v>
      </c>
      <c r="C39" s="3">
        <f>'Stage 1 Inputs'!G39</f>
        <v>52555000000</v>
      </c>
      <c r="D39" s="3">
        <f>'Stage 1 Inputs'!E39</f>
        <v>1057</v>
      </c>
      <c r="E39" s="3">
        <f>'Stage 1 Inputs'!F39</f>
        <v>1.4768211920529801</v>
      </c>
      <c r="F39" s="3">
        <f>'Stage 1 Inputs'!J39</f>
        <v>77614337748.344376</v>
      </c>
      <c r="G39" s="3">
        <f>'Stage 1 Inputs'!L39</f>
        <v>25.075018011866923</v>
      </c>
      <c r="H39" s="3">
        <f>'Stage 1 Inputs'!AH39</f>
        <v>203525875.90000001</v>
      </c>
      <c r="I39" s="3">
        <f>'Stage 1 Inputs'!AI39</f>
        <v>824051949</v>
      </c>
      <c r="J39" s="3">
        <f>'Stage 1 Inputs'!AJ39</f>
        <v>246.9818512619039</v>
      </c>
      <c r="K39" s="3">
        <f>'Stage 1 Inputs'!AK39</f>
        <v>350.32701148272173</v>
      </c>
      <c r="L39" s="3">
        <f>'Stage 1 Inputs'!AL39</f>
        <v>5.8588670368016524</v>
      </c>
      <c r="M39" s="3">
        <f>'Stage 1 Inputs'!AM39</f>
        <v>342.81492247529263</v>
      </c>
      <c r="N39" s="3">
        <f>'Stage 1 Inputs'!AN39</f>
        <v>5.8371907169176325</v>
      </c>
      <c r="O39" s="3">
        <f>'Stage 1 Inputs'!AT39</f>
        <v>1</v>
      </c>
      <c r="P39" s="3">
        <f>'Stage 1 Inputs'!AU39</f>
        <v>0</v>
      </c>
      <c r="Q39" s="3">
        <f>'Stage 1 Inputs'!AV39</f>
        <v>0</v>
      </c>
      <c r="R39" s="3" t="str">
        <f>'Stage 1 Inputs'!AX39</f>
        <v>Historical official/source data</v>
      </c>
      <c r="S39" s="3" t="str">
        <f>'Stage 1 Inputs'!AY39</f>
        <v>No special note</v>
      </c>
    </row>
    <row r="40" spans="1:19" ht="19.95" customHeight="1" x14ac:dyDescent="0.3">
      <c r="A40" s="3" t="str">
        <f>'Stage 1 Inputs'!A40</f>
        <v>2011Q3</v>
      </c>
      <c r="B40" s="3" t="str">
        <f>'Stage 1 Inputs'!B40</f>
        <v>Sep 2011</v>
      </c>
      <c r="C40" s="3">
        <f>'Stage 1 Inputs'!G40</f>
        <v>53351000000</v>
      </c>
      <c r="D40" s="3">
        <f>'Stage 1 Inputs'!E40</f>
        <v>1062</v>
      </c>
      <c r="E40" s="3">
        <f>'Stage 1 Inputs'!F40</f>
        <v>1.4698681732580037</v>
      </c>
      <c r="F40" s="3">
        <f>'Stage 1 Inputs'!J40</f>
        <v>78418936911.487747</v>
      </c>
      <c r="G40" s="3">
        <f>'Stage 1 Inputs'!L40</f>
        <v>25.085331277374507</v>
      </c>
      <c r="H40" s="3">
        <f>'Stage 1 Inputs'!AH40</f>
        <v>199661664.09999999</v>
      </c>
      <c r="I40" s="3">
        <f>'Stage 1 Inputs'!AI40</f>
        <v>822635047</v>
      </c>
      <c r="J40" s="3">
        <f>'Stage 1 Inputs'!AJ40</f>
        <v>242.7098928353827</v>
      </c>
      <c r="K40" s="3">
        <f>'Stage 1 Inputs'!AK40</f>
        <v>342.81492247529263</v>
      </c>
      <c r="L40" s="3">
        <f>'Stage 1 Inputs'!AL40</f>
        <v>5.8371907169176325</v>
      </c>
      <c r="M40" s="3">
        <f>'Stage 1 Inputs'!AM40</f>
        <v>341.44857760785277</v>
      </c>
      <c r="N40" s="3">
        <f>'Stage 1 Inputs'!AN40</f>
        <v>5.833197089657765</v>
      </c>
      <c r="O40" s="3">
        <f>'Stage 1 Inputs'!AT40</f>
        <v>0</v>
      </c>
      <c r="P40" s="3">
        <f>'Stage 1 Inputs'!AU40</f>
        <v>1</v>
      </c>
      <c r="Q40" s="3">
        <f>'Stage 1 Inputs'!AV40</f>
        <v>0</v>
      </c>
      <c r="R40" s="3" t="str">
        <f>'Stage 1 Inputs'!AX40</f>
        <v>Historical official/source data</v>
      </c>
      <c r="S40" s="3" t="str">
        <f>'Stage 1 Inputs'!AY40</f>
        <v>No special note</v>
      </c>
    </row>
    <row r="41" spans="1:19" ht="19.95" customHeight="1" x14ac:dyDescent="0.3">
      <c r="A41" s="3" t="str">
        <f>'Stage 1 Inputs'!A41</f>
        <v>2011Q4</v>
      </c>
      <c r="B41" s="3" t="str">
        <f>'Stage 1 Inputs'!B41</f>
        <v>Dec 2011</v>
      </c>
      <c r="C41" s="3">
        <f>'Stage 1 Inputs'!G41</f>
        <v>53656000000</v>
      </c>
      <c r="D41" s="3">
        <f>'Stage 1 Inputs'!E41</f>
        <v>1059</v>
      </c>
      <c r="E41" s="3">
        <f>'Stage 1 Inputs'!F41</f>
        <v>1.4740321057601511</v>
      </c>
      <c r="F41" s="3">
        <f>'Stage 1 Inputs'!J41</f>
        <v>79090666666.666672</v>
      </c>
      <c r="G41" s="3">
        <f>'Stage 1 Inputs'!L41</f>
        <v>25.093860710657871</v>
      </c>
      <c r="H41" s="3">
        <f>'Stage 1 Inputs'!AH41</f>
        <v>215682190.5</v>
      </c>
      <c r="I41" s="3">
        <f>'Stage 1 Inputs'!AI41</f>
        <v>895030317</v>
      </c>
      <c r="J41" s="3">
        <f>'Stage 1 Inputs'!AJ41</f>
        <v>240.97752489874597</v>
      </c>
      <c r="K41" s="3">
        <f>'Stage 1 Inputs'!AK41</f>
        <v>341.44857760785277</v>
      </c>
      <c r="L41" s="3">
        <f>'Stage 1 Inputs'!AL41</f>
        <v>5.833197089657765</v>
      </c>
      <c r="M41" s="3">
        <f>'Stage 1 Inputs'!AM41</f>
        <v>344.83931683873169</v>
      </c>
      <c r="N41" s="3">
        <f>'Stage 1 Inputs'!AN41</f>
        <v>5.843078560243403</v>
      </c>
      <c r="O41" s="3">
        <f>'Stage 1 Inputs'!AT41</f>
        <v>0</v>
      </c>
      <c r="P41" s="3">
        <f>'Stage 1 Inputs'!AU41</f>
        <v>0</v>
      </c>
      <c r="Q41" s="3">
        <f>'Stage 1 Inputs'!AV41</f>
        <v>1</v>
      </c>
      <c r="R41" s="3" t="str">
        <f>'Stage 1 Inputs'!AX41</f>
        <v>Historical official/source data</v>
      </c>
      <c r="S41" s="3" t="str">
        <f>'Stage 1 Inputs'!AY41</f>
        <v>No special note</v>
      </c>
    </row>
    <row r="42" spans="1:19" ht="19.95" customHeight="1" x14ac:dyDescent="0.3">
      <c r="A42" s="3" t="str">
        <f>'Stage 1 Inputs'!A42</f>
        <v>2012Q1</v>
      </c>
      <c r="B42" s="3" t="str">
        <f>'Stage 1 Inputs'!B42</f>
        <v>Mar 2012</v>
      </c>
      <c r="C42" s="3">
        <f>'Stage 1 Inputs'!G42</f>
        <v>53651000000</v>
      </c>
      <c r="D42" s="3">
        <f>'Stage 1 Inputs'!E42</f>
        <v>1057</v>
      </c>
      <c r="E42" s="3">
        <f>'Stage 1 Inputs'!F42</f>
        <v>1.4768211920529801</v>
      </c>
      <c r="F42" s="3">
        <f>'Stage 1 Inputs'!J42</f>
        <v>79232933774.834442</v>
      </c>
      <c r="G42" s="3">
        <f>'Stage 1 Inputs'!L42</f>
        <v>25.095657879823587</v>
      </c>
      <c r="H42" s="3">
        <f>'Stage 1 Inputs'!AH42</f>
        <v>214169922.59999999</v>
      </c>
      <c r="I42" s="3">
        <f>'Stage 1 Inputs'!AI42</f>
        <v>876306571</v>
      </c>
      <c r="J42" s="3">
        <f>'Stage 1 Inputs'!AJ42</f>
        <v>244.40068086628554</v>
      </c>
      <c r="K42" s="3">
        <f>'Stage 1 Inputs'!AK42</f>
        <v>344.83931683873169</v>
      </c>
      <c r="L42" s="3">
        <f>'Stage 1 Inputs'!AL42</f>
        <v>5.843078560243403</v>
      </c>
      <c r="M42" s="3">
        <f>'Stage 1 Inputs'!AM42</f>
        <v>348.03557862041419</v>
      </c>
      <c r="N42" s="3">
        <f>'Stage 1 Inputs'!AN42</f>
        <v>5.8523047119635692</v>
      </c>
      <c r="O42" s="3">
        <f>'Stage 1 Inputs'!AT42</f>
        <v>0</v>
      </c>
      <c r="P42" s="3">
        <f>'Stage 1 Inputs'!AU42</f>
        <v>0</v>
      </c>
      <c r="Q42" s="3">
        <f>'Stage 1 Inputs'!AV42</f>
        <v>0</v>
      </c>
      <c r="R42" s="3" t="str">
        <f>'Stage 1 Inputs'!AX42</f>
        <v>Historical official/source data</v>
      </c>
      <c r="S42" s="3" t="str">
        <f>'Stage 1 Inputs'!AY42</f>
        <v>No special note</v>
      </c>
    </row>
    <row r="43" spans="1:19" ht="19.95" customHeight="1" x14ac:dyDescent="0.3">
      <c r="A43" s="3" t="str">
        <f>'Stage 1 Inputs'!A43</f>
        <v>2012Q2</v>
      </c>
      <c r="B43" s="3" t="str">
        <f>'Stage 1 Inputs'!B43</f>
        <v>Jun 2012</v>
      </c>
      <c r="C43" s="3">
        <f>'Stage 1 Inputs'!G43</f>
        <v>54500000000</v>
      </c>
      <c r="D43" s="3">
        <f>'Stage 1 Inputs'!E43</f>
        <v>1067</v>
      </c>
      <c r="E43" s="3">
        <f>'Stage 1 Inputs'!F43</f>
        <v>1.4629803186504218</v>
      </c>
      <c r="F43" s="3">
        <f>'Stage 1 Inputs'!J43</f>
        <v>79732427366.447983</v>
      </c>
      <c r="G43" s="3">
        <f>'Stage 1 Inputs'!L43</f>
        <v>25.101942207829289</v>
      </c>
      <c r="H43" s="3">
        <f>'Stage 1 Inputs'!AH43</f>
        <v>207096129.69999999</v>
      </c>
      <c r="I43" s="3">
        <f>'Stage 1 Inputs'!AI43</f>
        <v>836057248</v>
      </c>
      <c r="J43" s="3">
        <f>'Stage 1 Inputs'!AJ43</f>
        <v>247.70568067606777</v>
      </c>
      <c r="K43" s="3">
        <f>'Stage 1 Inputs'!AK43</f>
        <v>348.03557862041419</v>
      </c>
      <c r="L43" s="3">
        <f>'Stage 1 Inputs'!AL43</f>
        <v>5.8523047119635692</v>
      </c>
      <c r="M43" s="3">
        <f>'Stage 1 Inputs'!AM43</f>
        <v>299.39869841688392</v>
      </c>
      <c r="N43" s="3">
        <f>'Stage 1 Inputs'!AN43</f>
        <v>5.7017761246710812</v>
      </c>
      <c r="O43" s="3">
        <f>'Stage 1 Inputs'!AT43</f>
        <v>1</v>
      </c>
      <c r="P43" s="3">
        <f>'Stage 1 Inputs'!AU43</f>
        <v>0</v>
      </c>
      <c r="Q43" s="3">
        <f>'Stage 1 Inputs'!AV43</f>
        <v>0</v>
      </c>
      <c r="R43" s="3" t="str">
        <f>'Stage 1 Inputs'!AX43</f>
        <v>Historical official/source data</v>
      </c>
      <c r="S43" s="3" t="str">
        <f>'Stage 1 Inputs'!AY43</f>
        <v>No special note</v>
      </c>
    </row>
    <row r="44" spans="1:19" ht="19.95" customHeight="1" x14ac:dyDescent="0.3">
      <c r="A44" s="3" t="str">
        <f>'Stage 1 Inputs'!A44</f>
        <v>2012Q3</v>
      </c>
      <c r="B44" s="3" t="str">
        <f>'Stage 1 Inputs'!B44</f>
        <v>Sep 2012</v>
      </c>
      <c r="C44" s="3">
        <f>'Stage 1 Inputs'!G44</f>
        <v>54003000000</v>
      </c>
      <c r="D44" s="3">
        <f>'Stage 1 Inputs'!E44</f>
        <v>1051</v>
      </c>
      <c r="E44" s="3">
        <f>'Stage 1 Inputs'!F44</f>
        <v>1.4852521408182684</v>
      </c>
      <c r="F44" s="3">
        <f>'Stage 1 Inputs'!J44</f>
        <v>80208071360.608948</v>
      </c>
      <c r="G44" s="3">
        <f>'Stage 1 Inputs'!L44</f>
        <v>25.10788998716157</v>
      </c>
      <c r="H44" s="3">
        <f>'Stage 1 Inputs'!AH44</f>
        <v>196295254.19999999</v>
      </c>
      <c r="I44" s="3">
        <f>'Stage 1 Inputs'!AI44</f>
        <v>919257321</v>
      </c>
      <c r="J44" s="3">
        <f>'Stage 1 Inputs'!AJ44</f>
        <v>213.53678639889776</v>
      </c>
      <c r="K44" s="3">
        <f>'Stage 1 Inputs'!AK44</f>
        <v>299.39869841688392</v>
      </c>
      <c r="L44" s="3">
        <f>'Stage 1 Inputs'!AL44</f>
        <v>5.7017761246710812</v>
      </c>
      <c r="M44" s="3">
        <f>'Stage 1 Inputs'!AM44</f>
        <v>338.20313404021169</v>
      </c>
      <c r="N44" s="3">
        <f>'Stage 1 Inputs'!AN44</f>
        <v>5.8236467032465331</v>
      </c>
      <c r="O44" s="3">
        <f>'Stage 1 Inputs'!AT44</f>
        <v>0</v>
      </c>
      <c r="P44" s="3">
        <f>'Stage 1 Inputs'!AU44</f>
        <v>1</v>
      </c>
      <c r="Q44" s="3">
        <f>'Stage 1 Inputs'!AV44</f>
        <v>0</v>
      </c>
      <c r="R44" s="3" t="str">
        <f>'Stage 1 Inputs'!AX44</f>
        <v>Historical official/source data</v>
      </c>
      <c r="S44" s="3" t="str">
        <f>'Stage 1 Inputs'!AY44</f>
        <v>No special note</v>
      </c>
    </row>
    <row r="45" spans="1:19" ht="19.95" customHeight="1" x14ac:dyDescent="0.3">
      <c r="A45" s="3" t="str">
        <f>'Stage 1 Inputs'!A45</f>
        <v>2012Q4</v>
      </c>
      <c r="B45" s="3" t="str">
        <f>'Stage 1 Inputs'!B45</f>
        <v>Dec 2012</v>
      </c>
      <c r="C45" s="3">
        <f>'Stage 1 Inputs'!G45</f>
        <v>54148000000</v>
      </c>
      <c r="D45" s="3">
        <f>'Stage 1 Inputs'!E45</f>
        <v>1042</v>
      </c>
      <c r="E45" s="3">
        <f>'Stage 1 Inputs'!F45</f>
        <v>1.4980806142034548</v>
      </c>
      <c r="F45" s="3">
        <f>'Stage 1 Inputs'!J45</f>
        <v>81118069097.888672</v>
      </c>
      <c r="G45" s="3">
        <f>'Stage 1 Inputs'!L45</f>
        <v>25.11917157347207</v>
      </c>
      <c r="H45" s="3">
        <f>'Stage 1 Inputs'!AH45</f>
        <v>220177890.80000001</v>
      </c>
      <c r="I45" s="3">
        <f>'Stage 1 Inputs'!AI45</f>
        <v>913751876</v>
      </c>
      <c r="J45" s="3">
        <f>'Stage 1 Inputs'!AJ45</f>
        <v>240.96026129526658</v>
      </c>
      <c r="K45" s="3">
        <f>'Stage 1 Inputs'!AK45</f>
        <v>338.20313404021169</v>
      </c>
      <c r="L45" s="3">
        <f>'Stage 1 Inputs'!AL45</f>
        <v>5.8236467032465331</v>
      </c>
      <c r="M45" s="3">
        <f>'Stage 1 Inputs'!AM45</f>
        <v>339.08529871475622</v>
      </c>
      <c r="N45" s="3">
        <f>'Stage 1 Inputs'!AN45</f>
        <v>5.8262516943573921</v>
      </c>
      <c r="O45" s="3">
        <f>'Stage 1 Inputs'!AT45</f>
        <v>0</v>
      </c>
      <c r="P45" s="3">
        <f>'Stage 1 Inputs'!AU45</f>
        <v>0</v>
      </c>
      <c r="Q45" s="3">
        <f>'Stage 1 Inputs'!AV45</f>
        <v>1</v>
      </c>
      <c r="R45" s="3" t="str">
        <f>'Stage 1 Inputs'!AX45</f>
        <v>Historical official/source data</v>
      </c>
      <c r="S45" s="3" t="str">
        <f>'Stage 1 Inputs'!AY45</f>
        <v>No special note</v>
      </c>
    </row>
    <row r="46" spans="1:19" ht="19.95" customHeight="1" x14ac:dyDescent="0.3">
      <c r="A46" s="3" t="str">
        <f>'Stage 1 Inputs'!A46</f>
        <v>2013Q1</v>
      </c>
      <c r="B46" s="3" t="str">
        <f>'Stage 1 Inputs'!B46</f>
        <v>Mar 2013</v>
      </c>
      <c r="C46" s="3">
        <f>'Stage 1 Inputs'!G46</f>
        <v>55225000000</v>
      </c>
      <c r="D46" s="3">
        <f>'Stage 1 Inputs'!E46</f>
        <v>1057</v>
      </c>
      <c r="E46" s="3">
        <f>'Stage 1 Inputs'!F46</f>
        <v>1.4768211920529801</v>
      </c>
      <c r="F46" s="3">
        <f>'Stage 1 Inputs'!J46</f>
        <v>81557450331.125824</v>
      </c>
      <c r="G46" s="3">
        <f>'Stage 1 Inputs'!L46</f>
        <v>25.124573520897787</v>
      </c>
      <c r="H46" s="3">
        <f>'Stage 1 Inputs'!AH46</f>
        <v>210198516.19999999</v>
      </c>
      <c r="I46" s="3">
        <f>'Stage 1 Inputs'!AI46</f>
        <v>866434532</v>
      </c>
      <c r="J46" s="3">
        <f>'Stage 1 Inputs'!AJ46</f>
        <v>242.60172977500855</v>
      </c>
      <c r="K46" s="3">
        <f>'Stage 1 Inputs'!AK46</f>
        <v>339.08529871475622</v>
      </c>
      <c r="L46" s="3">
        <f>'Stage 1 Inputs'!AL46</f>
        <v>5.8262516943573921</v>
      </c>
      <c r="M46" s="3">
        <f>'Stage 1 Inputs'!AM46</f>
        <v>338.26329891039381</v>
      </c>
      <c r="N46" s="3">
        <f>'Stage 1 Inputs'!AN46</f>
        <v>5.8238245830862718</v>
      </c>
      <c r="O46" s="3">
        <f>'Stage 1 Inputs'!AT46</f>
        <v>0</v>
      </c>
      <c r="P46" s="3">
        <f>'Stage 1 Inputs'!AU46</f>
        <v>0</v>
      </c>
      <c r="Q46" s="3">
        <f>'Stage 1 Inputs'!AV46</f>
        <v>0</v>
      </c>
      <c r="R46" s="3" t="str">
        <f>'Stage 1 Inputs'!AX46</f>
        <v>Historical official/source data</v>
      </c>
      <c r="S46" s="3" t="str">
        <f>'Stage 1 Inputs'!AY46</f>
        <v>No special note</v>
      </c>
    </row>
    <row r="47" spans="1:19" ht="19.95" customHeight="1" x14ac:dyDescent="0.3">
      <c r="A47" s="3" t="str">
        <f>'Stage 1 Inputs'!A47</f>
        <v>2013Q2</v>
      </c>
      <c r="B47" s="3" t="str">
        <f>'Stage 1 Inputs'!B47</f>
        <v>Jun 2013</v>
      </c>
      <c r="C47" s="3">
        <f>'Stage 1 Inputs'!G47</f>
        <v>55741000000</v>
      </c>
      <c r="D47" s="3">
        <f>'Stage 1 Inputs'!E47</f>
        <v>1072</v>
      </c>
      <c r="E47" s="3">
        <f>'Stage 1 Inputs'!F47</f>
        <v>1.4561567164179106</v>
      </c>
      <c r="F47" s="3">
        <f>'Stage 1 Inputs'!J47</f>
        <v>81167631529.850754</v>
      </c>
      <c r="G47" s="3">
        <f>'Stage 1 Inputs'!L47</f>
        <v>25.119782378161716</v>
      </c>
      <c r="H47" s="3">
        <f>'Stage 1 Inputs'!AH47</f>
        <v>206620714.09999999</v>
      </c>
      <c r="I47" s="3">
        <f>'Stage 1 Inputs'!AI47</f>
        <v>852866288</v>
      </c>
      <c r="J47" s="3">
        <f>'Stage 1 Inputs'!AJ47</f>
        <v>242.26624619497213</v>
      </c>
      <c r="K47" s="3">
        <f>'Stage 1 Inputs'!AK47</f>
        <v>338.26329891039381</v>
      </c>
      <c r="L47" s="3">
        <f>'Stage 1 Inputs'!AL47</f>
        <v>5.8238245830862718</v>
      </c>
      <c r="M47" s="3">
        <f>'Stage 1 Inputs'!AM47</f>
        <v>332.88250780781226</v>
      </c>
      <c r="N47" s="3">
        <f>'Stage 1 Inputs'!AN47</f>
        <v>5.8077895983155345</v>
      </c>
      <c r="O47" s="3">
        <f>'Stage 1 Inputs'!AT47</f>
        <v>1</v>
      </c>
      <c r="P47" s="3">
        <f>'Stage 1 Inputs'!AU47</f>
        <v>0</v>
      </c>
      <c r="Q47" s="3">
        <f>'Stage 1 Inputs'!AV47</f>
        <v>0</v>
      </c>
      <c r="R47" s="3" t="str">
        <f>'Stage 1 Inputs'!AX47</f>
        <v>Historical official/source data</v>
      </c>
      <c r="S47" s="3" t="str">
        <f>'Stage 1 Inputs'!AY47</f>
        <v>No special note</v>
      </c>
    </row>
    <row r="48" spans="1:19" ht="19.95" customHeight="1" x14ac:dyDescent="0.3">
      <c r="A48" s="3" t="str">
        <f>'Stage 1 Inputs'!A48</f>
        <v>2013Q3</v>
      </c>
      <c r="B48" s="3" t="str">
        <f>'Stage 1 Inputs'!B48</f>
        <v>Sep 2013</v>
      </c>
      <c r="C48" s="3">
        <f>'Stage 1 Inputs'!G48</f>
        <v>57553000000</v>
      </c>
      <c r="D48" s="3">
        <f>'Stage 1 Inputs'!E48</f>
        <v>1097</v>
      </c>
      <c r="E48" s="3">
        <f>'Stage 1 Inputs'!F48</f>
        <v>1.4229717411121239</v>
      </c>
      <c r="F48" s="3">
        <f>'Stage 1 Inputs'!J48</f>
        <v>81896292616.226059</v>
      </c>
      <c r="G48" s="3">
        <f>'Stage 1 Inputs'!L48</f>
        <v>25.128719559579697</v>
      </c>
      <c r="H48" s="3">
        <f>'Stage 1 Inputs'!AH48</f>
        <v>213647379.40000001</v>
      </c>
      <c r="I48" s="3">
        <f>'Stage 1 Inputs'!AI48</f>
        <v>887793202</v>
      </c>
      <c r="J48" s="3">
        <f>'Stage 1 Inputs'!AJ48</f>
        <v>240.64993843014358</v>
      </c>
      <c r="K48" s="3">
        <f>'Stage 1 Inputs'!AK48</f>
        <v>332.88250780781226</v>
      </c>
      <c r="L48" s="3">
        <f>'Stage 1 Inputs'!AL48</f>
        <v>5.8077895983155345</v>
      </c>
      <c r="M48" s="3">
        <f>'Stage 1 Inputs'!AM48</f>
        <v>348.54885260678469</v>
      </c>
      <c r="N48" s="3">
        <f>'Stage 1 Inputs'!AN48</f>
        <v>5.8537784000227706</v>
      </c>
      <c r="O48" s="3">
        <f>'Stage 1 Inputs'!AT48</f>
        <v>0</v>
      </c>
      <c r="P48" s="3">
        <f>'Stage 1 Inputs'!AU48</f>
        <v>1</v>
      </c>
      <c r="Q48" s="3">
        <f>'Stage 1 Inputs'!AV48</f>
        <v>0</v>
      </c>
      <c r="R48" s="3" t="str">
        <f>'Stage 1 Inputs'!AX48</f>
        <v>Historical official/source data</v>
      </c>
      <c r="S48" s="3" t="str">
        <f>'Stage 1 Inputs'!AY48</f>
        <v>No special note</v>
      </c>
    </row>
    <row r="49" spans="1:19" ht="19.95" customHeight="1" x14ac:dyDescent="0.3">
      <c r="A49" s="3" t="str">
        <f>'Stage 1 Inputs'!A49</f>
        <v>2013Q4</v>
      </c>
      <c r="B49" s="3" t="str">
        <f>'Stage 1 Inputs'!B49</f>
        <v>Dec 2013</v>
      </c>
      <c r="C49" s="3">
        <f>'Stage 1 Inputs'!G49</f>
        <v>59579000000</v>
      </c>
      <c r="D49" s="3">
        <f>'Stage 1 Inputs'!E49</f>
        <v>1129</v>
      </c>
      <c r="E49" s="3">
        <f>'Stage 1 Inputs'!F49</f>
        <v>1.3826395039858281</v>
      </c>
      <c r="F49" s="3">
        <f>'Stage 1 Inputs'!J49</f>
        <v>82376279007.971649</v>
      </c>
      <c r="G49" s="3">
        <f>'Stage 1 Inputs'!L49</f>
        <v>25.134563356300706</v>
      </c>
      <c r="H49" s="3">
        <f>'Stage 1 Inputs'!AH49</f>
        <v>239306536.30000001</v>
      </c>
      <c r="I49" s="3">
        <f>'Stage 1 Inputs'!AI49</f>
        <v>948741075</v>
      </c>
      <c r="J49" s="3">
        <f>'Stage 1 Inputs'!AJ49</f>
        <v>252.235876158308</v>
      </c>
      <c r="K49" s="3">
        <f>'Stage 1 Inputs'!AK49</f>
        <v>348.54885260678469</v>
      </c>
      <c r="L49" s="3">
        <f>'Stage 1 Inputs'!AL49</f>
        <v>5.8537784000227706</v>
      </c>
      <c r="M49" s="3">
        <f>'Stage 1 Inputs'!AM49</f>
        <v>349.89873712523934</v>
      </c>
      <c r="N49" s="3">
        <f>'Stage 1 Inputs'!AN49</f>
        <v>5.8576437901223146</v>
      </c>
      <c r="O49" s="3">
        <f>'Stage 1 Inputs'!AT49</f>
        <v>0</v>
      </c>
      <c r="P49" s="3">
        <f>'Stage 1 Inputs'!AU49</f>
        <v>0</v>
      </c>
      <c r="Q49" s="3">
        <f>'Stage 1 Inputs'!AV49</f>
        <v>1</v>
      </c>
      <c r="R49" s="3" t="str">
        <f>'Stage 1 Inputs'!AX49</f>
        <v>Historical official/source data</v>
      </c>
      <c r="S49" s="3" t="str">
        <f>'Stage 1 Inputs'!AY49</f>
        <v>No special note</v>
      </c>
    </row>
    <row r="50" spans="1:19" ht="19.95" customHeight="1" x14ac:dyDescent="0.3">
      <c r="A50" s="3" t="str">
        <f>'Stage 1 Inputs'!A50</f>
        <v>2014Q1</v>
      </c>
      <c r="B50" s="3" t="str">
        <f>'Stage 1 Inputs'!B50</f>
        <v>Mar 2014</v>
      </c>
      <c r="C50" s="3">
        <f>'Stage 1 Inputs'!G50</f>
        <v>59843000000</v>
      </c>
      <c r="D50" s="3">
        <f>'Stage 1 Inputs'!E50</f>
        <v>1122</v>
      </c>
      <c r="E50" s="3">
        <f>'Stage 1 Inputs'!F50</f>
        <v>1.3912655971479502</v>
      </c>
      <c r="F50" s="3">
        <f>'Stage 1 Inputs'!J50</f>
        <v>83257507130.124786</v>
      </c>
      <c r="G50" s="3">
        <f>'Stage 1 Inputs'!L50</f>
        <v>25.145204137478611</v>
      </c>
      <c r="H50" s="3">
        <f>'Stage 1 Inputs'!AH50</f>
        <v>233994812.19999999</v>
      </c>
      <c r="I50" s="3">
        <f>'Stage 1 Inputs'!AI50</f>
        <v>921251411</v>
      </c>
      <c r="J50" s="3">
        <f>'Stage 1 Inputs'!AJ50</f>
        <v>253.99669341727605</v>
      </c>
      <c r="K50" s="3">
        <f>'Stage 1 Inputs'!AK50</f>
        <v>349.89873712523934</v>
      </c>
      <c r="L50" s="3">
        <f>'Stage 1 Inputs'!AL50</f>
        <v>5.8576437901223146</v>
      </c>
      <c r="M50" s="3">
        <f>'Stage 1 Inputs'!AM50</f>
        <v>348.69896812663382</v>
      </c>
      <c r="N50" s="3">
        <f>'Stage 1 Inputs'!AN50</f>
        <v>5.8542089944762914</v>
      </c>
      <c r="O50" s="3">
        <f>'Stage 1 Inputs'!AT50</f>
        <v>0</v>
      </c>
      <c r="P50" s="3">
        <f>'Stage 1 Inputs'!AU50</f>
        <v>0</v>
      </c>
      <c r="Q50" s="3">
        <f>'Stage 1 Inputs'!AV50</f>
        <v>0</v>
      </c>
      <c r="R50" s="3" t="str">
        <f>'Stage 1 Inputs'!AX50</f>
        <v>Historical official/source data</v>
      </c>
      <c r="S50" s="3" t="str">
        <f>'Stage 1 Inputs'!AY50</f>
        <v>No special note</v>
      </c>
    </row>
    <row r="51" spans="1:19" ht="19.95" customHeight="1" x14ac:dyDescent="0.3">
      <c r="A51" s="3" t="str">
        <f>'Stage 1 Inputs'!A51</f>
        <v>2014Q2</v>
      </c>
      <c r="B51" s="3" t="str">
        <f>'Stage 1 Inputs'!B51</f>
        <v>Jun 2014</v>
      </c>
      <c r="C51" s="3">
        <f>'Stage 1 Inputs'!G51</f>
        <v>59983000000</v>
      </c>
      <c r="D51" s="3">
        <f>'Stage 1 Inputs'!E51</f>
        <v>1119</v>
      </c>
      <c r="E51" s="3">
        <f>'Stage 1 Inputs'!F51</f>
        <v>1.3949955317247542</v>
      </c>
      <c r="F51" s="3">
        <f>'Stage 1 Inputs'!J51</f>
        <v>83676016979.445938</v>
      </c>
      <c r="G51" s="3">
        <f>'Stage 1 Inputs'!L51</f>
        <v>25.150218237892211</v>
      </c>
      <c r="H51" s="3">
        <f>'Stage 1 Inputs'!AH51</f>
        <v>225652514.09999999</v>
      </c>
      <c r="I51" s="3">
        <f>'Stage 1 Inputs'!AI51</f>
        <v>888721068</v>
      </c>
      <c r="J51" s="3">
        <f>'Stage 1 Inputs'!AJ51</f>
        <v>253.90701562618966</v>
      </c>
      <c r="K51" s="3">
        <f>'Stage 1 Inputs'!AK51</f>
        <v>348.69896812663382</v>
      </c>
      <c r="L51" s="3">
        <f>'Stage 1 Inputs'!AL51</f>
        <v>5.8542089944762914</v>
      </c>
      <c r="M51" s="3">
        <f>'Stage 1 Inputs'!AM51</f>
        <v>330.15572382341963</v>
      </c>
      <c r="N51" s="3">
        <f>'Stage 1 Inputs'!AN51</f>
        <v>5.7995644335292766</v>
      </c>
      <c r="O51" s="3">
        <f>'Stage 1 Inputs'!AT51</f>
        <v>1</v>
      </c>
      <c r="P51" s="3">
        <f>'Stage 1 Inputs'!AU51</f>
        <v>0</v>
      </c>
      <c r="Q51" s="3">
        <f>'Stage 1 Inputs'!AV51</f>
        <v>0</v>
      </c>
      <c r="R51" s="3" t="str">
        <f>'Stage 1 Inputs'!AX51</f>
        <v>Historical official/source data</v>
      </c>
      <c r="S51" s="3" t="str">
        <f>'Stage 1 Inputs'!AY51</f>
        <v>No special note</v>
      </c>
    </row>
    <row r="52" spans="1:19" ht="19.95" customHeight="1" x14ac:dyDescent="0.3">
      <c r="A52" s="3" t="str">
        <f>'Stage 1 Inputs'!A52</f>
        <v>2014Q3</v>
      </c>
      <c r="B52" s="3" t="str">
        <f>'Stage 1 Inputs'!B52</f>
        <v>Sep 2014</v>
      </c>
      <c r="C52" s="3">
        <f>'Stage 1 Inputs'!G52</f>
        <v>60330000000</v>
      </c>
      <c r="D52" s="3">
        <f>'Stage 1 Inputs'!E52</f>
        <v>1112</v>
      </c>
      <c r="E52" s="3">
        <f>'Stage 1 Inputs'!F52</f>
        <v>1.4037769784172662</v>
      </c>
      <c r="F52" s="3">
        <f>'Stage 1 Inputs'!J52</f>
        <v>84689865107.913666</v>
      </c>
      <c r="G52" s="3">
        <f>'Stage 1 Inputs'!L52</f>
        <v>25.162261775103985</v>
      </c>
      <c r="H52" s="3">
        <f>'Stage 1 Inputs'!AH52</f>
        <v>226288909.5</v>
      </c>
      <c r="I52" s="3">
        <f>'Stage 1 Inputs'!AI52</f>
        <v>938396028</v>
      </c>
      <c r="J52" s="3">
        <f>'Stage 1 Inputs'!AJ52</f>
        <v>241.14435989492489</v>
      </c>
      <c r="K52" s="3">
        <f>'Stage 1 Inputs'!AK52</f>
        <v>330.15572382341963</v>
      </c>
      <c r="L52" s="3">
        <f>'Stage 1 Inputs'!AL52</f>
        <v>5.7995644335292766</v>
      </c>
      <c r="M52" s="3">
        <f>'Stage 1 Inputs'!AM52</f>
        <v>353.45335930967798</v>
      </c>
      <c r="N52" s="3">
        <f>'Stage 1 Inputs'!AN52</f>
        <v>5.8677515369137918</v>
      </c>
      <c r="O52" s="3">
        <f>'Stage 1 Inputs'!AT52</f>
        <v>0</v>
      </c>
      <c r="P52" s="3">
        <f>'Stage 1 Inputs'!AU52</f>
        <v>1</v>
      </c>
      <c r="Q52" s="3">
        <f>'Stage 1 Inputs'!AV52</f>
        <v>0</v>
      </c>
      <c r="R52" s="3" t="str">
        <f>'Stage 1 Inputs'!AX52</f>
        <v>Historical official/source data</v>
      </c>
      <c r="S52" s="3" t="str">
        <f>'Stage 1 Inputs'!AY52</f>
        <v>No special note</v>
      </c>
    </row>
    <row r="53" spans="1:19" ht="19.95" customHeight="1" x14ac:dyDescent="0.3">
      <c r="A53" s="3" t="str">
        <f>'Stage 1 Inputs'!A53</f>
        <v>2014Q4</v>
      </c>
      <c r="B53" s="3" t="str">
        <f>'Stage 1 Inputs'!B53</f>
        <v>Dec 2014</v>
      </c>
      <c r="C53" s="3">
        <f>'Stage 1 Inputs'!G53</f>
        <v>60828000000</v>
      </c>
      <c r="D53" s="3">
        <f>'Stage 1 Inputs'!E53</f>
        <v>1106</v>
      </c>
      <c r="E53" s="3">
        <f>'Stage 1 Inputs'!F53</f>
        <v>1.4113924050632911</v>
      </c>
      <c r="F53" s="3">
        <f>'Stage 1 Inputs'!J53</f>
        <v>85852177215.189865</v>
      </c>
      <c r="G53" s="3">
        <f>'Stage 1 Inputs'!L53</f>
        <v>25.175892784657776</v>
      </c>
      <c r="H53" s="3">
        <f>'Stage 1 Inputs'!AH53</f>
        <v>247315930.80000001</v>
      </c>
      <c r="I53" s="3">
        <f>'Stage 1 Inputs'!AI53</f>
        <v>959954697</v>
      </c>
      <c r="J53" s="3">
        <f>'Stage 1 Inputs'!AJ53</f>
        <v>257.63291910847329</v>
      </c>
      <c r="K53" s="3">
        <f>'Stage 1 Inputs'!AK53</f>
        <v>353.45335930967798</v>
      </c>
      <c r="L53" s="3">
        <f>'Stage 1 Inputs'!AL53</f>
        <v>5.8677515369137918</v>
      </c>
      <c r="M53" s="3">
        <f>'Stage 1 Inputs'!AM53</f>
        <v>355.47184961341003</v>
      </c>
      <c r="N53" s="3">
        <f>'Stage 1 Inputs'!AN53</f>
        <v>5.8734460607729782</v>
      </c>
      <c r="O53" s="3">
        <f>'Stage 1 Inputs'!AT53</f>
        <v>0</v>
      </c>
      <c r="P53" s="3">
        <f>'Stage 1 Inputs'!AU53</f>
        <v>0</v>
      </c>
      <c r="Q53" s="3">
        <f>'Stage 1 Inputs'!AV53</f>
        <v>1</v>
      </c>
      <c r="R53" s="3" t="str">
        <f>'Stage 1 Inputs'!AX53</f>
        <v>Historical official/source data</v>
      </c>
      <c r="S53" s="3" t="str">
        <f>'Stage 1 Inputs'!AY53</f>
        <v>No special note</v>
      </c>
    </row>
    <row r="54" spans="1:19" ht="19.95" customHeight="1" x14ac:dyDescent="0.3">
      <c r="A54" s="3" t="str">
        <f>'Stage 1 Inputs'!A54</f>
        <v>2015Q1</v>
      </c>
      <c r="B54" s="3" t="str">
        <f>'Stage 1 Inputs'!B54</f>
        <v>Mar 2015</v>
      </c>
      <c r="C54" s="3">
        <f>'Stage 1 Inputs'!G54</f>
        <v>61674000000</v>
      </c>
      <c r="D54" s="3">
        <f>'Stage 1 Inputs'!E54</f>
        <v>1113</v>
      </c>
      <c r="E54" s="3">
        <f>'Stage 1 Inputs'!F54</f>
        <v>1.4025157232704402</v>
      </c>
      <c r="F54" s="3">
        <f>'Stage 1 Inputs'!J54</f>
        <v>86498754716.981125</v>
      </c>
      <c r="G54" s="3">
        <f>'Stage 1 Inputs'!L54</f>
        <v>25.183395854445138</v>
      </c>
      <c r="H54" s="3">
        <f>'Stage 1 Inputs'!AH54</f>
        <v>240557385</v>
      </c>
      <c r="I54" s="3">
        <f>'Stage 1 Inputs'!AI54</f>
        <v>929371695</v>
      </c>
      <c r="J54" s="3">
        <f>'Stage 1 Inputs'!AJ54</f>
        <v>258.8387254466578</v>
      </c>
      <c r="K54" s="3">
        <f>'Stage 1 Inputs'!AK54</f>
        <v>355.47184961341003</v>
      </c>
      <c r="L54" s="3">
        <f>'Stage 1 Inputs'!AL54</f>
        <v>5.8734460607729782</v>
      </c>
      <c r="M54" s="3">
        <f>'Stage 1 Inputs'!AM54</f>
        <v>353.89628446265482</v>
      </c>
      <c r="N54" s="3">
        <f>'Stage 1 Inputs'!AN54</f>
        <v>5.8690038884623252</v>
      </c>
      <c r="O54" s="3">
        <f>'Stage 1 Inputs'!AT54</f>
        <v>0</v>
      </c>
      <c r="P54" s="3">
        <f>'Stage 1 Inputs'!AU54</f>
        <v>0</v>
      </c>
      <c r="Q54" s="3">
        <f>'Stage 1 Inputs'!AV54</f>
        <v>0</v>
      </c>
      <c r="R54" s="3" t="str">
        <f>'Stage 1 Inputs'!AX54</f>
        <v>Historical official/source data</v>
      </c>
      <c r="S54" s="3" t="str">
        <f>'Stage 1 Inputs'!AY54</f>
        <v>No special note</v>
      </c>
    </row>
    <row r="55" spans="1:19" ht="19.95" customHeight="1" x14ac:dyDescent="0.3">
      <c r="A55" s="3" t="str">
        <f>'Stage 1 Inputs'!A55</f>
        <v>2015Q2</v>
      </c>
      <c r="B55" s="3" t="str">
        <f>'Stage 1 Inputs'!B55</f>
        <v>Jun 2015</v>
      </c>
      <c r="C55" s="3">
        <f>'Stage 1 Inputs'!G55</f>
        <v>62935000000</v>
      </c>
      <c r="D55" s="3">
        <f>'Stage 1 Inputs'!E55</f>
        <v>1126</v>
      </c>
      <c r="E55" s="3">
        <f>'Stage 1 Inputs'!F55</f>
        <v>1.3863232682060391</v>
      </c>
      <c r="F55" s="3">
        <f>'Stage 1 Inputs'!J55</f>
        <v>87248254884.547073</v>
      </c>
      <c r="G55" s="3">
        <f>'Stage 1 Inputs'!L55</f>
        <v>25.192023396505675</v>
      </c>
      <c r="H55" s="3">
        <f>'Stage 1 Inputs'!AH55</f>
        <v>225388517.40000001</v>
      </c>
      <c r="I55" s="3">
        <f>'Stage 1 Inputs'!AI55</f>
        <v>871071228</v>
      </c>
      <c r="J55" s="3">
        <f>'Stage 1 Inputs'!AJ55</f>
        <v>258.74866504028307</v>
      </c>
      <c r="K55" s="3">
        <f>'Stage 1 Inputs'!AK55</f>
        <v>353.89628446265482</v>
      </c>
      <c r="L55" s="3">
        <f>'Stage 1 Inputs'!AL55</f>
        <v>5.8690038884623252</v>
      </c>
      <c r="M55" s="3">
        <f>'Stage 1 Inputs'!AM55</f>
        <v>345.74313872358255</v>
      </c>
      <c r="N55" s="3">
        <f>'Stage 1 Inputs'!AN55</f>
        <v>5.8456961257307007</v>
      </c>
      <c r="O55" s="3">
        <f>'Stage 1 Inputs'!AT55</f>
        <v>1</v>
      </c>
      <c r="P55" s="3">
        <f>'Stage 1 Inputs'!AU55</f>
        <v>0</v>
      </c>
      <c r="Q55" s="3">
        <f>'Stage 1 Inputs'!AV55</f>
        <v>0</v>
      </c>
      <c r="R55" s="3" t="str">
        <f>'Stage 1 Inputs'!AX55</f>
        <v>Historical official/source data</v>
      </c>
      <c r="S55" s="3" t="str">
        <f>'Stage 1 Inputs'!AY55</f>
        <v>No special note</v>
      </c>
    </row>
    <row r="56" spans="1:19" ht="19.95" customHeight="1" x14ac:dyDescent="0.3">
      <c r="A56" s="3" t="str">
        <f>'Stage 1 Inputs'!A56</f>
        <v>2015Q3</v>
      </c>
      <c r="B56" s="3" t="str">
        <f>'Stage 1 Inputs'!B56</f>
        <v>Sep 2015</v>
      </c>
      <c r="C56" s="3">
        <f>'Stage 1 Inputs'!G56</f>
        <v>63542000000</v>
      </c>
      <c r="D56" s="3">
        <f>'Stage 1 Inputs'!E56</f>
        <v>1122</v>
      </c>
      <c r="E56" s="3">
        <f>'Stage 1 Inputs'!F56</f>
        <v>1.3912655971479502</v>
      </c>
      <c r="F56" s="3">
        <f>'Stage 1 Inputs'!J56</f>
        <v>88403798573.975052</v>
      </c>
      <c r="G56" s="3">
        <f>'Stage 1 Inputs'!L56</f>
        <v>25.205180775960649</v>
      </c>
      <c r="H56" s="3">
        <f>'Stage 1 Inputs'!AH56</f>
        <v>238650824.09999999</v>
      </c>
      <c r="I56" s="3">
        <f>'Stage 1 Inputs'!AI56</f>
        <v>941192499</v>
      </c>
      <c r="J56" s="3">
        <f>'Stage 1 Inputs'!AJ56</f>
        <v>253.56218239474089</v>
      </c>
      <c r="K56" s="3">
        <f>'Stage 1 Inputs'!AK56</f>
        <v>345.74313872358255</v>
      </c>
      <c r="L56" s="3">
        <f>'Stage 1 Inputs'!AL56</f>
        <v>5.8456961257307007</v>
      </c>
      <c r="M56" s="3">
        <f>'Stage 1 Inputs'!AM56</f>
        <v>367.31888174033509</v>
      </c>
      <c r="N56" s="3">
        <f>'Stage 1 Inputs'!AN56</f>
        <v>5.9062303583661233</v>
      </c>
      <c r="O56" s="3">
        <f>'Stage 1 Inputs'!AT56</f>
        <v>0</v>
      </c>
      <c r="P56" s="3">
        <f>'Stage 1 Inputs'!AU56</f>
        <v>1</v>
      </c>
      <c r="Q56" s="3">
        <f>'Stage 1 Inputs'!AV56</f>
        <v>0</v>
      </c>
      <c r="R56" s="3" t="str">
        <f>'Stage 1 Inputs'!AX56</f>
        <v>Historical official/source data</v>
      </c>
      <c r="S56" s="3" t="str">
        <f>'Stage 1 Inputs'!AY56</f>
        <v>No special note</v>
      </c>
    </row>
    <row r="57" spans="1:19" ht="19.95" customHeight="1" x14ac:dyDescent="0.3">
      <c r="A57" s="3" t="str">
        <f>'Stage 1 Inputs'!A57</f>
        <v>2015Q4</v>
      </c>
      <c r="B57" s="3" t="str">
        <f>'Stage 1 Inputs'!B57</f>
        <v>Dec 2015</v>
      </c>
      <c r="C57" s="3">
        <f>'Stage 1 Inputs'!G57</f>
        <v>63719000000</v>
      </c>
      <c r="D57" s="3">
        <f>'Stage 1 Inputs'!E57</f>
        <v>1114</v>
      </c>
      <c r="E57" s="3">
        <f>'Stage 1 Inputs'!F57</f>
        <v>1.4012567324955116</v>
      </c>
      <c r="F57" s="3">
        <f>'Stage 1 Inputs'!J57</f>
        <v>89286677737.8815</v>
      </c>
      <c r="G57" s="3">
        <f>'Stage 1 Inputs'!L57</f>
        <v>25.215118128233552</v>
      </c>
      <c r="H57" s="3">
        <f>'Stage 1 Inputs'!AH57</f>
        <v>255214458.40000001</v>
      </c>
      <c r="I57" s="3">
        <f>'Stage 1 Inputs'!AI57</f>
        <v>952243538</v>
      </c>
      <c r="J57" s="3">
        <f>'Stage 1 Inputs'!AJ57</f>
        <v>268.01385172539761</v>
      </c>
      <c r="K57" s="3">
        <f>'Stage 1 Inputs'!AK57</f>
        <v>367.31888174033509</v>
      </c>
      <c r="L57" s="3">
        <f>'Stage 1 Inputs'!AL57</f>
        <v>5.9062303583661233</v>
      </c>
      <c r="M57" s="3">
        <f>'Stage 1 Inputs'!AM57</f>
        <v>368.15049835574712</v>
      </c>
      <c r="N57" s="3">
        <f>'Stage 1 Inputs'!AN57</f>
        <v>5.9084918174896135</v>
      </c>
      <c r="O57" s="3">
        <f>'Stage 1 Inputs'!AT57</f>
        <v>0</v>
      </c>
      <c r="P57" s="3">
        <f>'Stage 1 Inputs'!AU57</f>
        <v>0</v>
      </c>
      <c r="Q57" s="3">
        <f>'Stage 1 Inputs'!AV57</f>
        <v>1</v>
      </c>
      <c r="R57" s="3" t="str">
        <f>'Stage 1 Inputs'!AX57</f>
        <v>Historical official/source data</v>
      </c>
      <c r="S57" s="3" t="str">
        <f>'Stage 1 Inputs'!AY57</f>
        <v>No special note</v>
      </c>
    </row>
    <row r="58" spans="1:19" ht="19.95" customHeight="1" x14ac:dyDescent="0.3">
      <c r="A58" s="3" t="str">
        <f>'Stage 1 Inputs'!A58</f>
        <v>2016Q1</v>
      </c>
      <c r="B58" s="3" t="str">
        <f>'Stage 1 Inputs'!B58</f>
        <v>Mar 2016</v>
      </c>
      <c r="C58" s="3">
        <f>'Stage 1 Inputs'!G58</f>
        <v>65293000000</v>
      </c>
      <c r="D58" s="3">
        <f>'Stage 1 Inputs'!E58</f>
        <v>1130</v>
      </c>
      <c r="E58" s="3">
        <f>'Stage 1 Inputs'!F58</f>
        <v>1.3814159292035397</v>
      </c>
      <c r="F58" s="3">
        <f>'Stage 1 Inputs'!J58</f>
        <v>90196790265.486725</v>
      </c>
      <c r="G58" s="3">
        <f>'Stage 1 Inputs'!L58</f>
        <v>25.225259678742002</v>
      </c>
      <c r="H58" s="3">
        <f>'Stage 1 Inputs'!AH58</f>
        <v>247670537</v>
      </c>
      <c r="I58" s="3">
        <f>'Stage 1 Inputs'!AI58</f>
        <v>920125016</v>
      </c>
      <c r="J58" s="3">
        <f>'Stage 1 Inputs'!AJ58</f>
        <v>269.17052867085619</v>
      </c>
      <c r="K58" s="3">
        <f>'Stage 1 Inputs'!AK58</f>
        <v>368.15049835574712</v>
      </c>
      <c r="L58" s="3">
        <f>'Stage 1 Inputs'!AL58</f>
        <v>5.9084918174896135</v>
      </c>
      <c r="M58" s="3">
        <f>'Stage 1 Inputs'!AM58</f>
        <v>367.85173747719313</v>
      </c>
      <c r="N58" s="3">
        <f>'Stage 1 Inputs'!AN58</f>
        <v>5.9076799696978055</v>
      </c>
      <c r="O58" s="3">
        <f>'Stage 1 Inputs'!AT58</f>
        <v>0</v>
      </c>
      <c r="P58" s="3">
        <f>'Stage 1 Inputs'!AU58</f>
        <v>0</v>
      </c>
      <c r="Q58" s="3">
        <f>'Stage 1 Inputs'!AV58</f>
        <v>0</v>
      </c>
      <c r="R58" s="3" t="str">
        <f>'Stage 1 Inputs'!AX58</f>
        <v>Historical official/source data</v>
      </c>
      <c r="S58" s="3" t="str">
        <f>'Stage 1 Inputs'!AY58</f>
        <v>No special note</v>
      </c>
    </row>
    <row r="59" spans="1:19" ht="19.95" customHeight="1" x14ac:dyDescent="0.3">
      <c r="A59" s="3" t="str">
        <f>'Stage 1 Inputs'!A59</f>
        <v>2016Q2</v>
      </c>
      <c r="B59" s="3" t="str">
        <f>'Stage 1 Inputs'!B59</f>
        <v>Jun 2016</v>
      </c>
      <c r="C59" s="3">
        <f>'Stage 1 Inputs'!G59</f>
        <v>66273000000</v>
      </c>
      <c r="D59" s="3">
        <f>'Stage 1 Inputs'!E59</f>
        <v>1134</v>
      </c>
      <c r="E59" s="3">
        <f>'Stage 1 Inputs'!F59</f>
        <v>1.3765432098765431</v>
      </c>
      <c r="F59" s="3">
        <f>'Stage 1 Inputs'!J59</f>
        <v>91227648148.148148</v>
      </c>
      <c r="G59" s="3">
        <f>'Stage 1 Inputs'!L59</f>
        <v>25.236623847602303</v>
      </c>
      <c r="H59" s="3">
        <f>'Stage 1 Inputs'!AH59</f>
        <v>243896273.69999999</v>
      </c>
      <c r="I59" s="3">
        <f>'Stage 1 Inputs'!AI59</f>
        <v>903149015</v>
      </c>
      <c r="J59" s="3">
        <f>'Stage 1 Inputs'!AJ59</f>
        <v>270.05097680364514</v>
      </c>
      <c r="K59" s="3">
        <f>'Stage 1 Inputs'!AK59</f>
        <v>367.85173747719313</v>
      </c>
      <c r="L59" s="3">
        <f>'Stage 1 Inputs'!AL59</f>
        <v>5.9076799696978055</v>
      </c>
      <c r="M59" s="3">
        <f>'Stage 1 Inputs'!AM59</f>
        <v>364.22908831444238</v>
      </c>
      <c r="N59" s="3">
        <f>'Stage 1 Inputs'!AN59</f>
        <v>5.8977830331718053</v>
      </c>
      <c r="O59" s="3">
        <f>'Stage 1 Inputs'!AT59</f>
        <v>1</v>
      </c>
      <c r="P59" s="3">
        <f>'Stage 1 Inputs'!AU59</f>
        <v>0</v>
      </c>
      <c r="Q59" s="3">
        <f>'Stage 1 Inputs'!AV59</f>
        <v>0</v>
      </c>
      <c r="R59" s="3" t="str">
        <f>'Stage 1 Inputs'!AX59</f>
        <v>Historical official/source data</v>
      </c>
      <c r="S59" s="3" t="str">
        <f>'Stage 1 Inputs'!AY59</f>
        <v>No special note</v>
      </c>
    </row>
    <row r="60" spans="1:19" ht="19.95" customHeight="1" x14ac:dyDescent="0.3">
      <c r="A60" s="3" t="str">
        <f>'Stage 1 Inputs'!A60</f>
        <v>2016Q3</v>
      </c>
      <c r="B60" s="3" t="str">
        <f>'Stage 1 Inputs'!B60</f>
        <v>Sep 2016</v>
      </c>
      <c r="C60" s="3">
        <f>'Stage 1 Inputs'!G60</f>
        <v>67138000000</v>
      </c>
      <c r="D60" s="3">
        <f>'Stage 1 Inputs'!E60</f>
        <v>1139</v>
      </c>
      <c r="E60" s="3">
        <f>'Stage 1 Inputs'!F60</f>
        <v>1.3705004389815627</v>
      </c>
      <c r="F60" s="3">
        <f>'Stage 1 Inputs'!J60</f>
        <v>92012658472.344162</v>
      </c>
      <c r="G60" s="3">
        <f>'Stage 1 Inputs'!L60</f>
        <v>25.245191996621227</v>
      </c>
      <c r="H60" s="3">
        <f>'Stage 1 Inputs'!AH60</f>
        <v>246164738.30000001</v>
      </c>
      <c r="I60" s="3">
        <f>'Stage 1 Inputs'!AI60</f>
        <v>917814423</v>
      </c>
      <c r="J60" s="3">
        <f>'Stage 1 Inputs'!AJ60</f>
        <v>268.20752881108302</v>
      </c>
      <c r="K60" s="3">
        <f>'Stage 1 Inputs'!AK60</f>
        <v>364.22908831444238</v>
      </c>
      <c r="L60" s="3">
        <f>'Stage 1 Inputs'!AL60</f>
        <v>5.8977830331718053</v>
      </c>
      <c r="M60" s="3">
        <f>'Stage 1 Inputs'!AM60</f>
        <v>363.14135518412434</v>
      </c>
      <c r="N60" s="3">
        <f>'Stage 1 Inputs'!AN60</f>
        <v>5.8947921666858756</v>
      </c>
      <c r="O60" s="3">
        <f>'Stage 1 Inputs'!AT60</f>
        <v>0</v>
      </c>
      <c r="P60" s="3">
        <f>'Stage 1 Inputs'!AU60</f>
        <v>1</v>
      </c>
      <c r="Q60" s="3">
        <f>'Stage 1 Inputs'!AV60</f>
        <v>0</v>
      </c>
      <c r="R60" s="3" t="str">
        <f>'Stage 1 Inputs'!AX60</f>
        <v>Historical official/source data</v>
      </c>
      <c r="S60" s="3" t="str">
        <f>'Stage 1 Inputs'!AY60</f>
        <v>No special note</v>
      </c>
    </row>
    <row r="61" spans="1:19" ht="19.95" customHeight="1" x14ac:dyDescent="0.3">
      <c r="A61" s="3" t="str">
        <f>'Stage 1 Inputs'!A61</f>
        <v>2016Q4</v>
      </c>
      <c r="B61" s="3" t="str">
        <f>'Stage 1 Inputs'!B61</f>
        <v>Dec 2016</v>
      </c>
      <c r="C61" s="3">
        <f>'Stage 1 Inputs'!G61</f>
        <v>68058000000</v>
      </c>
      <c r="D61" s="3">
        <f>'Stage 1 Inputs'!E61</f>
        <v>1153</v>
      </c>
      <c r="E61" s="3">
        <f>'Stage 1 Inputs'!F61</f>
        <v>1.3538594969644406</v>
      </c>
      <c r="F61" s="3">
        <f>'Stage 1 Inputs'!J61</f>
        <v>92140969644.405899</v>
      </c>
      <c r="G61" s="3">
        <f>'Stage 1 Inputs'!L61</f>
        <v>25.246585519997744</v>
      </c>
      <c r="H61" s="3">
        <f>'Stage 1 Inputs'!AH61</f>
        <v>262415199.09999999</v>
      </c>
      <c r="I61" s="3">
        <f>'Stage 1 Inputs'!AI61</f>
        <v>977369221</v>
      </c>
      <c r="J61" s="3">
        <f>'Stage 1 Inputs'!AJ61</f>
        <v>268.49136791059232</v>
      </c>
      <c r="K61" s="3">
        <f>'Stage 1 Inputs'!AK61</f>
        <v>363.14135518412434</v>
      </c>
      <c r="L61" s="3">
        <f>'Stage 1 Inputs'!AL61</f>
        <v>5.8947921666858756</v>
      </c>
      <c r="M61" s="3">
        <f>'Stage 1 Inputs'!AM61</f>
        <v>360.24751069269143</v>
      </c>
      <c r="N61" s="3">
        <f>'Stage 1 Inputs'!AN61</f>
        <v>5.8867913249118065</v>
      </c>
      <c r="O61" s="3">
        <f>'Stage 1 Inputs'!AT61</f>
        <v>0</v>
      </c>
      <c r="P61" s="3">
        <f>'Stage 1 Inputs'!AU61</f>
        <v>0</v>
      </c>
      <c r="Q61" s="3">
        <f>'Stage 1 Inputs'!AV61</f>
        <v>1</v>
      </c>
      <c r="R61" s="3" t="str">
        <f>'Stage 1 Inputs'!AX61</f>
        <v>Historical official/source data</v>
      </c>
      <c r="S61" s="3" t="str">
        <f>'Stage 1 Inputs'!AY61</f>
        <v>No special note</v>
      </c>
    </row>
    <row r="62" spans="1:19" ht="19.95" customHeight="1" x14ac:dyDescent="0.3">
      <c r="A62" s="3" t="str">
        <f>'Stage 1 Inputs'!A62</f>
        <v>2017Q1</v>
      </c>
      <c r="B62" s="3" t="str">
        <f>'Stage 1 Inputs'!B62</f>
        <v>Mar 2017</v>
      </c>
      <c r="C62" s="3">
        <f>'Stage 1 Inputs'!G62</f>
        <v>70034000000</v>
      </c>
      <c r="D62" s="3">
        <f>'Stage 1 Inputs'!E62</f>
        <v>1169</v>
      </c>
      <c r="E62" s="3">
        <f>'Stage 1 Inputs'!F62</f>
        <v>1.3353293413173652</v>
      </c>
      <c r="F62" s="3">
        <f>'Stage 1 Inputs'!J62</f>
        <v>93518455089.820358</v>
      </c>
      <c r="G62" s="3">
        <f>'Stage 1 Inputs'!L62</f>
        <v>25.261424634403848</v>
      </c>
      <c r="H62" s="3">
        <f>'Stage 1 Inputs'!AH62</f>
        <v>265678288</v>
      </c>
      <c r="I62" s="3">
        <f>'Stage 1 Inputs'!AI62</f>
        <v>987496699</v>
      </c>
      <c r="J62" s="3">
        <f>'Stage 1 Inputs'!AJ62</f>
        <v>269.04220365398913</v>
      </c>
      <c r="K62" s="3">
        <f>'Stage 1 Inputs'!AK62</f>
        <v>360.24751069269143</v>
      </c>
      <c r="L62" s="3">
        <f>'Stage 1 Inputs'!AL62</f>
        <v>5.8867913249118065</v>
      </c>
      <c r="M62" s="3">
        <f>'Stage 1 Inputs'!AM62</f>
        <v>362.72056590206694</v>
      </c>
      <c r="N62" s="3">
        <f>'Stage 1 Inputs'!AN62</f>
        <v>5.8936327469202947</v>
      </c>
      <c r="O62" s="3">
        <f>'Stage 1 Inputs'!AT62</f>
        <v>0</v>
      </c>
      <c r="P62" s="3">
        <f>'Stage 1 Inputs'!AU62</f>
        <v>0</v>
      </c>
      <c r="Q62" s="3">
        <f>'Stage 1 Inputs'!AV62</f>
        <v>0</v>
      </c>
      <c r="R62" s="3" t="str">
        <f>'Stage 1 Inputs'!AX62</f>
        <v>Historical official/source data</v>
      </c>
      <c r="S62" s="3" t="str">
        <f>'Stage 1 Inputs'!AY62</f>
        <v>No special note</v>
      </c>
    </row>
    <row r="63" spans="1:19" ht="19.95" customHeight="1" x14ac:dyDescent="0.3">
      <c r="A63" s="3" t="str">
        <f>'Stage 1 Inputs'!A63</f>
        <v>2017Q2</v>
      </c>
      <c r="B63" s="3" t="str">
        <f>'Stage 1 Inputs'!B63</f>
        <v>Jun 2017</v>
      </c>
      <c r="C63" s="3">
        <f>'Stage 1 Inputs'!G63</f>
        <v>70463000000</v>
      </c>
      <c r="D63" s="3">
        <f>'Stage 1 Inputs'!E63</f>
        <v>1164</v>
      </c>
      <c r="E63" s="3">
        <f>'Stage 1 Inputs'!F63</f>
        <v>1.3410652920962198</v>
      </c>
      <c r="F63" s="3">
        <f>'Stage 1 Inputs'!J63</f>
        <v>94495483676.975937</v>
      </c>
      <c r="G63" s="3">
        <f>'Stage 1 Inputs'!L63</f>
        <v>25.271817878526011</v>
      </c>
      <c r="H63" s="3">
        <f>'Stage 1 Inputs'!AH63</f>
        <v>260054458.5</v>
      </c>
      <c r="I63" s="3">
        <f>'Stage 1 Inputs'!AI63</f>
        <v>960003244</v>
      </c>
      <c r="J63" s="3">
        <f>'Stage 1 Inputs'!AJ63</f>
        <v>270.889145557929</v>
      </c>
      <c r="K63" s="3">
        <f>'Stage 1 Inputs'!AK63</f>
        <v>362.72056590206694</v>
      </c>
      <c r="L63" s="3">
        <f>'Stage 1 Inputs'!AL63</f>
        <v>5.8936327469202947</v>
      </c>
      <c r="M63" s="3">
        <f>'Stage 1 Inputs'!AM63</f>
        <v>360.96074171907583</v>
      </c>
      <c r="N63" s="3">
        <f>'Stage 1 Inputs'!AN63</f>
        <v>5.8887692037186916</v>
      </c>
      <c r="O63" s="3">
        <f>'Stage 1 Inputs'!AT63</f>
        <v>1</v>
      </c>
      <c r="P63" s="3">
        <f>'Stage 1 Inputs'!AU63</f>
        <v>0</v>
      </c>
      <c r="Q63" s="3">
        <f>'Stage 1 Inputs'!AV63</f>
        <v>0</v>
      </c>
      <c r="R63" s="3" t="str">
        <f>'Stage 1 Inputs'!AX63</f>
        <v>Historical official/source data</v>
      </c>
      <c r="S63" s="3" t="str">
        <f>'Stage 1 Inputs'!AY63</f>
        <v>No special note</v>
      </c>
    </row>
    <row r="64" spans="1:19" ht="19.95" customHeight="1" x14ac:dyDescent="0.3">
      <c r="A64" s="3" t="str">
        <f>'Stage 1 Inputs'!A64</f>
        <v>2017Q3</v>
      </c>
      <c r="B64" s="3" t="str">
        <f>'Stage 1 Inputs'!B64</f>
        <v>Sep 2017</v>
      </c>
      <c r="C64" s="3">
        <f>'Stage 1 Inputs'!G64</f>
        <v>72079000000</v>
      </c>
      <c r="D64" s="3">
        <f>'Stage 1 Inputs'!E64</f>
        <v>1178</v>
      </c>
      <c r="E64" s="3">
        <f>'Stage 1 Inputs'!F64</f>
        <v>1.3251273344651953</v>
      </c>
      <c r="F64" s="3">
        <f>'Stage 1 Inputs'!J64</f>
        <v>95513853140.916809</v>
      </c>
      <c r="G64" s="3">
        <f>'Stage 1 Inputs'!L64</f>
        <v>25.282537132980238</v>
      </c>
      <c r="H64" s="3">
        <f>'Stage 1 Inputs'!AH64</f>
        <v>264189540.69999999</v>
      </c>
      <c r="I64" s="3">
        <f>'Stage 1 Inputs'!AI64</f>
        <v>975147170</v>
      </c>
      <c r="J64" s="3">
        <f>'Stage 1 Inputs'!AJ64</f>
        <v>270.92273743664765</v>
      </c>
      <c r="K64" s="3">
        <f>'Stage 1 Inputs'!AK64</f>
        <v>360.96074171907583</v>
      </c>
      <c r="L64" s="3">
        <f>'Stage 1 Inputs'!AL64</f>
        <v>5.8887692037186916</v>
      </c>
      <c r="M64" s="3">
        <f>'Stage 1 Inputs'!AM64</f>
        <v>360.33207359946181</v>
      </c>
      <c r="N64" s="3">
        <f>'Stage 1 Inputs'!AN64</f>
        <v>5.887026032941292</v>
      </c>
      <c r="O64" s="3">
        <f>'Stage 1 Inputs'!AT64</f>
        <v>0</v>
      </c>
      <c r="P64" s="3">
        <f>'Stage 1 Inputs'!AU64</f>
        <v>1</v>
      </c>
      <c r="Q64" s="3">
        <f>'Stage 1 Inputs'!AV64</f>
        <v>0</v>
      </c>
      <c r="R64" s="3" t="str">
        <f>'Stage 1 Inputs'!AX64</f>
        <v>Historical official/source data</v>
      </c>
      <c r="S64" s="3" t="str">
        <f>'Stage 1 Inputs'!AY64</f>
        <v>No special note</v>
      </c>
    </row>
    <row r="65" spans="1:19" ht="19.95" customHeight="1" x14ac:dyDescent="0.3">
      <c r="A65" s="3" t="str">
        <f>'Stage 1 Inputs'!A65</f>
        <v>2017Q4</v>
      </c>
      <c r="B65" s="3" t="str">
        <f>'Stage 1 Inputs'!B65</f>
        <v>Dec 2017</v>
      </c>
      <c r="C65" s="3">
        <f>'Stage 1 Inputs'!G65</f>
        <v>73799000000</v>
      </c>
      <c r="D65" s="3">
        <f>'Stage 1 Inputs'!E65</f>
        <v>1191</v>
      </c>
      <c r="E65" s="3">
        <f>'Stage 1 Inputs'!F65</f>
        <v>1.3106633081444166</v>
      </c>
      <c r="F65" s="3">
        <f>'Stage 1 Inputs'!J65</f>
        <v>96725641477.749802</v>
      </c>
      <c r="G65" s="3">
        <f>'Stage 1 Inputs'!L65</f>
        <v>25.295144369485666</v>
      </c>
      <c r="H65" s="3">
        <f>'Stage 1 Inputs'!AH65</f>
        <v>286198822.69999999</v>
      </c>
      <c r="I65" s="3">
        <f>'Stage 1 Inputs'!AI65</f>
        <v>1057176543</v>
      </c>
      <c r="J65" s="3">
        <f>'Stage 1 Inputs'!AJ65</f>
        <v>270.71998957509976</v>
      </c>
      <c r="K65" s="3">
        <f>'Stage 1 Inputs'!AK65</f>
        <v>360.33207359946181</v>
      </c>
      <c r="L65" s="3">
        <f>'Stage 1 Inputs'!AL65</f>
        <v>5.887026032941292</v>
      </c>
      <c r="M65" s="3">
        <f>'Stage 1 Inputs'!AM65</f>
        <v>357.95105682912128</v>
      </c>
      <c r="N65" s="3">
        <f>'Stage 1 Inputs'!AN65</f>
        <v>5.8803962642868406</v>
      </c>
      <c r="O65" s="3">
        <f>'Stage 1 Inputs'!AT65</f>
        <v>0</v>
      </c>
      <c r="P65" s="3">
        <f>'Stage 1 Inputs'!AU65</f>
        <v>0</v>
      </c>
      <c r="Q65" s="3">
        <f>'Stage 1 Inputs'!AV65</f>
        <v>1</v>
      </c>
      <c r="R65" s="3" t="str">
        <f>'Stage 1 Inputs'!AX65</f>
        <v>Historical official/source data</v>
      </c>
      <c r="S65" s="3" t="str">
        <f>'Stage 1 Inputs'!AY65</f>
        <v>No special note</v>
      </c>
    </row>
    <row r="66" spans="1:19" ht="19.95" customHeight="1" x14ac:dyDescent="0.3">
      <c r="A66" s="3" t="str">
        <f>'Stage 1 Inputs'!A66</f>
        <v>2018Q1</v>
      </c>
      <c r="B66" s="3" t="str">
        <f>'Stage 1 Inputs'!B66</f>
        <v>Mar 2018</v>
      </c>
      <c r="C66" s="3">
        <f>'Stage 1 Inputs'!G66</f>
        <v>74376000000</v>
      </c>
      <c r="D66" s="3">
        <f>'Stage 1 Inputs'!E66</f>
        <v>1187</v>
      </c>
      <c r="E66" s="3">
        <f>'Stage 1 Inputs'!F66</f>
        <v>1.3150800336983994</v>
      </c>
      <c r="F66" s="3">
        <f>'Stage 1 Inputs'!J66</f>
        <v>97810392586.352158</v>
      </c>
      <c r="G66" s="3">
        <f>'Stage 1 Inputs'!L66</f>
        <v>25.306296672005733</v>
      </c>
      <c r="H66" s="3">
        <f>'Stage 1 Inputs'!AH66</f>
        <v>271848986.69999999</v>
      </c>
      <c r="I66" s="3">
        <f>'Stage 1 Inputs'!AI66</f>
        <v>1005850627</v>
      </c>
      <c r="J66" s="3">
        <f>'Stage 1 Inputs'!AJ66</f>
        <v>270.26775089935893</v>
      </c>
      <c r="K66" s="3">
        <f>'Stage 1 Inputs'!AK66</f>
        <v>357.95105682912128</v>
      </c>
      <c r="L66" s="3">
        <f>'Stage 1 Inputs'!AL66</f>
        <v>5.8803962642868406</v>
      </c>
      <c r="M66" s="3">
        <f>'Stage 1 Inputs'!AM66</f>
        <v>359.03908889807269</v>
      </c>
      <c r="N66" s="3">
        <f>'Stage 1 Inputs'!AN66</f>
        <v>5.8834312652854219</v>
      </c>
      <c r="O66" s="3">
        <f>'Stage 1 Inputs'!AT66</f>
        <v>0</v>
      </c>
      <c r="P66" s="3">
        <f>'Stage 1 Inputs'!AU66</f>
        <v>0</v>
      </c>
      <c r="Q66" s="3">
        <f>'Stage 1 Inputs'!AV66</f>
        <v>0</v>
      </c>
      <c r="R66" s="3" t="str">
        <f>'Stage 1 Inputs'!AX66</f>
        <v>Historical official/source data</v>
      </c>
      <c r="S66" s="3" t="str">
        <f>'Stage 1 Inputs'!AY66</f>
        <v>No special note</v>
      </c>
    </row>
    <row r="67" spans="1:19" ht="19.95" customHeight="1" x14ac:dyDescent="0.3">
      <c r="A67" s="3" t="str">
        <f>'Stage 1 Inputs'!A67</f>
        <v>2018Q2</v>
      </c>
      <c r="B67" s="3" t="str">
        <f>'Stage 1 Inputs'!B67</f>
        <v>Jun 2018</v>
      </c>
      <c r="C67" s="3">
        <f>'Stage 1 Inputs'!G67</f>
        <v>75236000000</v>
      </c>
      <c r="D67" s="3">
        <f>'Stage 1 Inputs'!E67</f>
        <v>1191</v>
      </c>
      <c r="E67" s="3">
        <f>'Stage 1 Inputs'!F67</f>
        <v>1.3106633081444166</v>
      </c>
      <c r="F67" s="3">
        <f>'Stage 1 Inputs'!J67</f>
        <v>98609064651.553329</v>
      </c>
      <c r="G67" s="3">
        <f>'Stage 1 Inputs'!L67</f>
        <v>25.3144290279151</v>
      </c>
      <c r="H67" s="3">
        <f>'Stage 1 Inputs'!AH67</f>
        <v>267784929.19999999</v>
      </c>
      <c r="I67" s="3">
        <f>'Stage 1 Inputs'!AI67</f>
        <v>983918062</v>
      </c>
      <c r="J67" s="3">
        <f>'Stage 1 Inputs'!AJ67</f>
        <v>272.16181869420745</v>
      </c>
      <c r="K67" s="3">
        <f>'Stage 1 Inputs'!AK67</f>
        <v>359.03908889807269</v>
      </c>
      <c r="L67" s="3">
        <f>'Stage 1 Inputs'!AL67</f>
        <v>5.8834312652854219</v>
      </c>
      <c r="M67" s="3">
        <f>'Stage 1 Inputs'!AM67</f>
        <v>354.91180928877606</v>
      </c>
      <c r="N67" s="3">
        <f>'Stage 1 Inputs'!AN67</f>
        <v>5.8718693340742698</v>
      </c>
      <c r="O67" s="3">
        <f>'Stage 1 Inputs'!AT67</f>
        <v>1</v>
      </c>
      <c r="P67" s="3">
        <f>'Stage 1 Inputs'!AU67</f>
        <v>0</v>
      </c>
      <c r="Q67" s="3">
        <f>'Stage 1 Inputs'!AV67</f>
        <v>0</v>
      </c>
      <c r="R67" s="3" t="str">
        <f>'Stage 1 Inputs'!AX67</f>
        <v>Historical official/source data</v>
      </c>
      <c r="S67" s="3" t="str">
        <f>'Stage 1 Inputs'!AY67</f>
        <v>No special note</v>
      </c>
    </row>
    <row r="68" spans="1:19" ht="19.95" customHeight="1" x14ac:dyDescent="0.3">
      <c r="A68" s="3" t="str">
        <f>'Stage 1 Inputs'!A68</f>
        <v>2018Q3</v>
      </c>
      <c r="B68" s="3" t="str">
        <f>'Stage 1 Inputs'!B68</f>
        <v>Sep 2018</v>
      </c>
      <c r="C68" s="3">
        <f>'Stage 1 Inputs'!G68</f>
        <v>75785000000</v>
      </c>
      <c r="D68" s="3">
        <f>'Stage 1 Inputs'!E68</f>
        <v>1199</v>
      </c>
      <c r="E68" s="3">
        <f>'Stage 1 Inputs'!F68</f>
        <v>1.3019182652210175</v>
      </c>
      <c r="F68" s="3">
        <f>'Stage 1 Inputs'!J68</f>
        <v>98665875729.774811</v>
      </c>
      <c r="G68" s="3">
        <f>'Stage 1 Inputs'!L68</f>
        <v>25.315004986317948</v>
      </c>
      <c r="H68" s="3">
        <f>'Stage 1 Inputs'!AH68</f>
        <v>268010168.90000001</v>
      </c>
      <c r="I68" s="3">
        <f>'Stage 1 Inputs'!AI68</f>
        <v>987441652</v>
      </c>
      <c r="J68" s="3">
        <f>'Stage 1 Inputs'!AJ68</f>
        <v>271.41873988925067</v>
      </c>
      <c r="K68" s="3">
        <f>'Stage 1 Inputs'!AK68</f>
        <v>354.91180928877606</v>
      </c>
      <c r="L68" s="3">
        <f>'Stage 1 Inputs'!AL68</f>
        <v>5.8718693340742698</v>
      </c>
      <c r="M68" s="3">
        <f>'Stage 1 Inputs'!AM68</f>
        <v>355.95151147984495</v>
      </c>
      <c r="N68" s="3">
        <f>'Stage 1 Inputs'!AN68</f>
        <v>5.8747945178671621</v>
      </c>
      <c r="O68" s="3">
        <f>'Stage 1 Inputs'!AT68</f>
        <v>0</v>
      </c>
      <c r="P68" s="3">
        <f>'Stage 1 Inputs'!AU68</f>
        <v>1</v>
      </c>
      <c r="Q68" s="3">
        <f>'Stage 1 Inputs'!AV68</f>
        <v>0</v>
      </c>
      <c r="R68" s="3" t="str">
        <f>'Stage 1 Inputs'!AX68</f>
        <v>Historical official/source data</v>
      </c>
      <c r="S68" s="3" t="str">
        <f>'Stage 1 Inputs'!AY68</f>
        <v>No special note</v>
      </c>
    </row>
    <row r="69" spans="1:19" ht="19.95" customHeight="1" x14ac:dyDescent="0.3">
      <c r="A69" s="3" t="str">
        <f>'Stage 1 Inputs'!A69</f>
        <v>2018Q4</v>
      </c>
      <c r="B69" s="3" t="str">
        <f>'Stage 1 Inputs'!B69</f>
        <v>Dec 2018</v>
      </c>
      <c r="C69" s="3">
        <f>'Stage 1 Inputs'!G69</f>
        <v>76787000000</v>
      </c>
      <c r="D69" s="3">
        <f>'Stage 1 Inputs'!E69</f>
        <v>1195</v>
      </c>
      <c r="E69" s="3">
        <f>'Stage 1 Inputs'!F69</f>
        <v>1.306276150627615</v>
      </c>
      <c r="F69" s="3">
        <f>'Stage 1 Inputs'!J69</f>
        <v>100305026778.24268</v>
      </c>
      <c r="G69" s="3">
        <f>'Stage 1 Inputs'!L69</f>
        <v>25.331481648088602</v>
      </c>
      <c r="H69" s="3">
        <f>'Stage 1 Inputs'!AH69</f>
        <v>294824092.5</v>
      </c>
      <c r="I69" s="3">
        <f>'Stage 1 Inputs'!AI69</f>
        <v>1082003936</v>
      </c>
      <c r="J69" s="3">
        <f>'Stage 1 Inputs'!AJ69</f>
        <v>272.47968578554224</v>
      </c>
      <c r="K69" s="3">
        <f>'Stage 1 Inputs'!AK69</f>
        <v>355.95151147984495</v>
      </c>
      <c r="L69" s="3">
        <f>'Stage 1 Inputs'!AL69</f>
        <v>5.8747945178671621</v>
      </c>
      <c r="M69" s="3">
        <f>'Stage 1 Inputs'!AM69</f>
        <v>368.77983587239305</v>
      </c>
      <c r="N69" s="3">
        <f>'Stage 1 Inputs'!AN69</f>
        <v>5.9101998152213122</v>
      </c>
      <c r="O69" s="3">
        <f>'Stage 1 Inputs'!AT69</f>
        <v>0</v>
      </c>
      <c r="P69" s="3">
        <f>'Stage 1 Inputs'!AU69</f>
        <v>0</v>
      </c>
      <c r="Q69" s="3">
        <f>'Stage 1 Inputs'!AV69</f>
        <v>1</v>
      </c>
      <c r="R69" s="3" t="str">
        <f>'Stage 1 Inputs'!AX69</f>
        <v>Historical official/source data</v>
      </c>
      <c r="S69" s="3" t="str">
        <f>'Stage 1 Inputs'!AY69</f>
        <v>No special note</v>
      </c>
    </row>
    <row r="70" spans="1:19" ht="19.95" customHeight="1" x14ac:dyDescent="0.3">
      <c r="A70" s="3" t="str">
        <f>'Stage 1 Inputs'!A70</f>
        <v>2019Q1</v>
      </c>
      <c r="B70" s="3" t="str">
        <f>'Stage 1 Inputs'!B70</f>
        <v>Mar 2019</v>
      </c>
      <c r="C70" s="3">
        <f>'Stage 1 Inputs'!G70</f>
        <v>78271000000</v>
      </c>
      <c r="D70" s="3">
        <f>'Stage 1 Inputs'!E70</f>
        <v>1203</v>
      </c>
      <c r="E70" s="3">
        <f>'Stage 1 Inputs'!F70</f>
        <v>1.2975893599334996</v>
      </c>
      <c r="F70" s="3">
        <f>'Stage 1 Inputs'!J70</f>
        <v>101563616791.35495</v>
      </c>
      <c r="G70" s="3">
        <f>'Stage 1 Inputs'!L70</f>
        <v>25.343951205509505</v>
      </c>
      <c r="H70" s="3">
        <f>'Stage 1 Inputs'!AH70</f>
        <v>286849974.5</v>
      </c>
      <c r="I70" s="3">
        <f>'Stage 1 Inputs'!AI70</f>
        <v>1015128136</v>
      </c>
      <c r="J70" s="3">
        <f>'Stage 1 Inputs'!AJ70</f>
        <v>282.57513936151997</v>
      </c>
      <c r="K70" s="3">
        <f>'Stage 1 Inputs'!AK70</f>
        <v>368.77983587239305</v>
      </c>
      <c r="L70" s="3">
        <f>'Stage 1 Inputs'!AL70</f>
        <v>5.9101998152213122</v>
      </c>
      <c r="M70" s="3">
        <f>'Stage 1 Inputs'!AM70</f>
        <v>367.64351050410784</v>
      </c>
      <c r="N70" s="3">
        <f>'Stage 1 Inputs'!AN70</f>
        <v>5.9071137471988289</v>
      </c>
      <c r="O70" s="3">
        <f>'Stage 1 Inputs'!AT70</f>
        <v>0</v>
      </c>
      <c r="P70" s="3">
        <f>'Stage 1 Inputs'!AU70</f>
        <v>0</v>
      </c>
      <c r="Q70" s="3">
        <f>'Stage 1 Inputs'!AV70</f>
        <v>0</v>
      </c>
      <c r="R70" s="3" t="str">
        <f>'Stage 1 Inputs'!AX70</f>
        <v>Historical official/source data</v>
      </c>
      <c r="S70" s="3" t="str">
        <f>'Stage 1 Inputs'!AY70</f>
        <v>No special note</v>
      </c>
    </row>
    <row r="71" spans="1:19" ht="19.95" customHeight="1" x14ac:dyDescent="0.3">
      <c r="A71" s="3" t="str">
        <f>'Stage 1 Inputs'!A71</f>
        <v>2019Q2</v>
      </c>
      <c r="B71" s="3" t="str">
        <f>'Stage 1 Inputs'!B71</f>
        <v>Jun 2019</v>
      </c>
      <c r="C71" s="3">
        <f>'Stage 1 Inputs'!G71</f>
        <v>79331000000</v>
      </c>
      <c r="D71" s="3">
        <f>'Stage 1 Inputs'!E71</f>
        <v>1220</v>
      </c>
      <c r="E71" s="3">
        <f>'Stage 1 Inputs'!F71</f>
        <v>1.2795081967213116</v>
      </c>
      <c r="F71" s="3">
        <f>'Stage 1 Inputs'!J71</f>
        <v>101504664754.09837</v>
      </c>
      <c r="G71" s="3">
        <f>'Stage 1 Inputs'!L71</f>
        <v>25.343370592540666</v>
      </c>
      <c r="H71" s="3">
        <f>'Stage 1 Inputs'!AH71</f>
        <v>279552393.19999999</v>
      </c>
      <c r="I71" s="3">
        <f>'Stage 1 Inputs'!AI71</f>
        <v>986591092</v>
      </c>
      <c r="J71" s="3">
        <f>'Stage 1 Inputs'!AJ71</f>
        <v>283.3518318448389</v>
      </c>
      <c r="K71" s="3">
        <f>'Stage 1 Inputs'!AK71</f>
        <v>367.64351050410784</v>
      </c>
      <c r="L71" s="3">
        <f>'Stage 1 Inputs'!AL71</f>
        <v>5.9071137471988289</v>
      </c>
      <c r="M71" s="3">
        <f>'Stage 1 Inputs'!AM71</f>
        <v>366.21978956511646</v>
      </c>
      <c r="N71" s="3">
        <f>'Stage 1 Inputs'!AN71</f>
        <v>5.9032336711001001</v>
      </c>
      <c r="O71" s="3">
        <f>'Stage 1 Inputs'!AT71</f>
        <v>1</v>
      </c>
      <c r="P71" s="3">
        <f>'Stage 1 Inputs'!AU71</f>
        <v>0</v>
      </c>
      <c r="Q71" s="3">
        <f>'Stage 1 Inputs'!AV71</f>
        <v>0</v>
      </c>
      <c r="R71" s="3" t="str">
        <f>'Stage 1 Inputs'!AX71</f>
        <v>Historical official/source data</v>
      </c>
      <c r="S71" s="3" t="str">
        <f>'Stage 1 Inputs'!AY71</f>
        <v>No special note</v>
      </c>
    </row>
    <row r="72" spans="1:19" ht="19.95" customHeight="1" x14ac:dyDescent="0.3">
      <c r="A72" s="3" t="str">
        <f>'Stage 1 Inputs'!A72</f>
        <v>2019Q3</v>
      </c>
      <c r="B72" s="3" t="str">
        <f>'Stage 1 Inputs'!B72</f>
        <v>Sep 2019</v>
      </c>
      <c r="C72" s="3">
        <f>'Stage 1 Inputs'!G72</f>
        <v>80380000000</v>
      </c>
      <c r="D72" s="3">
        <f>'Stage 1 Inputs'!E72</f>
        <v>1226</v>
      </c>
      <c r="E72" s="3">
        <f>'Stage 1 Inputs'!F72</f>
        <v>1.2732463295269167</v>
      </c>
      <c r="F72" s="3">
        <f>'Stage 1 Inputs'!J72</f>
        <v>102343539967.37357</v>
      </c>
      <c r="G72" s="3">
        <f>'Stage 1 Inputs'!L72</f>
        <v>25.351601029986742</v>
      </c>
      <c r="H72" s="3">
        <f>'Stage 1 Inputs'!AH72</f>
        <v>285826555.5</v>
      </c>
      <c r="I72" s="3">
        <f>'Stage 1 Inputs'!AI72</f>
        <v>1005832806</v>
      </c>
      <c r="J72" s="3">
        <f>'Stage 1 Inputs'!AJ72</f>
        <v>284.16905254529945</v>
      </c>
      <c r="K72" s="3">
        <f>'Stage 1 Inputs'!AK72</f>
        <v>366.21978956511646</v>
      </c>
      <c r="L72" s="3">
        <f>'Stage 1 Inputs'!AL72</f>
        <v>5.9032336711001001</v>
      </c>
      <c r="M72" s="3">
        <f>'Stage 1 Inputs'!AM72</f>
        <v>381.61698020478434</v>
      </c>
      <c r="N72" s="3">
        <f>'Stage 1 Inputs'!AN72</f>
        <v>5.9444174359761446</v>
      </c>
      <c r="O72" s="3">
        <f>'Stage 1 Inputs'!AT72</f>
        <v>0</v>
      </c>
      <c r="P72" s="3">
        <f>'Stage 1 Inputs'!AU72</f>
        <v>1</v>
      </c>
      <c r="Q72" s="3">
        <f>'Stage 1 Inputs'!AV72</f>
        <v>0</v>
      </c>
      <c r="R72" s="3" t="str">
        <f>'Stage 1 Inputs'!AX72</f>
        <v>Historical official/source data</v>
      </c>
      <c r="S72" s="3" t="str">
        <f>'Stage 1 Inputs'!AY72</f>
        <v>No special note</v>
      </c>
    </row>
    <row r="73" spans="1:19" ht="19.95" customHeight="1" x14ac:dyDescent="0.3">
      <c r="A73" s="3" t="str">
        <f>'Stage 1 Inputs'!A73</f>
        <v>2019Q4</v>
      </c>
      <c r="B73" s="3" t="str">
        <f>'Stage 1 Inputs'!B73</f>
        <v>Dec 2019</v>
      </c>
      <c r="C73" s="3">
        <f>'Stage 1 Inputs'!G73</f>
        <v>81861000000</v>
      </c>
      <c r="D73" s="3">
        <f>'Stage 1 Inputs'!E73</f>
        <v>1240</v>
      </c>
      <c r="E73" s="3">
        <f>'Stage 1 Inputs'!F73</f>
        <v>1.2588709677419354</v>
      </c>
      <c r="F73" s="3">
        <f>'Stage 1 Inputs'!J73</f>
        <v>103052436290.32257</v>
      </c>
      <c r="G73" s="3">
        <f>'Stage 1 Inputs'!L73</f>
        <v>25.358503785830901</v>
      </c>
      <c r="H73" s="3">
        <f>'Stage 1 Inputs'!AH73</f>
        <v>309644595.5</v>
      </c>
      <c r="I73" s="3">
        <f>'Stage 1 Inputs'!AI73</f>
        <v>1040676846</v>
      </c>
      <c r="J73" s="3">
        <f>'Stage 1 Inputs'!AJ73</f>
        <v>297.54154393860705</v>
      </c>
      <c r="K73" s="3">
        <f>'Stage 1 Inputs'!AK73</f>
        <v>381.61698020478434</v>
      </c>
      <c r="L73" s="3">
        <f>'Stage 1 Inputs'!AL73</f>
        <v>5.9444174359761446</v>
      </c>
      <c r="M73" s="3">
        <f>'Stage 1 Inputs'!AM73</f>
        <v>380.65080947512052</v>
      </c>
      <c r="N73" s="3">
        <f>'Stage 1 Inputs'!AN73</f>
        <v>5.9418824443101093</v>
      </c>
      <c r="O73" s="3">
        <f>'Stage 1 Inputs'!AT73</f>
        <v>0</v>
      </c>
      <c r="P73" s="3">
        <f>'Stage 1 Inputs'!AU73</f>
        <v>0</v>
      </c>
      <c r="Q73" s="3">
        <f>'Stage 1 Inputs'!AV73</f>
        <v>1</v>
      </c>
      <c r="R73" s="3" t="str">
        <f>'Stage 1 Inputs'!AX73</f>
        <v>Historical official/source data</v>
      </c>
      <c r="S73" s="3" t="str">
        <f>'Stage 1 Inputs'!AY73</f>
        <v>No special note</v>
      </c>
    </row>
    <row r="74" spans="1:19" ht="19.95" customHeight="1" x14ac:dyDescent="0.3">
      <c r="A74" s="3" t="str">
        <f>'Stage 1 Inputs'!A74</f>
        <v>2020Q1</v>
      </c>
      <c r="B74" s="3" t="str">
        <f>'Stage 1 Inputs'!B74</f>
        <v>Mar 2020</v>
      </c>
      <c r="C74" s="3">
        <f>'Stage 1 Inputs'!G74</f>
        <v>81939000000</v>
      </c>
      <c r="D74" s="3">
        <f>'Stage 1 Inputs'!E74</f>
        <v>1251</v>
      </c>
      <c r="E74" s="3">
        <f>'Stage 1 Inputs'!F74</f>
        <v>1.2478017585931256</v>
      </c>
      <c r="F74" s="3">
        <f>'Stage 1 Inputs'!J74</f>
        <v>102243628297.36212</v>
      </c>
      <c r="G74" s="3">
        <f>'Stage 1 Inputs'!L74</f>
        <v>25.350624314987442</v>
      </c>
      <c r="H74" s="3">
        <f>'Stage 1 Inputs'!AH74</f>
        <v>293921190.89999998</v>
      </c>
      <c r="I74" s="3">
        <f>'Stage 1 Inputs'!AI74</f>
        <v>982808668</v>
      </c>
      <c r="J74" s="3">
        <f>'Stage 1 Inputs'!AJ74</f>
        <v>299.0624731649192</v>
      </c>
      <c r="K74" s="3">
        <f>'Stage 1 Inputs'!AK74</f>
        <v>380.65080947512052</v>
      </c>
      <c r="L74" s="3">
        <f>'Stage 1 Inputs'!AL74</f>
        <v>5.9418824443101093</v>
      </c>
      <c r="M74" s="3">
        <f>'Stage 1 Inputs'!AM74</f>
        <v>382.53401015415591</v>
      </c>
      <c r="N74" s="3">
        <f>'Stage 1 Inputs'!AN74</f>
        <v>5.9468175647495496</v>
      </c>
      <c r="O74" s="3">
        <f>'Stage 1 Inputs'!AT74</f>
        <v>0</v>
      </c>
      <c r="P74" s="3">
        <f>'Stage 1 Inputs'!AU74</f>
        <v>0</v>
      </c>
      <c r="Q74" s="3">
        <f>'Stage 1 Inputs'!AV74</f>
        <v>0</v>
      </c>
      <c r="R74" s="3" t="str">
        <f>'Stage 1 Inputs'!AX74</f>
        <v>Historical official/source data</v>
      </c>
      <c r="S74" s="3" t="str">
        <f>'Stage 1 Inputs'!AY74</f>
        <v>No special note</v>
      </c>
    </row>
    <row r="75" spans="1:19" ht="19.95" customHeight="1" x14ac:dyDescent="0.3">
      <c r="A75" s="3" t="str">
        <f>'Stage 1 Inputs'!A75</f>
        <v>2020Q2</v>
      </c>
      <c r="B75" s="3" t="str">
        <f>'Stage 1 Inputs'!B75</f>
        <v>Jun 2020</v>
      </c>
      <c r="C75" s="3">
        <f>'Stage 1 Inputs'!G75</f>
        <v>73696000000</v>
      </c>
      <c r="D75" s="3">
        <f>'Stage 1 Inputs'!E75</f>
        <v>1250</v>
      </c>
      <c r="E75" s="3">
        <f>'Stage 1 Inputs'!F75</f>
        <v>1.2487999999999999</v>
      </c>
      <c r="F75" s="3">
        <f>'Stage 1 Inputs'!J75</f>
        <v>92031564800</v>
      </c>
      <c r="G75" s="3">
        <f>'Stage 1 Inputs'!L75</f>
        <v>25.245397450803772</v>
      </c>
      <c r="H75" s="3">
        <f>'Stage 1 Inputs'!AH75</f>
        <v>250716752.80000001</v>
      </c>
      <c r="I75" s="3">
        <f>'Stage 1 Inputs'!AI75</f>
        <v>838199112</v>
      </c>
      <c r="J75" s="3">
        <f>'Stage 1 Inputs'!AJ75</f>
        <v>299.11359867916445</v>
      </c>
      <c r="K75" s="3">
        <f>'Stage 1 Inputs'!AK75</f>
        <v>382.53401015415591</v>
      </c>
      <c r="L75" s="3">
        <f>'Stage 1 Inputs'!AL75</f>
        <v>5.9468175647495496</v>
      </c>
      <c r="M75" s="3">
        <f>'Stage 1 Inputs'!AM75</f>
        <v>384.88161836876446</v>
      </c>
      <c r="N75" s="3">
        <f>'Stage 1 Inputs'!AN75</f>
        <v>5.9529358022481977</v>
      </c>
      <c r="O75" s="3">
        <f>'Stage 1 Inputs'!AT75</f>
        <v>1</v>
      </c>
      <c r="P75" s="3">
        <f>'Stage 1 Inputs'!AU75</f>
        <v>0</v>
      </c>
      <c r="Q75" s="3">
        <f>'Stage 1 Inputs'!AV75</f>
        <v>0</v>
      </c>
      <c r="R75" s="3" t="str">
        <f>'Stage 1 Inputs'!AX75</f>
        <v>Historical official/source data</v>
      </c>
      <c r="S75" s="3" t="str">
        <f>'Stage 1 Inputs'!AY75</f>
        <v>No special note</v>
      </c>
    </row>
    <row r="76" spans="1:19" ht="19.95" customHeight="1" x14ac:dyDescent="0.3">
      <c r="A76" s="3" t="str">
        <f>'Stage 1 Inputs'!A76</f>
        <v>2020Q3</v>
      </c>
      <c r="B76" s="3" t="str">
        <f>'Stage 1 Inputs'!B76</f>
        <v>Sep 2020</v>
      </c>
      <c r="C76" s="3">
        <f>'Stage 1 Inputs'!G76</f>
        <v>84045000000</v>
      </c>
      <c r="D76" s="3">
        <f>'Stage 1 Inputs'!E76</f>
        <v>1250</v>
      </c>
      <c r="E76" s="3">
        <f>'Stage 1 Inputs'!F76</f>
        <v>1.2487999999999999</v>
      </c>
      <c r="F76" s="3">
        <f>'Stage 1 Inputs'!J76</f>
        <v>104955396000</v>
      </c>
      <c r="G76" s="3">
        <f>'Stage 1 Inputs'!L76</f>
        <v>25.376801296850854</v>
      </c>
      <c r="H76" s="3">
        <f>'Stage 1 Inputs'!AH76</f>
        <v>307169857.69999999</v>
      </c>
      <c r="I76" s="3">
        <f>'Stage 1 Inputs'!AI76</f>
        <v>1013891291</v>
      </c>
      <c r="J76" s="3">
        <f>'Stage 1 Inputs'!AJ76</f>
        <v>302.96133365248522</v>
      </c>
      <c r="K76" s="3">
        <f>'Stage 1 Inputs'!AK76</f>
        <v>384.88161836876446</v>
      </c>
      <c r="L76" s="3">
        <f>'Stage 1 Inputs'!AL76</f>
        <v>5.9529358022481977</v>
      </c>
      <c r="M76" s="3">
        <f>'Stage 1 Inputs'!AM76</f>
        <v>398.07341060870971</v>
      </c>
      <c r="N76" s="3">
        <f>'Stage 1 Inputs'!AN76</f>
        <v>5.986636437041458</v>
      </c>
      <c r="O76" s="3">
        <f>'Stage 1 Inputs'!AT76</f>
        <v>0</v>
      </c>
      <c r="P76" s="3">
        <f>'Stage 1 Inputs'!AU76</f>
        <v>1</v>
      </c>
      <c r="Q76" s="3">
        <f>'Stage 1 Inputs'!AV76</f>
        <v>0</v>
      </c>
      <c r="R76" s="3" t="str">
        <f>'Stage 1 Inputs'!AX76</f>
        <v>Historical official/source data</v>
      </c>
      <c r="S76" s="3" t="str">
        <f>'Stage 1 Inputs'!AY76</f>
        <v>No special note</v>
      </c>
    </row>
    <row r="77" spans="1:19" ht="19.95" customHeight="1" x14ac:dyDescent="0.3">
      <c r="A77" s="3" t="str">
        <f>'Stage 1 Inputs'!A77</f>
        <v>2020Q4</v>
      </c>
      <c r="B77" s="3" t="str">
        <f>'Stage 1 Inputs'!B77</f>
        <v>Dec 2020</v>
      </c>
      <c r="C77" s="3">
        <f>'Stage 1 Inputs'!G77</f>
        <v>84539000000</v>
      </c>
      <c r="D77" s="3">
        <f>'Stage 1 Inputs'!E77</f>
        <v>1252</v>
      </c>
      <c r="E77" s="3">
        <f>'Stage 1 Inputs'!F77</f>
        <v>1.2468051118210863</v>
      </c>
      <c r="F77" s="3">
        <f>'Stage 1 Inputs'!J77</f>
        <v>105403657348.24281</v>
      </c>
      <c r="G77" s="3">
        <f>'Stage 1 Inputs'!L77</f>
        <v>25.381063172150352</v>
      </c>
      <c r="H77" s="3">
        <f>'Stage 1 Inputs'!AH77</f>
        <v>336117526</v>
      </c>
      <c r="I77" s="3">
        <f>'Stage 1 Inputs'!AI77</f>
        <v>1067609932</v>
      </c>
      <c r="J77" s="3">
        <f>'Stage 1 Inputs'!AJ77</f>
        <v>314.83177134773979</v>
      </c>
      <c r="K77" s="3">
        <f>'Stage 1 Inputs'!AK77</f>
        <v>398.07341060870971</v>
      </c>
      <c r="L77" s="3">
        <f>'Stage 1 Inputs'!AL77</f>
        <v>5.986636437041458</v>
      </c>
      <c r="M77" s="3">
        <f>'Stage 1 Inputs'!AM77</f>
        <v>395.71221568473607</v>
      </c>
      <c r="N77" s="3">
        <f>'Stage 1 Inputs'!AN77</f>
        <v>5.9806872189907825</v>
      </c>
      <c r="O77" s="3">
        <f>'Stage 1 Inputs'!AT77</f>
        <v>0</v>
      </c>
      <c r="P77" s="3">
        <f>'Stage 1 Inputs'!AU77</f>
        <v>0</v>
      </c>
      <c r="Q77" s="3">
        <f>'Stage 1 Inputs'!AV77</f>
        <v>1</v>
      </c>
      <c r="R77" s="3" t="str">
        <f>'Stage 1 Inputs'!AX77</f>
        <v>Historical official/source data</v>
      </c>
      <c r="S77" s="3" t="str">
        <f>'Stage 1 Inputs'!AY77</f>
        <v>No special note</v>
      </c>
    </row>
    <row r="78" spans="1:19" ht="19.95" customHeight="1" x14ac:dyDescent="0.3">
      <c r="A78" s="3" t="str">
        <f>'Stage 1 Inputs'!A78</f>
        <v>2021Q1</v>
      </c>
      <c r="B78" s="3" t="str">
        <f>'Stage 1 Inputs'!B78</f>
        <v>Mar 2021</v>
      </c>
      <c r="C78" s="3">
        <f>'Stage 1 Inputs'!G78</f>
        <v>86716000000</v>
      </c>
      <c r="D78" s="3">
        <f>'Stage 1 Inputs'!E78</f>
        <v>1258</v>
      </c>
      <c r="E78" s="3">
        <f>'Stage 1 Inputs'!F78</f>
        <v>1.2408585055643879</v>
      </c>
      <c r="F78" s="3">
        <f>'Stage 1 Inputs'!J78</f>
        <v>107602286168.52147</v>
      </c>
      <c r="G78" s="3">
        <f>'Stage 1 Inputs'!L78</f>
        <v>25.401707731367726</v>
      </c>
      <c r="H78" s="3">
        <f>'Stage 1 Inputs'!AH78</f>
        <v>327233381.30000001</v>
      </c>
      <c r="I78" s="3">
        <f>'Stage 1 Inputs'!AI78</f>
        <v>1036782044</v>
      </c>
      <c r="J78" s="3">
        <f>'Stage 1 Inputs'!AJ78</f>
        <v>315.62408241321742</v>
      </c>
      <c r="K78" s="3">
        <f>'Stage 1 Inputs'!AK78</f>
        <v>395.71221568473607</v>
      </c>
      <c r="L78" s="3">
        <f>'Stage 1 Inputs'!AL78</f>
        <v>5.9806872189907825</v>
      </c>
      <c r="M78" s="3">
        <f>'Stage 1 Inputs'!AM78</f>
        <v>393.40072908592475</v>
      </c>
      <c r="N78" s="3">
        <f>'Stage 1 Inputs'!AN78</f>
        <v>5.9748287592474068</v>
      </c>
      <c r="O78" s="3">
        <f>'Stage 1 Inputs'!AT78</f>
        <v>0</v>
      </c>
      <c r="P78" s="3">
        <f>'Stage 1 Inputs'!AU78</f>
        <v>0</v>
      </c>
      <c r="Q78" s="3">
        <f>'Stage 1 Inputs'!AV78</f>
        <v>0</v>
      </c>
      <c r="R78" s="3" t="str">
        <f>'Stage 1 Inputs'!AX78</f>
        <v>Historical official/source data</v>
      </c>
      <c r="S78" s="3" t="str">
        <f>'Stage 1 Inputs'!AY78</f>
        <v>No special note</v>
      </c>
    </row>
    <row r="79" spans="1:19" ht="19.95" customHeight="1" x14ac:dyDescent="0.3">
      <c r="A79" s="3" t="str">
        <f>'Stage 1 Inputs'!A79</f>
        <v>2021Q2</v>
      </c>
      <c r="B79" s="3" t="str">
        <f>'Stage 1 Inputs'!B79</f>
        <v>Jun 2021</v>
      </c>
      <c r="C79" s="3">
        <f>'Stage 1 Inputs'!G79</f>
        <v>88442000000</v>
      </c>
      <c r="D79" s="3">
        <f>'Stage 1 Inputs'!E79</f>
        <v>1273</v>
      </c>
      <c r="E79" s="3">
        <f>'Stage 1 Inputs'!F79</f>
        <v>1.2262372348782404</v>
      </c>
      <c r="F79" s="3">
        <f>'Stage 1 Inputs'!J79</f>
        <v>108450873527.10133</v>
      </c>
      <c r="G79" s="3">
        <f>'Stage 1 Inputs'!L79</f>
        <v>25.409563128839704</v>
      </c>
      <c r="H79" s="3">
        <f>'Stage 1 Inputs'!AH79</f>
        <v>325190013.60000002</v>
      </c>
      <c r="I79" s="3">
        <f>'Stage 1 Inputs'!AI79</f>
        <v>1022952236</v>
      </c>
      <c r="J79" s="3">
        <f>'Stage 1 Inputs'!AJ79</f>
        <v>317.89364366764045</v>
      </c>
      <c r="K79" s="3">
        <f>'Stage 1 Inputs'!AK79</f>
        <v>393.40072908592475</v>
      </c>
      <c r="L79" s="3">
        <f>'Stage 1 Inputs'!AL79</f>
        <v>5.9748287592474068</v>
      </c>
      <c r="M79" s="3">
        <f>'Stage 1 Inputs'!AM79</f>
        <v>382.25254987461398</v>
      </c>
      <c r="N79" s="3">
        <f>'Stage 1 Inputs'!AN79</f>
        <v>5.9460815154857167</v>
      </c>
      <c r="O79" s="3">
        <f>'Stage 1 Inputs'!AT79</f>
        <v>1</v>
      </c>
      <c r="P79" s="3">
        <f>'Stage 1 Inputs'!AU79</f>
        <v>0</v>
      </c>
      <c r="Q79" s="3">
        <f>'Stage 1 Inputs'!AV79</f>
        <v>0</v>
      </c>
      <c r="R79" s="3" t="str">
        <f>'Stage 1 Inputs'!AX79</f>
        <v>Historical official/source data</v>
      </c>
      <c r="S79" s="3" t="str">
        <f>'Stage 1 Inputs'!AY79</f>
        <v>No special note</v>
      </c>
    </row>
    <row r="80" spans="1:19" ht="19.95" customHeight="1" x14ac:dyDescent="0.3">
      <c r="A80" s="3" t="str">
        <f>'Stage 1 Inputs'!A80</f>
        <v>2021Q3</v>
      </c>
      <c r="B80" s="3" t="str">
        <f>'Stage 1 Inputs'!B80</f>
        <v>Sep 2021</v>
      </c>
      <c r="C80" s="3">
        <f>'Stage 1 Inputs'!G80</f>
        <v>86465000000</v>
      </c>
      <c r="D80" s="3">
        <f>'Stage 1 Inputs'!E80</f>
        <v>1302</v>
      </c>
      <c r="E80" s="3">
        <f>'Stage 1 Inputs'!F80</f>
        <v>1.1989247311827957</v>
      </c>
      <c r="F80" s="3">
        <f>'Stage 1 Inputs'!J80</f>
        <v>103665026881.72043</v>
      </c>
      <c r="G80" s="3">
        <f>'Stage 1 Inputs'!L80</f>
        <v>25.364430642471213</v>
      </c>
      <c r="H80" s="3">
        <f>'Stage 1 Inputs'!AH80</f>
        <v>300945828.60000002</v>
      </c>
      <c r="I80" s="3">
        <f>'Stage 1 Inputs'!AI80</f>
        <v>953154685</v>
      </c>
      <c r="J80" s="3">
        <f>'Stage 1 Inputs'!AJ80</f>
        <v>315.73660953048773</v>
      </c>
      <c r="K80" s="3">
        <f>'Stage 1 Inputs'!AK80</f>
        <v>382.25254987461398</v>
      </c>
      <c r="L80" s="3">
        <f>'Stage 1 Inputs'!AL80</f>
        <v>5.9460815154857167</v>
      </c>
      <c r="M80" s="3">
        <f>'Stage 1 Inputs'!AM80</f>
        <v>379.14541303145751</v>
      </c>
      <c r="N80" s="3">
        <f>'Stage 1 Inputs'!AN80</f>
        <v>5.9379198070425288</v>
      </c>
      <c r="O80" s="3">
        <f>'Stage 1 Inputs'!AT80</f>
        <v>0</v>
      </c>
      <c r="P80" s="3">
        <f>'Stage 1 Inputs'!AU80</f>
        <v>1</v>
      </c>
      <c r="Q80" s="3">
        <f>'Stage 1 Inputs'!AV80</f>
        <v>0</v>
      </c>
      <c r="R80" s="3" t="str">
        <f>'Stage 1 Inputs'!AX80</f>
        <v>Historical official/source data</v>
      </c>
      <c r="S80" s="3" t="str">
        <f>'Stage 1 Inputs'!AY80</f>
        <v>No special note</v>
      </c>
    </row>
    <row r="81" spans="1:19" ht="19.95" customHeight="1" x14ac:dyDescent="0.3">
      <c r="A81" s="3" t="str">
        <f>'Stage 1 Inputs'!A81</f>
        <v>2021Q4</v>
      </c>
      <c r="B81" s="3" t="str">
        <f>'Stage 1 Inputs'!B81</f>
        <v>Dec 2021</v>
      </c>
      <c r="C81" s="3">
        <f>'Stage 1 Inputs'!G81</f>
        <v>91173000000</v>
      </c>
      <c r="D81" s="3">
        <f>'Stage 1 Inputs'!E81</f>
        <v>1320</v>
      </c>
      <c r="E81" s="3">
        <f>'Stage 1 Inputs'!F81</f>
        <v>1.1825757575757576</v>
      </c>
      <c r="F81" s="3">
        <f>'Stage 1 Inputs'!J81</f>
        <v>107818979545.45454</v>
      </c>
      <c r="G81" s="3">
        <f>'Stage 1 Inputs'!L81</f>
        <v>25.403719542497903</v>
      </c>
      <c r="H81" s="3">
        <f>'Stage 1 Inputs'!AH81</f>
        <v>340356594.80000001</v>
      </c>
      <c r="I81" s="3">
        <f>'Stage 1 Inputs'!AI81</f>
        <v>1071312282</v>
      </c>
      <c r="J81" s="3">
        <f>'Stage 1 Inputs'!AJ81</f>
        <v>317.70063735720339</v>
      </c>
      <c r="K81" s="3">
        <f>'Stage 1 Inputs'!AK81</f>
        <v>379.14541303145751</v>
      </c>
      <c r="L81" s="3">
        <f>'Stage 1 Inputs'!AL81</f>
        <v>5.9379198070425288</v>
      </c>
      <c r="M81" s="3">
        <f>'Stage 1 Inputs'!AM81</f>
        <v>370.43343129193909</v>
      </c>
      <c r="N81" s="3">
        <f>'Stage 1 Inputs'!AN81</f>
        <v>5.9146737559667359</v>
      </c>
      <c r="O81" s="3">
        <f>'Stage 1 Inputs'!AT81</f>
        <v>0</v>
      </c>
      <c r="P81" s="3">
        <f>'Stage 1 Inputs'!AU81</f>
        <v>0</v>
      </c>
      <c r="Q81" s="3">
        <f>'Stage 1 Inputs'!AV81</f>
        <v>1</v>
      </c>
      <c r="R81" s="3" t="str">
        <f>'Stage 1 Inputs'!AX81</f>
        <v>Historical official/source data</v>
      </c>
      <c r="S81" s="3" t="str">
        <f>'Stage 1 Inputs'!AY81</f>
        <v>No special note</v>
      </c>
    </row>
    <row r="82" spans="1:19" ht="19.95" customHeight="1" x14ac:dyDescent="0.3">
      <c r="A82" s="3" t="str">
        <f>'Stage 1 Inputs'!A82</f>
        <v>2022Q1</v>
      </c>
      <c r="B82" s="3" t="str">
        <f>'Stage 1 Inputs'!B82</f>
        <v>Mar 2022</v>
      </c>
      <c r="C82" s="3">
        <f>'Stage 1 Inputs'!G82</f>
        <v>92559000000</v>
      </c>
      <c r="D82" s="3">
        <f>'Stage 1 Inputs'!E82</f>
        <v>1339</v>
      </c>
      <c r="E82" s="3">
        <f>'Stage 1 Inputs'!F82</f>
        <v>1.1657953696788648</v>
      </c>
      <c r="F82" s="3">
        <f>'Stage 1 Inputs'!J82</f>
        <v>107904853622.10605</v>
      </c>
      <c r="G82" s="3">
        <f>'Stage 1 Inputs'!L82</f>
        <v>25.404515690794792</v>
      </c>
      <c r="H82" s="3">
        <f>'Stage 1 Inputs'!AH82</f>
        <v>326548053.60000002</v>
      </c>
      <c r="I82" s="3">
        <f>'Stage 1 Inputs'!AI82</f>
        <v>1033597376</v>
      </c>
      <c r="J82" s="3">
        <f>'Stage 1 Inputs'!AJ82</f>
        <v>315.93351645660528</v>
      </c>
      <c r="K82" s="3">
        <f>'Stage 1 Inputs'!AK82</f>
        <v>370.43343129193909</v>
      </c>
      <c r="L82" s="3">
        <f>'Stage 1 Inputs'!AL82</f>
        <v>5.9146737559667359</v>
      </c>
      <c r="M82" s="3">
        <f>'Stage 1 Inputs'!AM82</f>
        <v>238.22214672628758</v>
      </c>
      <c r="N82" s="3">
        <f>'Stage 1 Inputs'!AN82</f>
        <v>5.4732036279405181</v>
      </c>
      <c r="O82" s="3">
        <f>'Stage 1 Inputs'!AT82</f>
        <v>0</v>
      </c>
      <c r="P82" s="3">
        <f>'Stage 1 Inputs'!AU82</f>
        <v>0</v>
      </c>
      <c r="Q82" s="3">
        <f>'Stage 1 Inputs'!AV82</f>
        <v>0</v>
      </c>
      <c r="R82" s="3" t="str">
        <f>'Stage 1 Inputs'!AX82</f>
        <v>Historical official/source data</v>
      </c>
      <c r="S82" s="3" t="str">
        <f>'Stage 1 Inputs'!AY82</f>
        <v>No special note</v>
      </c>
    </row>
    <row r="83" spans="1:19" ht="19.95" customHeight="1" x14ac:dyDescent="0.3">
      <c r="A83" s="3" t="str">
        <f>'Stage 1 Inputs'!A83</f>
        <v>2022Q2</v>
      </c>
      <c r="B83" s="3" t="str">
        <f>'Stage 1 Inputs'!B83</f>
        <v>Jun 2022</v>
      </c>
      <c r="C83" s="3">
        <f>'Stage 1 Inputs'!G83</f>
        <v>95107000000</v>
      </c>
      <c r="D83" s="3">
        <f>'Stage 1 Inputs'!E83</f>
        <v>1358</v>
      </c>
      <c r="E83" s="3">
        <f>'Stage 1 Inputs'!F83</f>
        <v>1.1494845360824741</v>
      </c>
      <c r="F83" s="3">
        <f>'Stage 1 Inputs'!J83</f>
        <v>109324025773.19586</v>
      </c>
      <c r="G83" s="3">
        <f>'Stage 1 Inputs'!L83</f>
        <v>25.417582022915461</v>
      </c>
      <c r="H83" s="3">
        <f>'Stage 1 Inputs'!AH83</f>
        <v>229866717.40000001</v>
      </c>
      <c r="I83" s="3">
        <f>'Stage 1 Inputs'!AI83</f>
        <v>1112864573</v>
      </c>
      <c r="J83" s="3">
        <f>'Stage 1 Inputs'!AJ83</f>
        <v>206.55407942436139</v>
      </c>
      <c r="K83" s="3">
        <f>'Stage 1 Inputs'!AK83</f>
        <v>238.22214672628758</v>
      </c>
      <c r="L83" s="3">
        <f>'Stage 1 Inputs'!AL83</f>
        <v>5.4732036279405181</v>
      </c>
      <c r="M83" s="3">
        <f>'Stage 1 Inputs'!AM83</f>
        <v>228.97259982752277</v>
      </c>
      <c r="N83" s="3">
        <f>'Stage 1 Inputs'!AN83</f>
        <v>5.433602344987241</v>
      </c>
      <c r="O83" s="3">
        <f>'Stage 1 Inputs'!AT83</f>
        <v>1</v>
      </c>
      <c r="P83" s="3">
        <f>'Stage 1 Inputs'!AU83</f>
        <v>0</v>
      </c>
      <c r="Q83" s="3">
        <f>'Stage 1 Inputs'!AV83</f>
        <v>0</v>
      </c>
      <c r="R83" s="3" t="str">
        <f>'Stage 1 Inputs'!AX83</f>
        <v>Historical official/source data</v>
      </c>
      <c r="S83" s="3" t="str">
        <f>'Stage 1 Inputs'!AY83</f>
        <v>No special note</v>
      </c>
    </row>
    <row r="84" spans="1:19" ht="19.95" customHeight="1" x14ac:dyDescent="0.3">
      <c r="A84" s="3" t="str">
        <f>'Stage 1 Inputs'!A84</f>
        <v>2022Q3</v>
      </c>
      <c r="B84" s="3" t="str">
        <f>'Stage 1 Inputs'!B84</f>
        <v>Sep 2022</v>
      </c>
      <c r="C84" s="3">
        <f>'Stage 1 Inputs'!G84</f>
        <v>97704000000</v>
      </c>
      <c r="D84" s="3">
        <f>'Stage 1 Inputs'!E84</f>
        <v>1364</v>
      </c>
      <c r="E84" s="3">
        <f>'Stage 1 Inputs'!F84</f>
        <v>1.1444281524926687</v>
      </c>
      <c r="F84" s="3">
        <f>'Stage 1 Inputs'!J84</f>
        <v>111815208211.14371</v>
      </c>
      <c r="G84" s="3">
        <f>'Stage 1 Inputs'!L84</f>
        <v>25.440113418927222</v>
      </c>
      <c r="H84" s="3">
        <f>'Stage 1 Inputs'!AH84</f>
        <v>204777287.80000001</v>
      </c>
      <c r="I84" s="3">
        <f>'Stage 1 Inputs'!AI84</f>
        <v>1009704192</v>
      </c>
      <c r="J84" s="3">
        <f>'Stage 1 Inputs'!AJ84</f>
        <v>202.80918849547572</v>
      </c>
      <c r="K84" s="3">
        <f>'Stage 1 Inputs'!AK84</f>
        <v>228.97259982752277</v>
      </c>
      <c r="L84" s="3">
        <f>'Stage 1 Inputs'!AL84</f>
        <v>5.433602344987241</v>
      </c>
      <c r="M84" s="3">
        <f>'Stage 1 Inputs'!AM84</f>
        <v>226.91245450540151</v>
      </c>
      <c r="N84" s="3">
        <f>'Stage 1 Inputs'!AN84</f>
        <v>5.4245642801225129</v>
      </c>
      <c r="O84" s="3">
        <f>'Stage 1 Inputs'!AT84</f>
        <v>0</v>
      </c>
      <c r="P84" s="3">
        <f>'Stage 1 Inputs'!AU84</f>
        <v>1</v>
      </c>
      <c r="Q84" s="3">
        <f>'Stage 1 Inputs'!AV84</f>
        <v>0</v>
      </c>
      <c r="R84" s="3" t="str">
        <f>'Stage 1 Inputs'!AX84</f>
        <v>Historical official/source data</v>
      </c>
      <c r="S84" s="3" t="str">
        <f>'Stage 1 Inputs'!AY84</f>
        <v>No special note</v>
      </c>
    </row>
    <row r="85" spans="1:19" ht="19.95" customHeight="1" x14ac:dyDescent="0.3">
      <c r="A85" s="3" t="str">
        <f>'Stage 1 Inputs'!A85</f>
        <v>2022Q4</v>
      </c>
      <c r="B85" s="3" t="str">
        <f>'Stage 1 Inputs'!B85</f>
        <v>Dec 2022</v>
      </c>
      <c r="C85" s="3">
        <f>'Stage 1 Inputs'!G85</f>
        <v>99981000000</v>
      </c>
      <c r="D85" s="3">
        <f>'Stage 1 Inputs'!E85</f>
        <v>1392</v>
      </c>
      <c r="E85" s="3">
        <f>'Stage 1 Inputs'!F85</f>
        <v>1.1214080459770115</v>
      </c>
      <c r="F85" s="3">
        <f>'Stage 1 Inputs'!J85</f>
        <v>112119497844.82759</v>
      </c>
      <c r="G85" s="3">
        <f>'Stage 1 Inputs'!L85</f>
        <v>25.442831084503283</v>
      </c>
      <c r="H85" s="3">
        <f>'Stage 1 Inputs'!AH85</f>
        <v>216679653.90000001</v>
      </c>
      <c r="I85" s="3">
        <f>'Stage 1 Inputs'!AI85</f>
        <v>1062856785</v>
      </c>
      <c r="J85" s="3">
        <f>'Stage 1 Inputs'!AJ85</f>
        <v>203.86533440627187</v>
      </c>
      <c r="K85" s="3">
        <f>'Stage 1 Inputs'!AK85</f>
        <v>226.91245450540151</v>
      </c>
      <c r="L85" s="3">
        <f>'Stage 1 Inputs'!AL85</f>
        <v>5.4245642801225129</v>
      </c>
      <c r="M85" s="3">
        <f>'Stage 1 Inputs'!AM85</f>
        <v>252.75024058895997</v>
      </c>
      <c r="N85" s="3">
        <f>'Stage 1 Inputs'!AN85</f>
        <v>5.5324018097852319</v>
      </c>
      <c r="O85" s="3">
        <f>'Stage 1 Inputs'!AT85</f>
        <v>0</v>
      </c>
      <c r="P85" s="3">
        <f>'Stage 1 Inputs'!AU85</f>
        <v>0</v>
      </c>
      <c r="Q85" s="3">
        <f>'Stage 1 Inputs'!AV85</f>
        <v>1</v>
      </c>
      <c r="R85" s="3" t="str">
        <f>'Stage 1 Inputs'!AX85</f>
        <v>Historical official/source data</v>
      </c>
      <c r="S85" s="3" t="str">
        <f>'Stage 1 Inputs'!AY85</f>
        <v>No special note</v>
      </c>
    </row>
    <row r="86" spans="1:19" ht="19.95" customHeight="1" x14ac:dyDescent="0.3">
      <c r="A86" s="3" t="str">
        <f>'Stage 1 Inputs'!A86</f>
        <v>2023Q1</v>
      </c>
      <c r="B86" s="3" t="str">
        <f>'Stage 1 Inputs'!B86</f>
        <v>Mar 2023</v>
      </c>
      <c r="C86" s="3">
        <f>'Stage 1 Inputs'!G86</f>
        <v>100996000000</v>
      </c>
      <c r="D86" s="3">
        <f>'Stage 1 Inputs'!E86</f>
        <v>1409</v>
      </c>
      <c r="E86" s="3">
        <f>'Stage 1 Inputs'!F86</f>
        <v>1.1078779276082329</v>
      </c>
      <c r="F86" s="3">
        <f>'Stage 1 Inputs'!J86</f>
        <v>111891239176.72108</v>
      </c>
      <c r="G86" s="3">
        <f>'Stage 1 Inputs'!L86</f>
        <v>25.440793157659769</v>
      </c>
      <c r="H86" s="3">
        <f>'Stage 1 Inputs'!AH86</f>
        <v>235388524.19999999</v>
      </c>
      <c r="I86" s="3">
        <f>'Stage 1 Inputs'!AI86</f>
        <v>1023827987</v>
      </c>
      <c r="J86" s="3">
        <f>'Stage 1 Inputs'!AJ86</f>
        <v>229.91022631617119</v>
      </c>
      <c r="K86" s="3">
        <f>'Stage 1 Inputs'!AK86</f>
        <v>252.75024058895997</v>
      </c>
      <c r="L86" s="3">
        <f>'Stage 1 Inputs'!AL86</f>
        <v>5.5324018097852319</v>
      </c>
      <c r="M86" s="3">
        <f>'Stage 1 Inputs'!AM86</f>
        <v>220.41541980139655</v>
      </c>
      <c r="N86" s="3">
        <f>'Stage 1 Inputs'!AN86</f>
        <v>5.395514037632732</v>
      </c>
      <c r="O86" s="3">
        <f>'Stage 1 Inputs'!AT86</f>
        <v>0</v>
      </c>
      <c r="P86" s="3">
        <f>'Stage 1 Inputs'!AU86</f>
        <v>0</v>
      </c>
      <c r="Q86" s="3">
        <f>'Stage 1 Inputs'!AV86</f>
        <v>0</v>
      </c>
      <c r="R86" s="3" t="str">
        <f>'Stage 1 Inputs'!AX86</f>
        <v>Historical official/source data</v>
      </c>
      <c r="S86" s="3" t="str">
        <f>'Stage 1 Inputs'!AY86</f>
        <v>No special note</v>
      </c>
    </row>
    <row r="87" spans="1:19" ht="19.95" customHeight="1" x14ac:dyDescent="0.3">
      <c r="A87" s="3" t="str">
        <f>'Stage 1 Inputs'!A87</f>
        <v>2023Q2</v>
      </c>
      <c r="B87" s="3" t="str">
        <f>'Stage 1 Inputs'!B87</f>
        <v>Jun 2023</v>
      </c>
      <c r="C87" s="3">
        <f>'Stage 1 Inputs'!G87</f>
        <v>103162000000</v>
      </c>
      <c r="D87" s="3">
        <f>'Stage 1 Inputs'!E87</f>
        <v>1429</v>
      </c>
      <c r="E87" s="3">
        <f>'Stage 1 Inputs'!F87</f>
        <v>1.0923722883135059</v>
      </c>
      <c r="F87" s="3">
        <f>'Stage 1 Inputs'!J87</f>
        <v>112691310006.99789</v>
      </c>
      <c r="G87" s="3">
        <f>'Stage 1 Inputs'!L87</f>
        <v>25.447918147716628</v>
      </c>
      <c r="H87" s="3">
        <f>'Stage 1 Inputs'!AH87</f>
        <v>214057554.30000001</v>
      </c>
      <c r="I87" s="3">
        <f>'Stage 1 Inputs'!AI87</f>
        <v>1056357961</v>
      </c>
      <c r="J87" s="3">
        <f>'Stage 1 Inputs'!AJ87</f>
        <v>202.63732768896131</v>
      </c>
      <c r="K87" s="3">
        <f>'Stage 1 Inputs'!AK87</f>
        <v>220.41541980139655</v>
      </c>
      <c r="L87" s="3">
        <f>'Stage 1 Inputs'!AL87</f>
        <v>5.395514037632732</v>
      </c>
      <c r="M87" s="3">
        <f>'Stage 1 Inputs'!AM87</f>
        <v>332.08786193204418</v>
      </c>
      <c r="N87" s="3">
        <f>'Stage 1 Inputs'!AN87</f>
        <v>5.8053995782779708</v>
      </c>
      <c r="O87" s="3">
        <f>'Stage 1 Inputs'!AT87</f>
        <v>1</v>
      </c>
      <c r="P87" s="3">
        <f>'Stage 1 Inputs'!AU87</f>
        <v>0</v>
      </c>
      <c r="Q87" s="3">
        <f>'Stage 1 Inputs'!AV87</f>
        <v>0</v>
      </c>
      <c r="R87" s="3" t="str">
        <f>'Stage 1 Inputs'!AX87</f>
        <v>Historical official/source data</v>
      </c>
      <c r="S87" s="3" t="str">
        <f>'Stage 1 Inputs'!AY87</f>
        <v>No special note</v>
      </c>
    </row>
    <row r="88" spans="1:19" ht="19.95" customHeight="1" x14ac:dyDescent="0.3">
      <c r="A88" s="3" t="str">
        <f>'Stage 1 Inputs'!A88</f>
        <v>2023Q3</v>
      </c>
      <c r="B88" s="3" t="str">
        <f>'Stage 1 Inputs'!B88</f>
        <v>Sep 2023</v>
      </c>
      <c r="C88" s="3">
        <f>'Stage 1 Inputs'!G88</f>
        <v>104531000000</v>
      </c>
      <c r="D88" s="3">
        <f>'Stage 1 Inputs'!E88</f>
        <v>1448</v>
      </c>
      <c r="E88" s="3">
        <f>'Stage 1 Inputs'!F88</f>
        <v>1.0780386740331491</v>
      </c>
      <c r="F88" s="3">
        <f>'Stage 1 Inputs'!J88</f>
        <v>112688460635.35912</v>
      </c>
      <c r="G88" s="3">
        <f>'Stage 1 Inputs'!L88</f>
        <v>25.447892862646626</v>
      </c>
      <c r="H88" s="3">
        <f>'Stage 1 Inputs'!AH88</f>
        <v>291700566.10000002</v>
      </c>
      <c r="I88" s="3">
        <f>'Stage 1 Inputs'!AI88</f>
        <v>938671811</v>
      </c>
      <c r="J88" s="3">
        <f>'Stage 1 Inputs'!AJ88</f>
        <v>310.75884316717804</v>
      </c>
      <c r="K88" s="3">
        <f>'Stage 1 Inputs'!AK88</f>
        <v>332.08786193204418</v>
      </c>
      <c r="L88" s="3">
        <f>'Stage 1 Inputs'!AL88</f>
        <v>5.8053995782779708</v>
      </c>
      <c r="M88" s="3">
        <f>'Stage 1 Inputs'!AM88</f>
        <v>340.31770429585572</v>
      </c>
      <c r="N88" s="3">
        <f>'Stage 1 Inputs'!AN88</f>
        <v>5.8298796057070765</v>
      </c>
      <c r="O88" s="3">
        <f>'Stage 1 Inputs'!AT88</f>
        <v>0</v>
      </c>
      <c r="P88" s="3">
        <f>'Stage 1 Inputs'!AU88</f>
        <v>1</v>
      </c>
      <c r="Q88" s="3">
        <f>'Stage 1 Inputs'!AV88</f>
        <v>0</v>
      </c>
      <c r="R88" s="3" t="str">
        <f>'Stage 1 Inputs'!AX88</f>
        <v>Historical official/source data</v>
      </c>
      <c r="S88" s="3" t="str">
        <f>'Stage 1 Inputs'!AY88</f>
        <v>No special note</v>
      </c>
    </row>
    <row r="89" spans="1:19" ht="19.95" customHeight="1" x14ac:dyDescent="0.3">
      <c r="A89" s="3" t="str">
        <f>'Stage 1 Inputs'!A89</f>
        <v>2023Q4</v>
      </c>
      <c r="B89" s="3" t="str">
        <f>'Stage 1 Inputs'!B89</f>
        <v>Dec 2023</v>
      </c>
      <c r="C89" s="3">
        <f>'Stage 1 Inputs'!G89</f>
        <v>103942000000</v>
      </c>
      <c r="D89" s="3">
        <f>'Stage 1 Inputs'!E89</f>
        <v>1435</v>
      </c>
      <c r="E89" s="3">
        <f>'Stage 1 Inputs'!F89</f>
        <v>1.0878048780487806</v>
      </c>
      <c r="F89" s="3">
        <f>'Stage 1 Inputs'!J89</f>
        <v>113068614634.14635</v>
      </c>
      <c r="G89" s="3">
        <f>'Stage 1 Inputs'!L89</f>
        <v>25.451260680533604</v>
      </c>
      <c r="H89" s="3">
        <f>'Stage 1 Inputs'!AH89</f>
        <v>326753259.69999999</v>
      </c>
      <c r="I89" s="3">
        <f>'Stage 1 Inputs'!AI89</f>
        <v>1021151625</v>
      </c>
      <c r="J89" s="3">
        <f>'Stage 1 Inputs'!AJ89</f>
        <v>319.98505579423625</v>
      </c>
      <c r="K89" s="3">
        <f>'Stage 1 Inputs'!AK89</f>
        <v>340.31770429585572</v>
      </c>
      <c r="L89" s="3">
        <f>'Stage 1 Inputs'!AL89</f>
        <v>5.8298796057070765</v>
      </c>
      <c r="M89" s="3">
        <f>'Stage 1 Inputs'!AM89</f>
        <v>338.66999555948178</v>
      </c>
      <c r="N89" s="3">
        <f>'Stage 1 Inputs'!AN89</f>
        <v>5.8250261688299281</v>
      </c>
      <c r="O89" s="3">
        <f>'Stage 1 Inputs'!AT89</f>
        <v>0</v>
      </c>
      <c r="P89" s="3">
        <f>'Stage 1 Inputs'!AU89</f>
        <v>0</v>
      </c>
      <c r="Q89" s="3">
        <f>'Stage 1 Inputs'!AV89</f>
        <v>1</v>
      </c>
      <c r="R89" s="3" t="str">
        <f>'Stage 1 Inputs'!AX89</f>
        <v>Historical official/source data</v>
      </c>
      <c r="S89" s="3" t="str">
        <f>'Stage 1 Inputs'!AY89</f>
        <v>No special note</v>
      </c>
    </row>
    <row r="90" spans="1:19" ht="19.95" customHeight="1" x14ac:dyDescent="0.3">
      <c r="A90" s="3" t="str">
        <f>'Stage 1 Inputs'!A90</f>
        <v>2024Q1</v>
      </c>
      <c r="B90" s="3" t="str">
        <f>'Stage 1 Inputs'!B90</f>
        <v>Mar 2024</v>
      </c>
      <c r="C90" s="3">
        <f>'Stage 1 Inputs'!G90</f>
        <v>105841000000</v>
      </c>
      <c r="D90" s="3">
        <f>'Stage 1 Inputs'!E90</f>
        <v>1460</v>
      </c>
      <c r="E90" s="3">
        <f>'Stage 1 Inputs'!F90</f>
        <v>1.0691780821917809</v>
      </c>
      <c r="F90" s="3">
        <f>'Stage 1 Inputs'!J90</f>
        <v>113162877397.26028</v>
      </c>
      <c r="G90" s="3">
        <f>'Stage 1 Inputs'!L90</f>
        <v>25.45209401074526</v>
      </c>
      <c r="H90" s="3">
        <f>'Stage 1 Inputs'!AH90</f>
        <v>316837492.5</v>
      </c>
      <c r="I90" s="3">
        <f>'Stage 1 Inputs'!AI90</f>
        <v>988698346</v>
      </c>
      <c r="J90" s="3">
        <f>'Stage 1 Inputs'!AJ90</f>
        <v>320.45921163096597</v>
      </c>
      <c r="K90" s="3">
        <f>'Stage 1 Inputs'!AK90</f>
        <v>338.66999555948178</v>
      </c>
      <c r="L90" s="3">
        <f>'Stage 1 Inputs'!AL90</f>
        <v>5.8250261688299281</v>
      </c>
      <c r="M90" s="3">
        <f>'Stage 1 Inputs'!AM90</f>
        <v>336.10179774198713</v>
      </c>
      <c r="N90" s="3">
        <f>'Stage 1 Inputs'!AN90</f>
        <v>5.8174140835474217</v>
      </c>
      <c r="O90" s="3">
        <f>'Stage 1 Inputs'!AT90</f>
        <v>0</v>
      </c>
      <c r="P90" s="3">
        <f>'Stage 1 Inputs'!AU90</f>
        <v>0</v>
      </c>
      <c r="Q90" s="3">
        <f>'Stage 1 Inputs'!AV90</f>
        <v>0</v>
      </c>
      <c r="R90" s="3" t="str">
        <f>'Stage 1 Inputs'!AX90</f>
        <v>Historical official/source data</v>
      </c>
      <c r="S90" s="3" t="str">
        <f>'Stage 1 Inputs'!AY90</f>
        <v>No special note</v>
      </c>
    </row>
    <row r="91" spans="1:19" ht="19.95" customHeight="1" x14ac:dyDescent="0.3">
      <c r="A91" s="3" t="str">
        <f>'Stage 1 Inputs'!A91</f>
        <v>2024Q2</v>
      </c>
      <c r="B91" s="3" t="str">
        <f>'Stage 1 Inputs'!B91</f>
        <v>Jun 2024</v>
      </c>
      <c r="C91" s="3">
        <f>'Stage 1 Inputs'!G91</f>
        <v>106539000000</v>
      </c>
      <c r="D91" s="3">
        <f>'Stage 1 Inputs'!E91</f>
        <v>1475</v>
      </c>
      <c r="E91" s="3">
        <f>'Stage 1 Inputs'!F91</f>
        <v>1.0583050847457627</v>
      </c>
      <c r="F91" s="3">
        <f>'Stage 1 Inputs'!J91</f>
        <v>112750765423.72881</v>
      </c>
      <c r="G91" s="3">
        <f>'Stage 1 Inputs'!L91</f>
        <v>25.448445603986677</v>
      </c>
      <c r="H91" s="3">
        <f>'Stage 1 Inputs'!AH91</f>
        <v>305024921.80000001</v>
      </c>
      <c r="I91" s="3">
        <f>'Stage 1 Inputs'!AI91</f>
        <v>955339984</v>
      </c>
      <c r="J91" s="3">
        <f>'Stage 1 Inputs'!AJ91</f>
        <v>319.28415737700351</v>
      </c>
      <c r="K91" s="3">
        <f>'Stage 1 Inputs'!AK91</f>
        <v>336.10179774198713</v>
      </c>
      <c r="L91" s="3">
        <f>'Stage 1 Inputs'!AL91</f>
        <v>5.8174140835474217</v>
      </c>
      <c r="M91" s="3">
        <f>'Stage 1 Inputs'!AM91</f>
        <v>333.9356879663888</v>
      </c>
      <c r="N91" s="3">
        <f>'Stage 1 Inputs'!AN91</f>
        <v>5.8109484234375408</v>
      </c>
      <c r="O91" s="3">
        <f>'Stage 1 Inputs'!AT91</f>
        <v>1</v>
      </c>
      <c r="P91" s="3">
        <f>'Stage 1 Inputs'!AU91</f>
        <v>0</v>
      </c>
      <c r="Q91" s="3">
        <f>'Stage 1 Inputs'!AV91</f>
        <v>0</v>
      </c>
      <c r="R91" s="3" t="str">
        <f>'Stage 1 Inputs'!AX91</f>
        <v>Historical official/source data</v>
      </c>
      <c r="S91" s="3" t="str">
        <f>'Stage 1 Inputs'!AY91</f>
        <v>No special note</v>
      </c>
    </row>
    <row r="92" spans="1:19" ht="19.95" customHeight="1" x14ac:dyDescent="0.3">
      <c r="A92" s="3" t="str">
        <f>'Stage 1 Inputs'!A92</f>
        <v>2024Q3</v>
      </c>
      <c r="B92" s="3" t="str">
        <f>'Stage 1 Inputs'!B92</f>
        <v>Sep 2024</v>
      </c>
      <c r="C92" s="3">
        <f>'Stage 1 Inputs'!G92</f>
        <v>106858000000</v>
      </c>
      <c r="D92" s="3">
        <f>'Stage 1 Inputs'!E92</f>
        <v>1497</v>
      </c>
      <c r="E92" s="3">
        <f>'Stage 1 Inputs'!F92</f>
        <v>1.042752171008684</v>
      </c>
      <c r="F92" s="3">
        <f>'Stage 1 Inputs'!J92</f>
        <v>111426411489.64595</v>
      </c>
      <c r="G92" s="3">
        <f>'Stage 1 Inputs'!L92</f>
        <v>25.436630223319582</v>
      </c>
      <c r="H92" s="3">
        <f>'Stage 1 Inputs'!AH92</f>
        <v>308147165.39999998</v>
      </c>
      <c r="I92" s="3">
        <f>'Stage 1 Inputs'!AI92</f>
        <v>965308098</v>
      </c>
      <c r="J92" s="3">
        <f>'Stage 1 Inputs'!AJ92</f>
        <v>319.22156878041648</v>
      </c>
      <c r="K92" s="3">
        <f>'Stage 1 Inputs'!AK92</f>
        <v>333.9356879663888</v>
      </c>
      <c r="L92" s="3">
        <f>'Stage 1 Inputs'!AL92</f>
        <v>5.8109484234375408</v>
      </c>
      <c r="M92" s="3">
        <f>'Stage 1 Inputs'!AM92</f>
        <v>332.65076329681619</v>
      </c>
      <c r="N92" s="3">
        <f>'Stage 1 Inputs'!AN92</f>
        <v>5.8070931807796313</v>
      </c>
      <c r="O92" s="3">
        <f>'Stage 1 Inputs'!AT92</f>
        <v>0</v>
      </c>
      <c r="P92" s="3">
        <f>'Stage 1 Inputs'!AU92</f>
        <v>1</v>
      </c>
      <c r="Q92" s="3">
        <f>'Stage 1 Inputs'!AV92</f>
        <v>0</v>
      </c>
      <c r="R92" s="3" t="str">
        <f>'Stage 1 Inputs'!AX92</f>
        <v>Historical official/source data</v>
      </c>
      <c r="S92" s="3" t="str">
        <f>'Stage 1 Inputs'!AY92</f>
        <v>No special note</v>
      </c>
    </row>
    <row r="93" spans="1:19" ht="19.95" customHeight="1" x14ac:dyDescent="0.3">
      <c r="A93" s="3" t="str">
        <f>'Stage 1 Inputs'!A93</f>
        <v>2024Q4</v>
      </c>
      <c r="B93" s="3" t="str">
        <f>'Stage 1 Inputs'!B93</f>
        <v>Dec 2024</v>
      </c>
      <c r="C93" s="3">
        <f>'Stage 1 Inputs'!G93</f>
        <v>108067000000</v>
      </c>
      <c r="D93" s="3">
        <f>'Stage 1 Inputs'!E93</f>
        <v>1512</v>
      </c>
      <c r="E93" s="3">
        <f>'Stage 1 Inputs'!F93</f>
        <v>1.0324074074074074</v>
      </c>
      <c r="F93" s="3">
        <f>'Stage 1 Inputs'!J93</f>
        <v>111569171296.2963</v>
      </c>
      <c r="G93" s="3">
        <f>'Stage 1 Inputs'!L93</f>
        <v>25.437910605866804</v>
      </c>
      <c r="H93" s="3">
        <f>'Stage 1 Inputs'!AH93</f>
        <v>333830225.19999999</v>
      </c>
      <c r="I93" s="3">
        <f>'Stage 1 Inputs'!AI93</f>
        <v>1044092945</v>
      </c>
      <c r="J93" s="3">
        <f>'Stage 1 Inputs'!AJ93</f>
        <v>319.73228705227962</v>
      </c>
      <c r="K93" s="3">
        <f>'Stage 1 Inputs'!AK93</f>
        <v>332.65076329681619</v>
      </c>
      <c r="L93" s="3">
        <f>'Stage 1 Inputs'!AL93</f>
        <v>5.8070931807796313</v>
      </c>
      <c r="M93" s="3">
        <f>'Stage 1 Inputs'!AM93</f>
        <v>331.35172757472748</v>
      </c>
      <c r="N93" s="3">
        <f>'Stage 1 Inputs'!AN93</f>
        <v>5.8031804322666156</v>
      </c>
      <c r="O93" s="3">
        <f>'Stage 1 Inputs'!AT93</f>
        <v>0</v>
      </c>
      <c r="P93" s="3">
        <f>'Stage 1 Inputs'!AU93</f>
        <v>0</v>
      </c>
      <c r="Q93" s="3">
        <f>'Stage 1 Inputs'!AV93</f>
        <v>1</v>
      </c>
      <c r="R93" s="3" t="str">
        <f>'Stage 1 Inputs'!AX93</f>
        <v>Historical official/source data</v>
      </c>
      <c r="S93" s="3" t="str">
        <f>'Stage 1 Inputs'!AY93</f>
        <v>No special note</v>
      </c>
    </row>
    <row r="94" spans="1:19" ht="19.95" customHeight="1" x14ac:dyDescent="0.3">
      <c r="A94" s="3" t="str">
        <f>'Stage 1 Inputs'!A94</f>
        <v>2025Q1</v>
      </c>
      <c r="B94" s="3" t="str">
        <f>'Stage 1 Inputs'!B94</f>
        <v>Mar 2025</v>
      </c>
      <c r="C94" s="3">
        <f>'Stage 1 Inputs'!G94</f>
        <v>109906000000</v>
      </c>
      <c r="D94" s="3">
        <f>'Stage 1 Inputs'!E94</f>
        <v>1521</v>
      </c>
      <c r="E94" s="3">
        <f>'Stage 1 Inputs'!F94</f>
        <v>1.0262984878369494</v>
      </c>
      <c r="F94" s="3">
        <f>'Stage 1 Inputs'!J94</f>
        <v>112796361604.20776</v>
      </c>
      <c r="G94" s="3">
        <f>'Stage 1 Inputs'!L94</f>
        <v>25.44884992020831</v>
      </c>
      <c r="H94" s="3">
        <f>'Stage 1 Inputs'!AH94</f>
        <v>328578945.30000001</v>
      </c>
      <c r="I94" s="3">
        <f>'Stage 1 Inputs'!AI94</f>
        <v>1022167146</v>
      </c>
      <c r="J94" s="3">
        <f>'Stage 1 Inputs'!AJ94</f>
        <v>321.45324430139726</v>
      </c>
      <c r="K94" s="3">
        <f>'Stage 1 Inputs'!AK94</f>
        <v>331.35172757472748</v>
      </c>
      <c r="L94" s="3">
        <f>'Stage 1 Inputs'!AL94</f>
        <v>5.8031804322666156</v>
      </c>
      <c r="M94" s="3">
        <f>'Stage 1 Inputs'!AM94</f>
        <v>330.01564849731994</v>
      </c>
      <c r="N94" s="3">
        <f>'Stage 1 Inputs'!AN94</f>
        <v>5.7991400730250966</v>
      </c>
      <c r="O94" s="3">
        <f>'Stage 1 Inputs'!AT94</f>
        <v>0</v>
      </c>
      <c r="P94" s="3">
        <f>'Stage 1 Inputs'!AU94</f>
        <v>0</v>
      </c>
      <c r="Q94" s="3">
        <f>'Stage 1 Inputs'!AV94</f>
        <v>0</v>
      </c>
      <c r="R94" s="3" t="str">
        <f>'Stage 1 Inputs'!AX94</f>
        <v>Historical official/source data</v>
      </c>
      <c r="S94" s="3" t="str">
        <f>'Stage 1 Inputs'!AY94</f>
        <v>No special note</v>
      </c>
    </row>
    <row r="95" spans="1:19" ht="19.95" customHeight="1" x14ac:dyDescent="0.3">
      <c r="A95" s="3" t="str">
        <f>'Stage 1 Inputs'!A95</f>
        <v>2025Q2</v>
      </c>
      <c r="B95" s="3" t="str">
        <f>'Stage 1 Inputs'!B95</f>
        <v>Jun 2025</v>
      </c>
      <c r="C95" s="3">
        <f>'Stage 1 Inputs'!G95</f>
        <v>110143000000</v>
      </c>
      <c r="D95" s="3">
        <f>'Stage 1 Inputs'!E95</f>
        <v>1535</v>
      </c>
      <c r="E95" s="3">
        <f>'Stage 1 Inputs'!F95</f>
        <v>1.0169381107491857</v>
      </c>
      <c r="F95" s="3">
        <f>'Stage 1 Inputs'!J95</f>
        <v>112008614332.24756</v>
      </c>
      <c r="G95" s="3">
        <f>'Stage 1 Inputs'!L95</f>
        <v>25.441841618964581</v>
      </c>
      <c r="H95" s="3">
        <f>'Stage 1 Inputs'!AH95</f>
        <v>305886466</v>
      </c>
      <c r="I95" s="3">
        <f>'Stage 1 Inputs'!AI95</f>
        <v>950305250</v>
      </c>
      <c r="J95" s="3">
        <f>'Stage 1 Inputs'!AJ95</f>
        <v>321.88232780993263</v>
      </c>
      <c r="K95" s="3">
        <f>'Stage 1 Inputs'!AK95</f>
        <v>330.01564849731994</v>
      </c>
      <c r="L95" s="3">
        <f>'Stage 1 Inputs'!AL95</f>
        <v>5.7991400730250966</v>
      </c>
      <c r="M95" s="3">
        <f>'Stage 1 Inputs'!AM95</f>
        <v>326.53073889551649</v>
      </c>
      <c r="N95" s="3">
        <f>'Stage 1 Inputs'!AN95</f>
        <v>5.7885240909787354</v>
      </c>
      <c r="O95" s="3">
        <f>'Stage 1 Inputs'!AT95</f>
        <v>1</v>
      </c>
      <c r="P95" s="3">
        <f>'Stage 1 Inputs'!AU95</f>
        <v>0</v>
      </c>
      <c r="Q95" s="3">
        <f>'Stage 1 Inputs'!AV95</f>
        <v>0</v>
      </c>
      <c r="R95" s="3" t="str">
        <f>'Stage 1 Inputs'!AX95</f>
        <v>Historical official/source data</v>
      </c>
      <c r="S95" s="3" t="str">
        <f>'Stage 1 Inputs'!AY95</f>
        <v>No special note</v>
      </c>
    </row>
    <row r="96" spans="1:19" ht="19.95" customHeight="1" x14ac:dyDescent="0.3">
      <c r="A96" s="3" t="str">
        <f>'Stage 1 Inputs'!A96</f>
        <v>2025Q3</v>
      </c>
      <c r="B96" s="3" t="str">
        <f>'Stage 1 Inputs'!B96</f>
        <v>Sep 2025</v>
      </c>
      <c r="C96" s="3">
        <f>'Stage 1 Inputs'!G96</f>
        <v>111669000000</v>
      </c>
      <c r="D96" s="3">
        <f>'Stage 1 Inputs'!E96</f>
        <v>1542</v>
      </c>
      <c r="E96" s="3">
        <f>'Stage 1 Inputs'!F96</f>
        <v>1.0123216601815823</v>
      </c>
      <c r="F96" s="3">
        <f>'Stage 1 Inputs'!J96</f>
        <v>113044947470.81711</v>
      </c>
      <c r="G96" s="3">
        <f>'Stage 1 Inputs'!L96</f>
        <v>25.451051341799605</v>
      </c>
      <c r="H96" s="3">
        <f>'Stage 1 Inputs'!AH96</f>
        <v>314896898.5</v>
      </c>
      <c r="I96" s="3">
        <f>'Stage 1 Inputs'!AI96</f>
        <v>978994143</v>
      </c>
      <c r="J96" s="3">
        <f>'Stage 1 Inputs'!AJ96</f>
        <v>321.65350605167004</v>
      </c>
      <c r="K96" s="3">
        <f>'Stage 1 Inputs'!AK96</f>
        <v>326.53073889551649</v>
      </c>
      <c r="L96" s="3">
        <f>'Stage 1 Inputs'!AL96</f>
        <v>5.7885240909787354</v>
      </c>
      <c r="M96" s="3">
        <f>'Stage 1 Inputs'!AM96</f>
        <v>323.77497585052299</v>
      </c>
      <c r="N96" s="3">
        <f>'Stage 1 Inputs'!AN96</f>
        <v>5.7800487555224285</v>
      </c>
      <c r="O96" s="3">
        <f>'Stage 1 Inputs'!AT96</f>
        <v>0</v>
      </c>
      <c r="P96" s="3">
        <f>'Stage 1 Inputs'!AU96</f>
        <v>1</v>
      </c>
      <c r="Q96" s="3">
        <f>'Stage 1 Inputs'!AV96</f>
        <v>0</v>
      </c>
      <c r="R96" s="3" t="str">
        <f>'Stage 1 Inputs'!AX96</f>
        <v>Historical official/source data</v>
      </c>
      <c r="S96" s="3" t="str">
        <f>'Stage 1 Inputs'!AY96</f>
        <v>No special note</v>
      </c>
    </row>
    <row r="97" spans="1:19" ht="19.95" customHeight="1" x14ac:dyDescent="0.3">
      <c r="A97" s="3" t="str">
        <f>'Stage 1 Inputs'!A97</f>
        <v>2025Q4</v>
      </c>
      <c r="B97" s="3" t="str">
        <f>'Stage 1 Inputs'!B97</f>
        <v>Dec 2025</v>
      </c>
      <c r="C97" s="3">
        <f>'Stage 1 Inputs'!G97</f>
        <v>113094000000</v>
      </c>
      <c r="D97" s="3">
        <f>'Stage 1 Inputs'!E97</f>
        <v>1561</v>
      </c>
      <c r="E97" s="3">
        <f>'Stage 1 Inputs'!F97</f>
        <v>1</v>
      </c>
      <c r="F97" s="3">
        <f>'Stage 1 Inputs'!J97</f>
        <v>113094000000</v>
      </c>
      <c r="G97" s="3">
        <f>'Stage 1 Inputs'!L97</f>
        <v>25.451485168263385</v>
      </c>
      <c r="H97" s="3">
        <f>'Stage 1 Inputs'!AH97</f>
        <v>341533880.19999999</v>
      </c>
      <c r="I97" s="3">
        <f>'Stage 1 Inputs'!AI97</f>
        <v>1064388483</v>
      </c>
      <c r="J97" s="3">
        <f>'Stage 1 Inputs'!AJ97</f>
        <v>320.87333304977147</v>
      </c>
      <c r="K97" s="3">
        <f>'Stage 1 Inputs'!AK97</f>
        <v>323.77497585052299</v>
      </c>
      <c r="L97" s="3">
        <f>'Stage 1 Inputs'!AL97</f>
        <v>5.7800487555224285</v>
      </c>
      <c r="M97" s="3">
        <f>'Stage 1 Inputs'!AM97</f>
        <v>0</v>
      </c>
      <c r="N97" s="3">
        <f>'Stage 1 Inputs'!AN97</f>
        <v>0</v>
      </c>
      <c r="O97" s="3">
        <f>'Stage 1 Inputs'!AT97</f>
        <v>0</v>
      </c>
      <c r="P97" s="3">
        <f>'Stage 1 Inputs'!AU97</f>
        <v>0</v>
      </c>
      <c r="Q97" s="3">
        <f>'Stage 1 Inputs'!AV97</f>
        <v>1</v>
      </c>
      <c r="R97" s="3" t="str">
        <f>'Stage 1 Inputs'!AX97</f>
        <v>Historical official/source data</v>
      </c>
      <c r="S97" s="3" t="str">
        <f>'Stage 1 Inputs'!AY97</f>
        <v>Latest full official quarter for GDP, population, labour and RUC/VKT inputs. Fuel prices refreshed from Stats NZ CPI detailed table.</v>
      </c>
    </row>
    <row r="98" spans="1:19" ht="19.95" customHeight="1" x14ac:dyDescent="0.3">
      <c r="A98" s="3" t="str">
        <f>'Stage 1 Inputs'!A98</f>
        <v>2026Q1</v>
      </c>
      <c r="B98" s="3" t="str">
        <f>'Stage 1 Inputs'!B98</f>
        <v>Mar 2026</v>
      </c>
      <c r="C98" s="3">
        <f>'Stage 1 Inputs'!G98</f>
        <v>0</v>
      </c>
      <c r="D98" s="3">
        <f>'Stage 1 Inputs'!E98</f>
        <v>0</v>
      </c>
      <c r="E98" s="3">
        <f>'Stage 1 Inputs'!F98</f>
        <v>0</v>
      </c>
      <c r="F98" s="3">
        <f>'Stage 1 Inputs'!J98</f>
        <v>0</v>
      </c>
      <c r="G98" s="3">
        <f>'Stage 1 Inputs'!L98</f>
        <v>0</v>
      </c>
      <c r="H98" s="3">
        <f>'Stage 1 Inputs'!AH98</f>
        <v>0</v>
      </c>
      <c r="I98" s="3">
        <f>'Stage 1 Inputs'!AI98</f>
        <v>0</v>
      </c>
      <c r="J98" s="3">
        <f>'Stage 1 Inputs'!AJ98</f>
        <v>0</v>
      </c>
      <c r="K98" s="3">
        <f>'Stage 1 Inputs'!AK98</f>
        <v>0</v>
      </c>
      <c r="L98" s="3">
        <f>'Stage 1 Inputs'!AL98</f>
        <v>0</v>
      </c>
      <c r="M98" s="3">
        <f>'Stage 1 Inputs'!AM98</f>
        <v>0</v>
      </c>
      <c r="N98" s="3">
        <f>'Stage 1 Inputs'!AN98</f>
        <v>0</v>
      </c>
      <c r="O98" s="3">
        <f>'Stage 1 Inputs'!AT98</f>
        <v>0</v>
      </c>
      <c r="P98" s="3">
        <f>'Stage 1 Inputs'!AU98</f>
        <v>0</v>
      </c>
      <c r="Q98" s="3">
        <f>'Stage 1 Inputs'!AV98</f>
        <v>0</v>
      </c>
      <c r="R98" s="3" t="str">
        <f>'Stage 1 Inputs'!AX98</f>
        <v>Partial official CPI and fuel update</v>
      </c>
      <c r="S98" s="3" t="str">
        <f>'Stage 1 Inputs'!AY98</f>
        <v>CPI and fuel values are official; GDP, population, labour, VKT and RUC volume/revenue are not yet released and remain zero.</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5"/>
  <sheetViews>
    <sheetView showGridLines="0" topLeftCell="A2" workbookViewId="0">
      <selection activeCell="C9" sqref="C9"/>
    </sheetView>
  </sheetViews>
  <sheetFormatPr defaultRowHeight="14.4" x14ac:dyDescent="0.3"/>
  <cols>
    <col min="1" max="1" width="18" customWidth="1"/>
    <col min="2" max="2" width="38" customWidth="1"/>
    <col min="3" max="3" width="46" customWidth="1"/>
    <col min="4" max="4" width="58" customWidth="1"/>
  </cols>
  <sheetData>
    <row r="1" spans="1:4" ht="30" customHeight="1" x14ac:dyDescent="0.3">
      <c r="A1" s="24" t="s">
        <v>285</v>
      </c>
      <c r="B1" s="24" t="s">
        <v>286</v>
      </c>
      <c r="C1" s="24" t="s">
        <v>287</v>
      </c>
      <c r="D1" s="24" t="s">
        <v>288</v>
      </c>
    </row>
    <row r="2" spans="1:4" ht="34.049999999999997" customHeight="1" x14ac:dyDescent="0.3">
      <c r="A2" s="2" t="s">
        <v>289</v>
      </c>
      <c r="B2" s="2" t="s">
        <v>36</v>
      </c>
      <c r="C2" s="2" t="s">
        <v>290</v>
      </c>
      <c r="D2" s="2" t="s">
        <v>291</v>
      </c>
    </row>
    <row r="3" spans="1:4" ht="34.049999999999997" customHeight="1" x14ac:dyDescent="0.3">
      <c r="A3" s="2" t="s">
        <v>289</v>
      </c>
      <c r="B3" s="2" t="s">
        <v>38</v>
      </c>
      <c r="C3" s="2" t="s">
        <v>292</v>
      </c>
      <c r="D3" s="2" t="s">
        <v>293</v>
      </c>
    </row>
    <row r="4" spans="1:4" ht="34.049999999999997" customHeight="1" x14ac:dyDescent="0.3">
      <c r="A4" s="2" t="s">
        <v>294</v>
      </c>
      <c r="B4" s="2" t="s">
        <v>240</v>
      </c>
      <c r="C4" s="2" t="s">
        <v>295</v>
      </c>
      <c r="D4" s="2" t="s">
        <v>296</v>
      </c>
    </row>
    <row r="5" spans="1:4" ht="34.049999999999997" customHeight="1" x14ac:dyDescent="0.3">
      <c r="A5" s="2" t="s">
        <v>294</v>
      </c>
      <c r="B5" s="2" t="s">
        <v>241</v>
      </c>
      <c r="C5" s="2" t="s">
        <v>297</v>
      </c>
      <c r="D5" s="2" t="s">
        <v>298</v>
      </c>
    </row>
    <row r="6" spans="1:4" ht="34.049999999999997" customHeight="1" x14ac:dyDescent="0.3">
      <c r="A6" s="2" t="s">
        <v>294</v>
      </c>
      <c r="B6" s="2" t="s">
        <v>242</v>
      </c>
      <c r="C6" s="2" t="s">
        <v>299</v>
      </c>
      <c r="D6" s="2" t="s">
        <v>300</v>
      </c>
    </row>
    <row r="7" spans="1:4" ht="34.049999999999997" customHeight="1" x14ac:dyDescent="0.3">
      <c r="A7" s="2" t="s">
        <v>294</v>
      </c>
      <c r="B7" s="2" t="s">
        <v>246</v>
      </c>
      <c r="C7" s="2" t="s">
        <v>301</v>
      </c>
      <c r="D7" s="2" t="s">
        <v>302</v>
      </c>
    </row>
    <row r="8" spans="1:4" ht="34.049999999999997" customHeight="1" x14ac:dyDescent="0.3">
      <c r="A8" s="2" t="s">
        <v>294</v>
      </c>
      <c r="B8" s="2" t="s">
        <v>249</v>
      </c>
      <c r="C8" s="2" t="s">
        <v>303</v>
      </c>
      <c r="D8" s="2" t="s">
        <v>304</v>
      </c>
    </row>
    <row r="9" spans="1:4" ht="34.049999999999997" customHeight="1" x14ac:dyDescent="0.3">
      <c r="A9" s="2" t="s">
        <v>294</v>
      </c>
      <c r="B9" s="2" t="s">
        <v>252</v>
      </c>
      <c r="C9" s="2" t="s">
        <v>305</v>
      </c>
      <c r="D9" s="2" t="s">
        <v>306</v>
      </c>
    </row>
    <row r="10" spans="1:4" ht="34.049999999999997" customHeight="1" x14ac:dyDescent="0.3">
      <c r="A10" s="2" t="s">
        <v>294</v>
      </c>
      <c r="B10" s="2" t="s">
        <v>256</v>
      </c>
      <c r="C10" s="2" t="s">
        <v>307</v>
      </c>
      <c r="D10" s="2" t="s">
        <v>308</v>
      </c>
    </row>
    <row r="11" spans="1:4" ht="34.049999999999997" customHeight="1" x14ac:dyDescent="0.3">
      <c r="A11" s="2" t="s">
        <v>294</v>
      </c>
      <c r="B11" s="2" t="s">
        <v>260</v>
      </c>
      <c r="C11" s="2" t="s">
        <v>309</v>
      </c>
      <c r="D11" s="2" t="s">
        <v>310</v>
      </c>
    </row>
    <row r="12" spans="1:4" ht="34.049999999999997" customHeight="1" x14ac:dyDescent="0.3">
      <c r="A12" s="2" t="s">
        <v>294</v>
      </c>
      <c r="B12" s="2" t="s">
        <v>267</v>
      </c>
      <c r="C12" s="2" t="s">
        <v>311</v>
      </c>
      <c r="D12" s="2" t="s">
        <v>312</v>
      </c>
    </row>
    <row r="13" spans="1:4" ht="34.049999999999997" customHeight="1" x14ac:dyDescent="0.3">
      <c r="A13" s="2" t="s">
        <v>294</v>
      </c>
      <c r="B13" s="2" t="s">
        <v>313</v>
      </c>
      <c r="C13" s="2" t="s">
        <v>314</v>
      </c>
      <c r="D13" s="2" t="s">
        <v>315</v>
      </c>
    </row>
    <row r="14" spans="1:4" ht="34.049999999999997" customHeight="1" x14ac:dyDescent="0.3">
      <c r="A14" s="2" t="s">
        <v>294</v>
      </c>
      <c r="B14" s="2" t="s">
        <v>316</v>
      </c>
      <c r="C14" s="2" t="s">
        <v>317</v>
      </c>
      <c r="D14" s="2" t="s">
        <v>318</v>
      </c>
    </row>
    <row r="15" spans="1:4" ht="34.049999999999997" customHeight="1" x14ac:dyDescent="0.3">
      <c r="A15" s="2" t="s">
        <v>294</v>
      </c>
      <c r="B15" s="2" t="s">
        <v>319</v>
      </c>
      <c r="C15" s="2" t="s">
        <v>320</v>
      </c>
      <c r="D15" s="2" t="s">
        <v>321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
  <sheetViews>
    <sheetView showGridLines="0" workbookViewId="0">
      <selection activeCell="E28" sqref="E28"/>
    </sheetView>
  </sheetViews>
  <sheetFormatPr defaultRowHeight="14.4" x14ac:dyDescent="0.3"/>
  <cols>
    <col min="1" max="1" width="20" customWidth="1"/>
    <col min="2" max="2" width="34" customWidth="1"/>
    <col min="3" max="3" width="58" customWidth="1"/>
    <col min="4" max="4" width="30" customWidth="1"/>
    <col min="5" max="5" width="20" customWidth="1"/>
    <col min="6" max="6" width="48" customWidth="1"/>
  </cols>
  <sheetData>
    <row r="1" spans="1:6" ht="30" customHeight="1" x14ac:dyDescent="0.3">
      <c r="A1" s="24" t="s">
        <v>285</v>
      </c>
      <c r="B1" s="24" t="s">
        <v>322</v>
      </c>
      <c r="C1" s="24" t="s">
        <v>323</v>
      </c>
      <c r="D1" s="24" t="s">
        <v>324</v>
      </c>
      <c r="E1" s="24" t="s">
        <v>325</v>
      </c>
      <c r="F1" s="24" t="s">
        <v>40</v>
      </c>
    </row>
    <row r="2" spans="1:6" ht="42" customHeight="1" x14ac:dyDescent="0.3">
      <c r="A2" s="2" t="s">
        <v>326</v>
      </c>
      <c r="B2" s="2" t="s">
        <v>327</v>
      </c>
      <c r="C2" s="2" t="s">
        <v>328</v>
      </c>
      <c r="D2" s="2" t="s">
        <v>329</v>
      </c>
      <c r="E2" s="2" t="s">
        <v>330</v>
      </c>
      <c r="F2" s="2" t="s">
        <v>331</v>
      </c>
    </row>
    <row r="3" spans="1:6" ht="42" customHeight="1" x14ac:dyDescent="0.3">
      <c r="A3" s="2" t="s">
        <v>332</v>
      </c>
      <c r="B3" s="2" t="s">
        <v>333</v>
      </c>
      <c r="C3" s="2" t="s">
        <v>334</v>
      </c>
      <c r="D3" s="2" t="s">
        <v>335</v>
      </c>
      <c r="E3" s="2" t="s">
        <v>29</v>
      </c>
      <c r="F3" s="2" t="s">
        <v>336</v>
      </c>
    </row>
    <row r="4" spans="1:6" ht="42" customHeight="1" x14ac:dyDescent="0.3">
      <c r="A4" s="2" t="s">
        <v>239</v>
      </c>
      <c r="B4" s="2" t="s">
        <v>337</v>
      </c>
      <c r="C4" s="2" t="s">
        <v>338</v>
      </c>
      <c r="D4" s="2" t="s">
        <v>339</v>
      </c>
      <c r="E4" s="2" t="s">
        <v>29</v>
      </c>
      <c r="F4" s="2" t="s">
        <v>340</v>
      </c>
    </row>
    <row r="5" spans="1:6" ht="42" customHeight="1" x14ac:dyDescent="0.3">
      <c r="A5" s="2" t="s">
        <v>341</v>
      </c>
      <c r="B5" s="2" t="s">
        <v>342</v>
      </c>
      <c r="C5" s="2" t="s">
        <v>343</v>
      </c>
      <c r="D5" s="2" t="s">
        <v>256</v>
      </c>
      <c r="E5" s="2" t="s">
        <v>29</v>
      </c>
      <c r="F5" s="2" t="s">
        <v>344</v>
      </c>
    </row>
    <row r="6" spans="1:6" ht="42" customHeight="1" x14ac:dyDescent="0.3">
      <c r="A6" s="2" t="s">
        <v>345</v>
      </c>
      <c r="B6" s="2" t="s">
        <v>346</v>
      </c>
      <c r="C6" s="2" t="s">
        <v>347</v>
      </c>
      <c r="D6" s="2" t="s">
        <v>348</v>
      </c>
      <c r="E6" s="2" t="s">
        <v>26</v>
      </c>
      <c r="F6" s="2" t="s">
        <v>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Overview</vt:lpstr>
      <vt:lpstr>Deflators</vt:lpstr>
      <vt:lpstr>Stage 1 Inputs</vt:lpstr>
      <vt:lpstr>PED Inputs</vt:lpstr>
      <vt:lpstr>Light RUC Inputs</vt:lpstr>
      <vt:lpstr>Heavy RUC Inputs</vt:lpstr>
      <vt:lpstr>Formula Notes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Adrian Desilvestro</cp:lastModifiedBy>
  <dcterms:modified xsi:type="dcterms:W3CDTF">2026-05-25T23:47:35Z</dcterms:modified>
</cp:coreProperties>
</file>