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rian Desilvestro\Downloads\"/>
    </mc:Choice>
  </mc:AlternateContent>
  <xr:revisionPtr revIDLastSave="0" documentId="8_{F9426301-DD68-40E3-A504-5743DC8A24B2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PED Inputs" sheetId="1" r:id="rId1"/>
    <sheet name="Light RUC Inputs" sheetId="2" r:id="rId2"/>
    <sheet name="Heavy RUC Inputs" sheetId="3" r:id="rId3"/>
    <sheet name="Q1 2026 Filled Rows" sheetId="4" r:id="rId4"/>
    <sheet name="Q1 2026 Source Map" sheetId="5" r:id="rId5"/>
    <sheet name="Q1 2026 Reconciliation" sheetId="6" r:id="rId6"/>
    <sheet name="Agent Build Spe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7" i="3" l="1"/>
  <c r="V9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NLTF model input sheet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</rPr>
          <t>IDENTIFIER (generated)
Quarter label.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</rPr>
          <t>IDENTIFIER (generated)
Quarter end month and year.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</rPr>
          <t>IDENTIFIER (generated)
Calendar year.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</rPr>
          <t>IDENTIFIER (generated)
Calendar quarter, 1-4.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</rPr>
          <t>IDENTIFIER (generated)
Sequential quarter index, 2002Q1 = 1.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</rPr>
          <t>IDENTIFIER (generated)
Time trend used by the fitted specs. Equals period_index.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</rPr>
          <t>DERIVED (formula recomputes)
Unit: km/person
PED dependent variable: light petrol VKT per capita = light_petrol_vkt_total_km / population.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</rPr>
          <t>DERIVED (formula recomputes)
Unit: log
Natural log of target.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</rPr>
          <t>DERIVED (formula recomputes)
Unit: km/person
Target one quarter earlier.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</rPr>
          <t>DERIVED (formula recomputes)
Unit: km/person
Target four quarters earlier.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</rPr>
          <t>DERIVED (formula recomputes)
Unit: log
Natural log of trend_index.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</rPr>
          <t>INPUT (you fill this for 2026Q1)
Unit: NZD
Nominal seasonally adjusted quarterly GDP.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</rPr>
          <t>INPUT (you fill this for 2026Q1)
Unit: people
Estimated resident population.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</rPr>
          <t>DERIVED (formula recomputes)
Unit: NZD/person
nominal_gdp_sa_nzd / population.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</rPr>
          <t>INPUT (you fill this for 2026Q1)
Unit: index
Seasonally adjusted GDP deflator index.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</rPr>
          <t>DERIVED (formula recomputes)
Unit: ratio
2025Q4 deflator / this quarter's deflator. Rebases GDP into 2025Q4 dollars.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</rPr>
          <t>DERIVED (formula recomputes)
Unit: NZD/person
nominal_gdp_per_capita_nzd * gdp_rebasing_factor.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</rPr>
          <t>DERIVED (formula recomputes)
Unit: log
Natural log of real_gdp_per_capita_nzd.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</rPr>
          <t>INPUT (you fill this for 2026Q1)
Unit: cents/litre
Nominal retail petrol price (Stats NZ CPI detailed table).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</rPr>
          <t>INPUT (you fill this for 2026Q1)
Unit: ratio
CPI rebasing factor. Base quarter is 2026Q1, so 2026Q1 = 1.</t>
        </r>
      </text>
    </comment>
    <comment ref="U1" authorId="0" shapeId="0" xr:uid="{00000000-0006-0000-0000-000015000000}">
      <text>
        <r>
          <rPr>
            <sz val="11"/>
            <color theme="1"/>
            <rFont val="Calibri"/>
          </rPr>
          <t>DERIVED (formula recomputes)
Unit: cents/litre
petrol_price_nominal_cents_per_litre * cpi_rebasing_factor.</t>
        </r>
      </text>
    </comment>
    <comment ref="V1" authorId="0" shapeId="0" xr:uid="{00000000-0006-0000-0000-000016000000}">
      <text>
        <r>
          <rPr>
            <sz val="11"/>
            <color theme="1"/>
            <rFont val="Calibri"/>
          </rPr>
          <t>DERIVED (formula recomputes)
Unit: log
Natural log of real_petrol_price_cents_per_litre.</t>
        </r>
      </text>
    </comment>
    <comment ref="W1" authorId="0" shapeId="0" xr:uid="{00000000-0006-0000-0000-000017000000}">
      <text>
        <r>
          <rPr>
            <sz val="11"/>
            <color theme="1"/>
            <rFont val="Calibri"/>
          </rPr>
          <t>INPUT (you fill this for 2026Q1)
Unit: km
Total light petrol vehicle kilometres travelled.</t>
        </r>
      </text>
    </comment>
    <comment ref="X1" authorId="0" shapeId="0" xr:uid="{00000000-0006-0000-0000-000018000000}">
      <text>
        <r>
          <rPr>
            <sz val="11"/>
            <color theme="1"/>
            <rFont val="Calibri"/>
          </rPr>
          <t>DERIVED (formula recomputes)
Unit: log
Natural log of light_petrol_vkt_total_km.</t>
        </r>
      </text>
    </comment>
    <comment ref="Y1" authorId="0" shapeId="0" xr:uid="{00000000-0006-0000-0000-000019000000}">
      <text>
        <r>
          <rPr>
            <sz val="11"/>
            <color theme="1"/>
            <rFont val="Calibri"/>
          </rPr>
          <t>INPUT (you fill this for 2026Q1)
Unit: percent
Unemployment rate in percentage points, for example 5.4.</t>
        </r>
      </text>
    </comment>
    <comment ref="Z1" authorId="0" shapeId="0" xr:uid="{00000000-0006-0000-0000-00001A000000}">
      <text>
        <r>
          <rPr>
            <sz val="11"/>
            <color theme="1"/>
            <rFont val="Calibri"/>
          </rPr>
          <t>DERIVED (formula recomputes)
Unit: fraction
unemployment_percent / 100. The fitted models use this fraction, not the percentage.</t>
        </r>
      </text>
    </comment>
    <comment ref="AA1" authorId="0" shapeId="0" xr:uid="{00000000-0006-0000-0000-00001B000000}">
      <text>
        <r>
          <rPr>
            <sz val="11"/>
            <color theme="1"/>
            <rFont val="Calibri"/>
          </rPr>
          <t>DERIVED (formula recomputes)
Unit: log
Natural log of unemployment_rate.</t>
        </r>
      </text>
    </comment>
    <comment ref="AB1" authorId="0" shapeId="0" xr:uid="{00000000-0006-0000-0000-00001C000000}">
      <text>
        <r>
          <rPr>
            <sz val="11"/>
            <color theme="1"/>
            <rFont val="Calibri"/>
          </rPr>
          <t>DERIVED (formula recomputes)
Unit: 0/1
1 from 2012Q1 onwards.</t>
        </r>
      </text>
    </comment>
    <comment ref="AC1" authorId="0" shapeId="0" xr:uid="{00000000-0006-0000-0000-00001D000000}">
      <text>
        <r>
          <rPr>
            <sz val="11"/>
            <color theme="1"/>
            <rFont val="Calibri"/>
          </rPr>
          <t>DERIVED (formula recomputes)
Unit: 0/1
1 for the four 2020 quarters.</t>
        </r>
      </text>
    </comment>
    <comment ref="AD1" authorId="0" shapeId="0" xr:uid="{00000000-0006-0000-0000-00001E000000}">
      <text>
        <r>
          <rPr>
            <sz val="11"/>
            <color theme="1"/>
            <rFont val="Calibri"/>
          </rPr>
          <t>DERIVED (formula recomputes)
Unit: 0/1
1 from 2021Q1 onwards.</t>
        </r>
      </text>
    </comment>
    <comment ref="AE1" authorId="0" shapeId="0" xr:uid="{00000000-0006-0000-0000-00001F000000}">
      <text>
        <r>
          <rPr>
            <sz val="11"/>
            <color theme="1"/>
            <rFont val="Calibri"/>
          </rPr>
          <t>DERIVED (formula recomputes)
Unit: 0/1
1 when quarter is 2.</t>
        </r>
      </text>
    </comment>
    <comment ref="AF1" authorId="0" shapeId="0" xr:uid="{00000000-0006-0000-0000-000020000000}">
      <text>
        <r>
          <rPr>
            <sz val="11"/>
            <color theme="1"/>
            <rFont val="Calibri"/>
          </rPr>
          <t>DERIVED (formula recomputes)
Unit: 0/1
1 when quarter is 3.</t>
        </r>
      </text>
    </comment>
    <comment ref="AG1" authorId="0" shapeId="0" xr:uid="{00000000-0006-0000-0000-000021000000}">
      <text>
        <r>
          <rPr>
            <sz val="11"/>
            <color theme="1"/>
            <rFont val="Calibri"/>
          </rPr>
          <t>DERIVED (formula recomputes)
Unit: 0/1
1 when quarter is 4.</t>
        </r>
      </text>
    </comment>
    <comment ref="AH1" authorId="0" shapeId="0" xr:uid="{00000000-0006-0000-0000-000022000000}">
      <text>
        <r>
          <rPr>
            <sz val="11"/>
            <color theme="1"/>
            <rFont val="Calibri"/>
          </rPr>
          <t>DERIVED (formula recomputes)
Unit: log
post_2011_dummy * log_trend.</t>
        </r>
      </text>
    </comment>
    <comment ref="AI1" authorId="0" shapeId="0" xr:uid="{00000000-0006-0000-0000-000025000000}">
      <text>
        <r>
          <rPr>
            <sz val="11"/>
            <color theme="1"/>
            <rFont val="Calibri"/>
          </rPr>
          <t>DERIVED (formula recomputes)
Unit: log
Natural log of target_lag_1.</t>
        </r>
      </text>
    </comment>
    <comment ref="AJ1" authorId="0" shapeId="0" xr:uid="{00000000-0006-0000-0000-000026000000}">
      <text>
        <r>
          <rPr>
            <sz val="11"/>
            <color theme="1"/>
            <rFont val="Calibri"/>
          </rPr>
          <t>DERIVED (formula recomputes)
Unit: log
Natural log of target_lag_4.</t>
        </r>
      </text>
    </comment>
    <comment ref="AK1" authorId="0" shapeId="0" xr:uid="{00000000-0006-0000-0000-000027000000}">
      <text>
        <r>
          <rPr>
            <sz val="11"/>
            <color theme="1"/>
            <rFont val="Calibri"/>
          </rPr>
          <t>DERIVED (formula recomputes)
Unit: log
log_target_lag_1 minus log_target_lag_4.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NLTF model input sheet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</rPr>
          <t>IDENTIFIER (generated)
Quarter label.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</rPr>
          <t>IDENTIFIER (generated)
Quarter end month and year.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</rPr>
          <t>IDENTIFIER (generated)
Calendar year.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</rPr>
          <t>IDENTIFIER (generated)
Calendar quarter, 1-4.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</rPr>
          <t>IDENTIFIER (generated)
Sequential quarter index, 2002Q1 = 1.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</rPr>
          <t>IDENTIFIER (generated)
Time trend used by the fitted specs. Equals period_index.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</rPr>
          <t>INPUT (you fill this for 2026Q1)
Unit: km
Light RUC dependent variable: Light RUC distance purchased. Zero before 2009Q3, where the series does not exist.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</rPr>
          <t>DERIVED (formula recomputes)
Unit: log
Natural log of target.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</rPr>
          <t>DERIVED (formula recomputes)
Unit: km
Target one quarter earlier.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</rPr>
          <t>DERIVED (formula recomputes)
Unit: km
Target four quarters earlier.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</rPr>
          <t>DERIVED (formula recomputes)
Unit: log
Natural log of trend_index.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</rPr>
          <t>INPUT (you fill this for 2026Q1)
Unit: NZD
Nominal seasonally adjusted quarterly GDP.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</rPr>
          <t>INPUT (you fill this for 2026Q1)
Unit: index
Seasonally adjusted GDP deflator index.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</rPr>
          <t>DERIVED (formula recomputes)
Unit: ratio
2025Q4 deflator / this quarter's deflator.</t>
        </r>
      </text>
    </comment>
    <comment ref="O1" authorId="0" shapeId="0" xr:uid="{00000000-0006-0000-0100-00000F000000}">
      <text>
        <r>
          <rPr>
            <sz val="11"/>
            <color theme="1"/>
            <rFont val="Calibri"/>
          </rPr>
          <t>DERIVED (formula recomputes)
Unit: NZD
nominal_gdp_sa_nzd * gdp_rebasing_factor.</t>
        </r>
      </text>
    </comment>
    <comment ref="P1" authorId="0" shapeId="0" xr:uid="{00000000-0006-0000-0100-000010000000}">
      <text>
        <r>
          <rPr>
            <sz val="11"/>
            <color theme="1"/>
            <rFont val="Calibri"/>
          </rPr>
          <t>DERIVED (formula recomputes)
Unit: log
Natural log of real_gdp_sa_nzd.</t>
        </r>
      </text>
    </comment>
    <comment ref="Q1" authorId="0" shapeId="0" xr:uid="{00000000-0006-0000-0100-000011000000}">
      <text>
        <r>
          <rPr>
            <sz val="11"/>
            <color theme="1"/>
            <rFont val="Calibri"/>
          </rPr>
          <t>INPUT (you fill this for 2026Q1)
Unit: cents/litre
Nominal retail diesel price.</t>
        </r>
      </text>
    </comment>
    <comment ref="R1" authorId="0" shapeId="0" xr:uid="{00000000-0006-0000-0100-000012000000}">
      <text>
        <r>
          <rPr>
            <sz val="11"/>
            <color theme="1"/>
            <rFont val="Calibri"/>
          </rPr>
          <t>INPUT (you fill this for 2026Q1)
Unit: ratio
CPI rebasing factor. Base quarter is 2026Q1, so 2026Q1 = 1.</t>
        </r>
      </text>
    </comment>
    <comment ref="S1" authorId="0" shapeId="0" xr:uid="{00000000-0006-0000-0100-000013000000}">
      <text>
        <r>
          <rPr>
            <sz val="11"/>
            <color theme="1"/>
            <rFont val="Calibri"/>
          </rPr>
          <t>DERIVED (formula recomputes)
Unit: cents/litre
diesel_price_nominal_cents_per_litre * cpi_rebasing_factor.</t>
        </r>
      </text>
    </comment>
    <comment ref="T1" authorId="0" shapeId="0" xr:uid="{00000000-0006-0000-0100-000014000000}">
      <text>
        <r>
          <rPr>
            <sz val="11"/>
            <color theme="1"/>
            <rFont val="Calibri"/>
          </rPr>
          <t>DERIVED (formula recomputes)
Unit: log
Natural log of real_diesel_price_cents_per_litre.</t>
        </r>
      </text>
    </comment>
    <comment ref="U1" authorId="0" shapeId="0" xr:uid="{00000000-0006-0000-0100-000015000000}">
      <text>
        <r>
          <rPr>
            <sz val="11"/>
            <color theme="1"/>
            <rFont val="Calibri"/>
          </rPr>
          <t>INPUT (you fill this for 2026Q1)
Unit: NZD
Light RUC revenue. Zero before 2009Q3.</t>
        </r>
      </text>
    </comment>
    <comment ref="V1" authorId="0" shapeId="0" xr:uid="{00000000-0006-0000-0100-000016000000}">
      <text>
        <r>
          <rPr>
            <sz val="11"/>
            <color theme="1"/>
            <rFont val="Calibri"/>
          </rPr>
          <t>DERIVED (formula recomputes)
Unit: NZD/1000km
light_ruc_revenue_nzd / target * 1000. Effective average nominal rate.</t>
        </r>
      </text>
    </comment>
    <comment ref="W1" authorId="0" shapeId="0" xr:uid="{00000000-0006-0000-0100-000017000000}">
      <text>
        <r>
          <rPr>
            <sz val="11"/>
            <color theme="1"/>
            <rFont val="Calibri"/>
          </rPr>
          <t>DERIVED (formula recomputes)
Unit: NZD/1000km
light_ruc_price_nominal_nzd_per_1000km * cpi_rebasing_factor.</t>
        </r>
      </text>
    </comment>
    <comment ref="X1" authorId="0" shapeId="0" xr:uid="{00000000-0006-0000-0100-000018000000}">
      <text>
        <r>
          <rPr>
            <sz val="11"/>
            <color theme="1"/>
            <rFont val="Calibri"/>
          </rPr>
          <t>DERIVED (formula recomputes)
Unit: log
Natural log of real_light_ruc_price_nzd_per_1000km.</t>
        </r>
      </text>
    </comment>
    <comment ref="Y1" authorId="0" shapeId="0" xr:uid="{00000000-0006-0000-0100-000019000000}">
      <text>
        <r>
          <rPr>
            <sz val="11"/>
            <color theme="1"/>
            <rFont val="Calibri"/>
          </rPr>
          <t>DERIVED (formula recomputes)
Unit: NZD/1000km
real_light_ruc_price_nzd_per_1000km one quarter earlier.</t>
        </r>
      </text>
    </comment>
    <comment ref="Z1" authorId="0" shapeId="0" xr:uid="{00000000-0006-0000-0100-00001A000000}">
      <text>
        <r>
          <rPr>
            <sz val="11"/>
            <color theme="1"/>
            <rFont val="Calibri"/>
          </rPr>
          <t>DERIVED (formula recomputes)
Unit: log
Natural log of the lagged real Light RUC price.</t>
        </r>
      </text>
    </comment>
    <comment ref="AA1" authorId="0" shapeId="0" xr:uid="{00000000-0006-0000-0100-00001B000000}">
      <text>
        <r>
          <rPr>
            <sz val="11"/>
            <color theme="1"/>
            <rFont val="Calibri"/>
          </rPr>
          <t>DERIVED (formula recomputes)
Unit: 0/1
1 when quarter is 2.</t>
        </r>
      </text>
    </comment>
    <comment ref="AB1" authorId="0" shapeId="0" xr:uid="{00000000-0006-0000-0100-00001C000000}">
      <text>
        <r>
          <rPr>
            <sz val="11"/>
            <color theme="1"/>
            <rFont val="Calibri"/>
          </rPr>
          <t>DERIVED (formula recomputes)
Unit: 0/1
1 when quarter is 3.</t>
        </r>
      </text>
    </comment>
    <comment ref="AC1" authorId="0" shapeId="0" xr:uid="{00000000-0006-0000-0100-00001D000000}">
      <text>
        <r>
          <rPr>
            <sz val="11"/>
            <color theme="1"/>
            <rFont val="Calibri"/>
          </rPr>
          <t>DERIVED (formula recomputes)
Unit: 0/1
1 when quarter is 4.</t>
        </r>
      </text>
    </comment>
    <comment ref="AD1" authorId="0" shapeId="0" xr:uid="{00000000-0006-0000-0100-00001E000000}">
      <text>
        <r>
          <rPr>
            <sz val="11"/>
            <color theme="1"/>
            <rFont val="Calibri"/>
          </rPr>
          <t>DERIVED (formula recomputes)
Unit: 0/1
1 from 2021Q1 onwards.</t>
        </r>
      </text>
    </comment>
    <comment ref="AE1" authorId="0" shapeId="0" xr:uid="{00000000-0006-0000-0100-00001F000000}">
      <text>
        <r>
          <rPr>
            <sz val="11"/>
            <color theme="1"/>
            <rFont val="Calibri"/>
          </rPr>
          <t>NOTE (free text)
Provenance status for the row.</t>
        </r>
      </text>
    </comment>
    <comment ref="AF1" authorId="0" shapeId="0" xr:uid="{00000000-0006-0000-0100-000020000000}">
      <text>
        <r>
          <rPr>
            <sz val="11"/>
            <color theme="1"/>
            <rFont val="Calibri"/>
          </rPr>
          <t>NOTE (free text)
Free-text provenance note.</t>
        </r>
      </text>
    </comment>
    <comment ref="AG1" authorId="0" shapeId="0" xr:uid="{00000000-0006-0000-0100-000021000000}">
      <text>
        <r>
          <rPr>
            <sz val="11"/>
            <color theme="1"/>
            <rFont val="Calibri"/>
          </rPr>
          <t>DERIVED (formula recomputes)
Unit: log
Natural log of target_lag_1.</t>
        </r>
      </text>
    </comment>
    <comment ref="AH1" authorId="0" shapeId="0" xr:uid="{00000000-0006-0000-0100-000022000000}">
      <text>
        <r>
          <rPr>
            <sz val="11"/>
            <color theme="1"/>
            <rFont val="Calibri"/>
          </rPr>
          <t>DERIVED (formula recomputes)
Unit: log
Natural log of target_lag_4.</t>
        </r>
      </text>
    </comment>
    <comment ref="AI1" authorId="0" shapeId="0" xr:uid="{00000000-0006-0000-0100-000023000000}">
      <text>
        <r>
          <rPr>
            <sz val="11"/>
            <color theme="1"/>
            <rFont val="Calibri"/>
          </rPr>
          <t>DERIVED (formula recomputes)
Unit: log
log_target_lag_1 minus log_target_lag_4.</t>
        </r>
      </text>
    </comment>
    <comment ref="AJ1" authorId="0" shapeId="0" xr:uid="{00000000-0006-0000-0100-000024000000}">
      <text>
        <r>
          <rPr>
            <sz val="11"/>
            <color theme="1"/>
            <rFont val="Calibri"/>
          </rPr>
          <t>DERIVED (formula recomputes)
Unit: log
log_real_diesel_price * log_real_light_ruc_price.</t>
        </r>
      </text>
    </comment>
    <comment ref="AK1" authorId="0" shapeId="0" xr:uid="{00000000-0006-0000-0100-000025000000}">
      <text>
        <r>
          <rPr>
            <sz val="11"/>
            <color theme="1"/>
            <rFont val="Calibri"/>
          </rPr>
          <t>DERIVED (formula recomputes)
Unit: log
log_real_gdp * post_2020_dummy.</t>
        </r>
      </text>
    </comment>
    <comment ref="AL1" authorId="0" shapeId="0" xr:uid="{00000000-0006-0000-0100-000026000000}">
      <text>
        <r>
          <rPr>
            <sz val="11"/>
            <color theme="1"/>
            <rFont val="Calibri"/>
          </rPr>
          <t>DERIVED (formula recomputes)
Unit: log
log_real_light_ruc_price * post_2020_dummy.</t>
        </r>
      </text>
    </comment>
    <comment ref="AM1" authorId="0" shapeId="0" xr:uid="{00000000-0006-0000-0100-000027000000}">
      <text>
        <r>
          <rPr>
            <sz val="11"/>
            <color theme="1"/>
            <rFont val="Calibri"/>
          </rPr>
          <t>DERIVED (formula recomputes)
Unit: log
log_real_diesel_price * post_2020_dummy.</t>
        </r>
      </text>
    </comment>
    <comment ref="AN1" authorId="0" shapeId="0" xr:uid="{00000000-0006-0000-0100-000028000000}">
      <text>
        <r>
          <rPr>
            <sz val="11"/>
            <color theme="1"/>
            <rFont val="Calibri"/>
          </rPr>
          <t>DERIVED (formula recomputes)
Equals trend_index.</t>
        </r>
      </text>
    </comment>
    <comment ref="AO1" authorId="0" shapeId="0" xr:uid="{00000000-0006-0000-0100-000029000000}">
      <text>
        <r>
          <rPr>
            <sz val="11"/>
            <color theme="1"/>
            <rFont val="Calibri"/>
          </rPr>
          <t>DERIVED (formula recomputes)
Unit: log
Quarterly change in log_real_diesel_price.</t>
        </r>
      </text>
    </comment>
    <comment ref="AP1" authorId="0" shapeId="0" xr:uid="{00000000-0006-0000-0100-00002A000000}">
      <text>
        <r>
          <rPr>
            <sz val="11"/>
            <color theme="1"/>
            <rFont val="Calibri"/>
          </rPr>
          <t>DERIVED (formula recomputes)
Unit: log
log_real_diesel_price one quarter earlier.</t>
        </r>
      </text>
    </comment>
    <comment ref="AQ1" authorId="0" shapeId="0" xr:uid="{00000000-0006-0000-0100-00002B000000}">
      <text>
        <r>
          <rPr>
            <sz val="11"/>
            <color theme="1"/>
            <rFont val="Calibri"/>
          </rPr>
          <t>DERIVED (formula recomputes)
Unit: log
log_real_diesel_price four quarters earlier.</t>
        </r>
      </text>
    </comment>
    <comment ref="AR1" authorId="0" shapeId="0" xr:uid="{00000000-0006-0000-0100-00002C000000}">
      <text>
        <r>
          <rPr>
            <sz val="11"/>
            <color theme="1"/>
            <rFont val="Calibri"/>
          </rPr>
          <t>DERIVED (formula recomputes)
Unit: log
Quarterly change in log_real_light_ruc_price.</t>
        </r>
      </text>
    </comment>
    <comment ref="AS1" authorId="0" shapeId="0" xr:uid="{00000000-0006-0000-0100-00002D000000}">
      <text>
        <r>
          <rPr>
            <sz val="11"/>
            <color theme="1"/>
            <rFont val="Calibri"/>
          </rPr>
          <t>DERIVED (formula recomputes)
Unit: log
log_real_light_ruc_price one quarter earlier.</t>
        </r>
      </text>
    </comment>
    <comment ref="AT1" authorId="0" shapeId="0" xr:uid="{00000000-0006-0000-0100-00002E000000}">
      <text>
        <r>
          <rPr>
            <sz val="11"/>
            <color theme="1"/>
            <rFont val="Calibri"/>
          </rPr>
          <t>DERIVED (formula recomputes)
Unit: log
log_real_light_ruc_price four quarters earlier.</t>
        </r>
      </text>
    </comment>
    <comment ref="AU1" authorId="0" shapeId="0" xr:uid="{00000000-0006-0000-0100-00002F000000}">
      <text>
        <r>
          <rPr>
            <sz val="11"/>
            <color theme="1"/>
            <rFont val="Calibri"/>
          </rPr>
          <t>DERIVED (formula recomputes)
Unit: log
Quarterly change in log_real_gdp.</t>
        </r>
      </text>
    </comment>
    <comment ref="AV1" authorId="0" shapeId="0" xr:uid="{00000000-0006-0000-0100-000030000000}">
      <text>
        <r>
          <rPr>
            <sz val="11"/>
            <color theme="1"/>
            <rFont val="Calibri"/>
          </rPr>
          <t>DERIVED (formula recomputes)
Unit: log
log_real_gdp one quarter earlier.</t>
        </r>
      </text>
    </comment>
    <comment ref="AW1" authorId="0" shapeId="0" xr:uid="{00000000-0006-0000-0100-000031000000}">
      <text>
        <r>
          <rPr>
            <sz val="11"/>
            <color theme="1"/>
            <rFont val="Calibri"/>
          </rPr>
          <t>DERIVED (formula recomputes)
Unit: log
log_real_gdp four quarters earlier.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NLTF model input sheet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</rPr>
          <t>IDENTIFIER (generated)
Quarter label.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</rPr>
          <t>IDENTIFIER (generated)
Quarter end month and year.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</rPr>
          <t>IDENTIFIER (generated)
Calendar year.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</rPr>
          <t>IDENTIFIER (generated)
Calendar quarter, 1-4.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</rPr>
          <t>IDENTIFIER (generated)
Sequential quarter index, 2002Q1 = 1.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</rPr>
          <t>IDENTIFIER (generated)
Time trend used by the fitted specs. Equals period_index.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</rPr>
          <t>INPUT (you fill this for 2026Q1)
Unit: km
Heavy RUC dependent variable: Heavy RUC distance purchased. Zero before 2009Q3.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</rPr>
          <t>DERIVED (formula recomputes)
Unit: log
Natural log of target.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</rPr>
          <t>DERIVED (formula recomputes)
Unit: km
Target one quarter earlier.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</rPr>
          <t>DERIVED (formula recomputes)
Unit: km
Target four quarters earlier.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</rPr>
          <t>DERIVED (formula recomputes)
Unit: log
Natural log of trend_index.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</rPr>
          <t>INPUT (you fill this for 2026Q1)
Unit: NZD
Nominal seasonally adjusted quarterly GDP.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</rPr>
          <t>INPUT (you fill this for 2026Q1)
Unit: index
Seasonally adjusted GDP deflator index.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</rPr>
          <t>DERIVED (formula recomputes)
Unit: ratio
2025Q4 deflator / this quarter's deflator.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</rPr>
          <t>DERIVED (formula recomputes)
Unit: NZD
nominal_gdp_sa_nzd * gdp_rebasing_factor.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</rPr>
          <t>DERIVED (formula recomputes)
Unit: log
Natural log of real_gdp_sa_nzd.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</rPr>
          <t>INPUT (you fill this for 2026Q1)
Unit: NZD
Heavy RUC revenue. Zero before 2009Q3.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</rPr>
          <t>DERIVED (formula recomputes)
Unit: NZD/1000km
heavy_ruc_revenue_nzd / target * 1000. Effective average nominal rate.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</rPr>
          <t>DERIVED (formula recomputes)
Unit: NZD/1000km
heavy_ruc_price_nominal_nzd_per_1000km * the Light RUC sheet cpi_rebasing_factor.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</rPr>
          <t>DERIVED (formula recomputes)
Unit: log
Natural log of real_heavy_ruc_price_nzd_per_1000km.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</rPr>
          <t>DERIVED (formula recomputes)
Unit: NZD/1000km
real_heavy_ruc_price_nzd_per_1000km one quarter LATER. 2025Q4 stays blank until 2026Q1 is filled.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</rPr>
          <t>DERIVED (formula recomputes)
Unit: log
Natural log of the lead real Heavy RUC price.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</rPr>
          <t>DERIVED (formula recomputes)
Unit: 0/1
1 when quarter is 2.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</rPr>
          <t>DERIVED (formula recomputes)
Unit: 0/1
1 when quarter is 3.</t>
        </r>
      </text>
    </comment>
    <comment ref="Y1" authorId="0" shapeId="0" xr:uid="{00000000-0006-0000-0200-000019000000}">
      <text>
        <r>
          <rPr>
            <sz val="11"/>
            <color theme="1"/>
            <rFont val="Calibri"/>
          </rPr>
          <t>DERIVED (formula recomputes)
Unit: 0/1
1 when quarter is 4.</t>
        </r>
      </text>
    </comment>
    <comment ref="Z1" authorId="0" shapeId="0" xr:uid="{00000000-0006-0000-0200-00001A000000}">
      <text>
        <r>
          <rPr>
            <sz val="11"/>
            <color theme="1"/>
            <rFont val="Calibri"/>
          </rPr>
          <t>NOTE (free text)
Provenance status for the row.</t>
        </r>
      </text>
    </comment>
    <comment ref="AA1" authorId="0" shapeId="0" xr:uid="{00000000-0006-0000-0200-00001B000000}">
      <text>
        <r>
          <rPr>
            <sz val="11"/>
            <color theme="1"/>
            <rFont val="Calibri"/>
          </rPr>
          <t>NOTE (free text)
Free-text provenance note.</t>
        </r>
      </text>
    </comment>
    <comment ref="AB1" authorId="0" shapeId="0" xr:uid="{00000000-0006-0000-0200-00001C000000}">
      <text>
        <r>
          <rPr>
            <sz val="11"/>
            <color theme="1"/>
            <rFont val="Calibri"/>
          </rPr>
          <t>DERIVED (formula recomputes)
Unit: cents/litre
Pulled from the Light RUC Inputs sheet, same row.</t>
        </r>
      </text>
    </comment>
    <comment ref="AC1" authorId="0" shapeId="0" xr:uid="{00000000-0006-0000-0200-00001D000000}">
      <text>
        <r>
          <rPr>
            <sz val="11"/>
            <color theme="1"/>
            <rFont val="Calibri"/>
          </rPr>
          <t>DERIVED (formula recomputes)
Unit: log
Natural log of real_diesel_price_cents_per_litre.</t>
        </r>
      </text>
    </comment>
    <comment ref="AD1" authorId="0" shapeId="0" xr:uid="{00000000-0006-0000-0200-00001E000000}">
      <text>
        <r>
          <rPr>
            <sz val="11"/>
            <color theme="1"/>
            <rFont val="Calibri"/>
          </rPr>
          <t>DERIVED (formula recomputes)
Unit: NZD/1000km
Pulled from the Light RUC Inputs sheet, same row.</t>
        </r>
      </text>
    </comment>
    <comment ref="AE1" authorId="0" shapeId="0" xr:uid="{00000000-0006-0000-0200-00001F000000}">
      <text>
        <r>
          <rPr>
            <sz val="11"/>
            <color theme="1"/>
            <rFont val="Calibri"/>
          </rPr>
          <t>DERIVED (formula recomputes)
Unit: NZD/1000km
real_light_ruc_price_nzd_per_1000km one quarter earlier.</t>
        </r>
      </text>
    </comment>
    <comment ref="AF1" authorId="0" shapeId="0" xr:uid="{00000000-0006-0000-0200-000020000000}">
      <text>
        <r>
          <rPr>
            <sz val="11"/>
            <color theme="1"/>
            <rFont val="Calibri"/>
          </rPr>
          <t>DERIVED (formula recomputes)
Unit: log
Natural log of real_light_ruc_price_nzd_per_1000km.</t>
        </r>
      </text>
    </comment>
    <comment ref="AG1" authorId="0" shapeId="0" xr:uid="{00000000-0006-0000-0200-000021000000}">
      <text>
        <r>
          <rPr>
            <sz val="11"/>
            <color theme="1"/>
            <rFont val="Calibri"/>
          </rPr>
          <t>DERIVED (formula recomputes)
Unit: log
Natural log of the lagged real Light RUC price.</t>
        </r>
      </text>
    </comment>
    <comment ref="AH1" authorId="0" shapeId="0" xr:uid="{00000000-0006-0000-0200-000022000000}">
      <text>
        <r>
          <rPr>
            <sz val="11"/>
            <color theme="1"/>
            <rFont val="Calibri"/>
          </rPr>
          <t>DERIVED (formula recomputes)
Unit: fraction
Pulled from the PED Inputs sheet, same row.</t>
        </r>
      </text>
    </comment>
    <comment ref="AI1" authorId="0" shapeId="0" xr:uid="{00000000-0006-0000-0200-000023000000}">
      <text>
        <r>
          <rPr>
            <sz val="11"/>
            <color theme="1"/>
            <rFont val="Calibri"/>
          </rPr>
          <t>DERIVED (formula recomputes)
Unit: log
Natural log of unemployment_rate.</t>
        </r>
      </text>
    </comment>
    <comment ref="AJ1" authorId="0" shapeId="0" xr:uid="{00000000-0006-0000-0200-000024000000}">
      <text>
        <r>
          <rPr>
            <sz val="11"/>
            <color theme="1"/>
            <rFont val="Calibri"/>
          </rPr>
          <t>DERIVED (formula recomputes)
Unit: log
Natural log of target_lag_1.</t>
        </r>
      </text>
    </comment>
    <comment ref="AK1" authorId="0" shapeId="0" xr:uid="{00000000-0006-0000-0200-000025000000}">
      <text>
        <r>
          <rPr>
            <sz val="11"/>
            <color theme="1"/>
            <rFont val="Calibri"/>
          </rPr>
          <t>DERIVED (formula recomputes)
Unit: log
Natural log of target_lag_4.</t>
        </r>
      </text>
    </comment>
    <comment ref="AL1" authorId="0" shapeId="0" xr:uid="{00000000-0006-0000-0200-000026000000}">
      <text>
        <r>
          <rPr>
            <sz val="11"/>
            <color theme="1"/>
            <rFont val="Calibri"/>
          </rPr>
          <t>DERIVED (formula recomputes)
Unit: log
log_target_lag_1 minus log_target_lag_4.</t>
        </r>
      </text>
    </comment>
    <comment ref="U97" authorId="0" shapeId="0" xr:uid="{00000000-0006-0000-0200-000027000000}">
      <text>
        <r>
          <rPr>
            <sz val="11"/>
            <color theme="1"/>
            <rFont val="Calibri"/>
          </rPr>
          <t>Source workbook carried a placeholder 0 here. Replaced with a formula that fills once the 2026Q1 Heavy RUC revenue and volume are entered.</t>
        </r>
      </text>
    </comment>
  </commentList>
</comments>
</file>

<file path=xl/sharedStrings.xml><?xml version="1.0" encoding="utf-8"?>
<sst xmlns="http://schemas.openxmlformats.org/spreadsheetml/2006/main" count="2787" uniqueCount="732">
  <si>
    <t>period</t>
  </si>
  <si>
    <t>period_label</t>
  </si>
  <si>
    <t>year</t>
  </si>
  <si>
    <t>quarter</t>
  </si>
  <si>
    <t>period_index</t>
  </si>
  <si>
    <t>trend_index</t>
  </si>
  <si>
    <t>target</t>
  </si>
  <si>
    <t>log_target</t>
  </si>
  <si>
    <t>target_lag_1</t>
  </si>
  <si>
    <t>target_lag_4</t>
  </si>
  <si>
    <t>log_trend</t>
  </si>
  <si>
    <t>nominal_gdp_sa_nzd</t>
  </si>
  <si>
    <t>population</t>
  </si>
  <si>
    <t>nominal_gdp_per_capita_nzd</t>
  </si>
  <si>
    <t>gdp_deflator_sa</t>
  </si>
  <si>
    <t>gdp_rebasing_factor</t>
  </si>
  <si>
    <t>real_gdp_per_capita_nzd</t>
  </si>
  <si>
    <t>log_real_gdp_per_capita</t>
  </si>
  <si>
    <t>petrol_price_nominal_cents_per_litre</t>
  </si>
  <si>
    <t>cpi_rebasing_factor</t>
  </si>
  <si>
    <t>real_petrol_price_cents_per_litre</t>
  </si>
  <si>
    <t>log_real_petrol_price</t>
  </si>
  <si>
    <t>light_petrol_vkt_total_km</t>
  </si>
  <si>
    <t>log_total_vkt</t>
  </si>
  <si>
    <t>unemployment_percent</t>
  </si>
  <si>
    <t>unemployment_rate</t>
  </si>
  <si>
    <t>log_unemployment_rate</t>
  </si>
  <si>
    <t>post_2011_dummy</t>
  </si>
  <si>
    <t>dummy_2020</t>
  </si>
  <si>
    <t>post_2020_dummy</t>
  </si>
  <si>
    <t>q2_dummy</t>
  </si>
  <si>
    <t>q3_dummy</t>
  </si>
  <si>
    <t>q4_dummy</t>
  </si>
  <si>
    <t>post_2011_x_log_trend</t>
  </si>
  <si>
    <t>data_status</t>
  </si>
  <si>
    <t>notes</t>
  </si>
  <si>
    <t>log_target_lag_1</t>
  </si>
  <si>
    <t>log_target_lag_4</t>
  </si>
  <si>
    <t>diff_log_target_lag_1_lag_4</t>
  </si>
  <si>
    <t>2002Q1</t>
  </si>
  <si>
    <t>Mar 2002</t>
  </si>
  <si>
    <t>Historical official/source data</t>
  </si>
  <si>
    <t>No special note</t>
  </si>
  <si>
    <t>2002Q2</t>
  </si>
  <si>
    <t>Jun 2002</t>
  </si>
  <si>
    <t>2002Q3</t>
  </si>
  <si>
    <t>Sep 2002</t>
  </si>
  <si>
    <t>2002Q4</t>
  </si>
  <si>
    <t>Dec 2002</t>
  </si>
  <si>
    <t>2003Q1</t>
  </si>
  <si>
    <t>Mar 2003</t>
  </si>
  <si>
    <t>2003Q2</t>
  </si>
  <si>
    <t>Jun 2003</t>
  </si>
  <si>
    <t>2003Q3</t>
  </si>
  <si>
    <t>Sep 2003</t>
  </si>
  <si>
    <t>2003Q4</t>
  </si>
  <si>
    <t>Dec 2003</t>
  </si>
  <si>
    <t>2004Q1</t>
  </si>
  <si>
    <t>Mar 2004</t>
  </si>
  <si>
    <t>2004Q2</t>
  </si>
  <si>
    <t>Jun 2004</t>
  </si>
  <si>
    <t>2004Q3</t>
  </si>
  <si>
    <t>Sep 2004</t>
  </si>
  <si>
    <t>2004Q4</t>
  </si>
  <si>
    <t>Dec 2004</t>
  </si>
  <si>
    <t>2005Q1</t>
  </si>
  <si>
    <t>Mar 2005</t>
  </si>
  <si>
    <t>2005Q2</t>
  </si>
  <si>
    <t>Jun 2005</t>
  </si>
  <si>
    <t>2005Q3</t>
  </si>
  <si>
    <t>Sep 2005</t>
  </si>
  <si>
    <t>2005Q4</t>
  </si>
  <si>
    <t>Dec 2005</t>
  </si>
  <si>
    <t>2006Q1</t>
  </si>
  <si>
    <t>Mar 2006</t>
  </si>
  <si>
    <t>2006Q2</t>
  </si>
  <si>
    <t>Jun 2006</t>
  </si>
  <si>
    <t>2006Q3</t>
  </si>
  <si>
    <t>Sep 2006</t>
  </si>
  <si>
    <t>2006Q4</t>
  </si>
  <si>
    <t>Dec 2006</t>
  </si>
  <si>
    <t>2007Q1</t>
  </si>
  <si>
    <t>Mar 2007</t>
  </si>
  <si>
    <t>2007Q2</t>
  </si>
  <si>
    <t>Jun 2007</t>
  </si>
  <si>
    <t>2007Q3</t>
  </si>
  <si>
    <t>Sep 2007</t>
  </si>
  <si>
    <t>2007Q4</t>
  </si>
  <si>
    <t>Dec 2007</t>
  </si>
  <si>
    <t>2008Q1</t>
  </si>
  <si>
    <t>Mar 2008</t>
  </si>
  <si>
    <t>2008Q2</t>
  </si>
  <si>
    <t>Jun 2008</t>
  </si>
  <si>
    <t>2008Q3</t>
  </si>
  <si>
    <t>Sep 2008</t>
  </si>
  <si>
    <t>2008Q4</t>
  </si>
  <si>
    <t>Dec 2008</t>
  </si>
  <si>
    <t>2009Q1</t>
  </si>
  <si>
    <t>Mar 2009</t>
  </si>
  <si>
    <t>2009Q2</t>
  </si>
  <si>
    <t>Jun 2009</t>
  </si>
  <si>
    <t>2009Q3</t>
  </si>
  <si>
    <t>Sep 2009</t>
  </si>
  <si>
    <t>2009Q4</t>
  </si>
  <si>
    <t>Dec 2009</t>
  </si>
  <si>
    <t>2010Q1</t>
  </si>
  <si>
    <t>Mar 2010</t>
  </si>
  <si>
    <t>2010Q2</t>
  </si>
  <si>
    <t>Jun 2010</t>
  </si>
  <si>
    <t>2010Q3</t>
  </si>
  <si>
    <t>Sep 2010</t>
  </si>
  <si>
    <t>2010Q4</t>
  </si>
  <si>
    <t>Dec 2010</t>
  </si>
  <si>
    <t>2011Q1</t>
  </si>
  <si>
    <t>Mar 2011</t>
  </si>
  <si>
    <t>2011Q2</t>
  </si>
  <si>
    <t>Jun 2011</t>
  </si>
  <si>
    <t>2011Q3</t>
  </si>
  <si>
    <t>Sep 2011</t>
  </si>
  <si>
    <t>2011Q4</t>
  </si>
  <si>
    <t>Dec 2011</t>
  </si>
  <si>
    <t>2012Q1</t>
  </si>
  <si>
    <t>Mar 2012</t>
  </si>
  <si>
    <t>2012Q2</t>
  </si>
  <si>
    <t>Jun 2012</t>
  </si>
  <si>
    <t>2012Q3</t>
  </si>
  <si>
    <t>Sep 2012</t>
  </si>
  <si>
    <t>2012Q4</t>
  </si>
  <si>
    <t>Dec 2012</t>
  </si>
  <si>
    <t>2013Q1</t>
  </si>
  <si>
    <t>Mar 2013</t>
  </si>
  <si>
    <t>2013Q2</t>
  </si>
  <si>
    <t>Jun 2013</t>
  </si>
  <si>
    <t>2013Q3</t>
  </si>
  <si>
    <t>Sep 2013</t>
  </si>
  <si>
    <t>2013Q4</t>
  </si>
  <si>
    <t>Dec 2013</t>
  </si>
  <si>
    <t>2014Q1</t>
  </si>
  <si>
    <t>Mar 2014</t>
  </si>
  <si>
    <t>2014Q2</t>
  </si>
  <si>
    <t>Jun 2014</t>
  </si>
  <si>
    <t>2014Q3</t>
  </si>
  <si>
    <t>Sep 2014</t>
  </si>
  <si>
    <t>2014Q4</t>
  </si>
  <si>
    <t>Dec 2014</t>
  </si>
  <si>
    <t>2015Q1</t>
  </si>
  <si>
    <t>Mar 2015</t>
  </si>
  <si>
    <t>2015Q2</t>
  </si>
  <si>
    <t>Jun 2015</t>
  </si>
  <si>
    <t>2015Q3</t>
  </si>
  <si>
    <t>Sep 2015</t>
  </si>
  <si>
    <t>2015Q4</t>
  </si>
  <si>
    <t>Dec 2015</t>
  </si>
  <si>
    <t>2016Q1</t>
  </si>
  <si>
    <t>Mar 2016</t>
  </si>
  <si>
    <t>2016Q2</t>
  </si>
  <si>
    <t>Jun 2016</t>
  </si>
  <si>
    <t>2016Q3</t>
  </si>
  <si>
    <t>Sep 2016</t>
  </si>
  <si>
    <t>2016Q4</t>
  </si>
  <si>
    <t>Dec 2016</t>
  </si>
  <si>
    <t>2017Q1</t>
  </si>
  <si>
    <t>Mar 2017</t>
  </si>
  <si>
    <t>2017Q2</t>
  </si>
  <si>
    <t>Jun 2017</t>
  </si>
  <si>
    <t>2017Q3</t>
  </si>
  <si>
    <t>Sep 2017</t>
  </si>
  <si>
    <t>2017Q4</t>
  </si>
  <si>
    <t>Dec 2017</t>
  </si>
  <si>
    <t>2018Q1</t>
  </si>
  <si>
    <t>Mar 2018</t>
  </si>
  <si>
    <t>2018Q2</t>
  </si>
  <si>
    <t>Jun 2018</t>
  </si>
  <si>
    <t>2018Q3</t>
  </si>
  <si>
    <t>Sep 2018</t>
  </si>
  <si>
    <t>2018Q4</t>
  </si>
  <si>
    <t>Dec 2018</t>
  </si>
  <si>
    <t>2019Q1</t>
  </si>
  <si>
    <t>Mar 2019</t>
  </si>
  <si>
    <t>2019Q2</t>
  </si>
  <si>
    <t>Jun 2019</t>
  </si>
  <si>
    <t>2019Q3</t>
  </si>
  <si>
    <t>Sep 2019</t>
  </si>
  <si>
    <t>2019Q4</t>
  </si>
  <si>
    <t>Dec 2019</t>
  </si>
  <si>
    <t>2020Q1</t>
  </si>
  <si>
    <t>Mar 2020</t>
  </si>
  <si>
    <t>2020Q2</t>
  </si>
  <si>
    <t>Jun 2020</t>
  </si>
  <si>
    <t>2020Q3</t>
  </si>
  <si>
    <t>Sep 2020</t>
  </si>
  <si>
    <t>2020Q4</t>
  </si>
  <si>
    <t>Dec 2020</t>
  </si>
  <si>
    <t>2021Q1</t>
  </si>
  <si>
    <t>Mar 2021</t>
  </si>
  <si>
    <t>2021Q2</t>
  </si>
  <si>
    <t>Jun 2021</t>
  </si>
  <si>
    <t>2021Q3</t>
  </si>
  <si>
    <t>Sep 2021</t>
  </si>
  <si>
    <t>2021Q4</t>
  </si>
  <si>
    <t>Dec 2021</t>
  </si>
  <si>
    <t>2022Q1</t>
  </si>
  <si>
    <t>Mar 2022</t>
  </si>
  <si>
    <t>2022Q2</t>
  </si>
  <si>
    <t>Jun 2022</t>
  </si>
  <si>
    <t>2022Q3</t>
  </si>
  <si>
    <t>Sep 2022</t>
  </si>
  <si>
    <t>2022Q4</t>
  </si>
  <si>
    <t>Dec 2022</t>
  </si>
  <si>
    <t>2023Q1</t>
  </si>
  <si>
    <t>Mar 2023</t>
  </si>
  <si>
    <t>2023Q2</t>
  </si>
  <si>
    <t>Jun 2023</t>
  </si>
  <si>
    <t>2023Q3</t>
  </si>
  <si>
    <t>Sep 2023</t>
  </si>
  <si>
    <t>2023Q4</t>
  </si>
  <si>
    <t>Dec 2023</t>
  </si>
  <si>
    <t>2024Q1</t>
  </si>
  <si>
    <t>Mar 2024</t>
  </si>
  <si>
    <t>2024Q2</t>
  </si>
  <si>
    <t>Jun 2024</t>
  </si>
  <si>
    <t>2024Q3</t>
  </si>
  <si>
    <t>Sep 2024</t>
  </si>
  <si>
    <t>2024Q4</t>
  </si>
  <si>
    <t>Dec 2024</t>
  </si>
  <si>
    <t>2025Q1</t>
  </si>
  <si>
    <t>Mar 2025</t>
  </si>
  <si>
    <t>2025Q2</t>
  </si>
  <si>
    <t>Jun 2025</t>
  </si>
  <si>
    <t>2025Q3</t>
  </si>
  <si>
    <t>Sep 2025</t>
  </si>
  <si>
    <t>2025Q4</t>
  </si>
  <si>
    <t>Dec 2025</t>
  </si>
  <si>
    <t>Latest full official quarter for GDP, population, labour and RUC/VKT inputs. Fuel prices refreshed from Stats NZ CPI detailed table.</t>
  </si>
  <si>
    <t>2026Q1</t>
  </si>
  <si>
    <t>Mar 2026</t>
  </si>
  <si>
    <t>Provisional quarterly PED bridge; macro inputs are official Q1 actuals</t>
  </si>
  <si>
    <t>PED target is petrol-only VKT per capita. No direct national quarterly petrol-only VKT actual was found. Q1 is provisionally bridged from MBU26 FY2026 Light petrol VKT after deducting 2025Q3/Q4 actual VKT, then allocating the remaining Q1/Q2 total by exact Core Data Gross PED revenue. Do not label or train on this as an independently observed actual without an explicit governance override.</t>
  </si>
  <si>
    <t>real_gdp_sa_nzd</t>
  </si>
  <si>
    <t>log_real_gdp</t>
  </si>
  <si>
    <t>diesel_price_nominal_cents_per_litre</t>
  </si>
  <si>
    <t>real_diesel_price_cents_per_litre</t>
  </si>
  <si>
    <t>log_real_diesel_price</t>
  </si>
  <si>
    <t>light_ruc_revenue_nzd</t>
  </si>
  <si>
    <t>light_ruc_price_nominal_nzd_per_1000km</t>
  </si>
  <si>
    <t>real_light_ruc_price_nzd_per_1000km</t>
  </si>
  <si>
    <t>log_real_light_ruc_price</t>
  </si>
  <si>
    <t>lagged_real_light_ruc_price_nzd_per_1000km</t>
  </si>
  <si>
    <t>log_lagged_real_light_ruc_price</t>
  </si>
  <si>
    <t>diesel_x_ruc_price</t>
  </si>
  <si>
    <t>gdp_x_post2020</t>
  </si>
  <si>
    <t>ruc_x_post2020</t>
  </si>
  <si>
    <t>diesel_x_post2020</t>
  </si>
  <si>
    <t>time_trend</t>
  </si>
  <si>
    <t>log_real_diesel_price_diff1</t>
  </si>
  <si>
    <t>log_real_diesel_price_lag1</t>
  </si>
  <si>
    <t>log_real_diesel_price_lag4</t>
  </si>
  <si>
    <t>log_real_light_ruc_price_diff1</t>
  </si>
  <si>
    <t>log_real_light_ruc_price_lag1</t>
  </si>
  <si>
    <t>log_real_light_ruc_price_lag4</t>
  </si>
  <si>
    <t>log_real_gdp_diff1</t>
  </si>
  <si>
    <t>log_real_gdp_lag1</t>
  </si>
  <si>
    <t>log_real_gdp_lag4</t>
  </si>
  <si>
    <t>Q1 target and revenue are exact Core Data conventional Light RUC actuals: N77 and B77. Effective nominal/real RUC price equals revenue divided by net km times 1,000. Macro inputs use published Q1 quarterly actual movements while preserving the workbook's prior GDP level vintage.</t>
  </si>
  <si>
    <t>heavy_ruc_revenue_nzd</t>
  </si>
  <si>
    <t>heavy_ruc_price_nominal_nzd_per_1000km</t>
  </si>
  <si>
    <t>real_heavy_ruc_price_nzd_per_1000km</t>
  </si>
  <si>
    <t>log_real_heavy_ruc_price</t>
  </si>
  <si>
    <t>lead_real_heavy_ruc_price_nzd_per_1000km</t>
  </si>
  <si>
    <t>log_lead_real_heavy_ruc_price</t>
  </si>
  <si>
    <t>Q1 target and revenue are exact Core Data conventional Heavy RUC actuals: O77 and C77. The Q1 effective price is revenue divided by net km times 1,000. The required one-quarter lead uses exact Q2 Core Data C78/O78, rebased from June CPI 1359 into the March-2026 CPI base 1339.</t>
  </si>
  <si>
    <t>Q1 2026 completed model-input rows</t>
  </si>
  <si>
    <t>Blue font = sourced/hardcoded input; green font = prior-quarter or cross-stream workbook lineage; black font = calculated value. The PED target/VKT cells are yellow because they are a provisional bridge, not an independently observed actual.</t>
  </si>
  <si>
    <t>PED — 2026Q1</t>
  </si>
  <si>
    <t>Light RUC — 2026Q1</t>
  </si>
  <si>
    <t>Heavy RUC — 2026Q1</t>
  </si>
  <si>
    <t>Q1 2026 column-by-column lineage and replacement rules</t>
  </si>
  <si>
    <t>Every populated model column is mapped below. Only a small set of raw source fields should be ingested; logs, lags, interactions, real-price conversions and per-capita calculations should be generated automatically.</t>
  </si>
  <si>
    <t>Stream</t>
  </si>
  <si>
    <t>Cell</t>
  </si>
  <si>
    <t>Model column</t>
  </si>
  <si>
    <t>Q1 2026 value</t>
  </si>
  <si>
    <t>Units</t>
  </si>
  <si>
    <t>Input class</t>
  </si>
  <si>
    <t>Status</t>
  </si>
  <si>
    <t>Primary source</t>
  </si>
  <si>
    <t>Quarterly method / formula</t>
  </si>
  <si>
    <t>Source URL or workbook</t>
  </si>
  <si>
    <t>Replacement / refresh rule</t>
  </si>
  <si>
    <t>PED</t>
  </si>
  <si>
    <t>PED Inputs!A98</t>
  </si>
  <si>
    <t>text</t>
  </si>
  <si>
    <t>System / deterministic</t>
  </si>
  <si>
    <t>System</t>
  </si>
  <si>
    <t>Model calendar</t>
  </si>
  <si>
    <t>Derived from period 2026Q1 and sequential index 97.</t>
  </si>
  <si>
    <t>https://github.com/AdrianD234/NLTF-revenue-ML-model-dashboard/blob/main/scripts/build_model_input_history.py</t>
  </si>
  <si>
    <t>Regenerate; never source manually.</t>
  </si>
  <si>
    <t>PED Inputs!B98</t>
  </si>
  <si>
    <t>PED Inputs!C98</t>
  </si>
  <si>
    <t>index/count</t>
  </si>
  <si>
    <t>PED Inputs!D98</t>
  </si>
  <si>
    <t>PED Inputs!E98</t>
  </si>
  <si>
    <t>PED Inputs!F98</t>
  </si>
  <si>
    <t>PED Inputs!G98</t>
  </si>
  <si>
    <t>km/person</t>
  </si>
  <si>
    <t>Provisional quarterly bridge</t>
  </si>
  <si>
    <t>Provisional—not independently observed</t>
  </si>
  <si>
    <t>MBU26 annual spine + Core Data</t>
  </si>
  <si>
    <t>FY2026 annual petrol-only VKT less 2025Q3/Q4 actual VKT; split Q1/Q2 by exact Gross PED revenue S77:S78; target = Q1 VKT / Q1 population.</t>
  </si>
  <si>
    <t>https://github.com/AdrianD234/NLTF-revenue-ML-model-dashboard/blob/main/data/revenue_model_source_pack/mbu26_annual_spine/mbu26_annual_spine.csv | /mnt/data/NLTF Core Data Report -Jun 2026 (1).xlsx</t>
  </si>
  <si>
    <t>Replace immediately if MoT/NZTA publishes an exact national Q1 petrol-only VKT observation. Exclude from re-estimation by default.</t>
  </si>
  <si>
    <t>PED Inputs!H98</t>
  </si>
  <si>
    <t>natural-log / dimensionless</t>
  </si>
  <si>
    <t>Derived model feature</t>
  </si>
  <si>
    <t>Derived exact</t>
  </si>
  <si>
    <t>Same-row source variables</t>
  </si>
  <si>
    <t>Natural log, first difference, lag, or multiplicative interaction using the governed feature definition.</t>
  </si>
  <si>
    <t>Generate in code with parity tests against the historical workbook; do not ask users to type feature-engineered columns.</t>
  </si>
  <si>
    <t>PED Inputs!I98</t>
  </si>
  <si>
    <t>Historical lag</t>
  </si>
  <si>
    <t>Historical actual</t>
  </si>
  <si>
    <t>NLTF_model_input_sheet_actuals_to_2025Q4.xlsx</t>
  </si>
  <si>
    <t>Copied from the exact prior-quarter or four-quarter historical observation; logs are calculated from those values.</t>
  </si>
  <si>
    <t>/mnt/data/NLTF_model_input_sheet_actuals_to_2025Q4.xlsx</t>
  </si>
  <si>
    <t>Refresh automatically from the appended history, never re-key.</t>
  </si>
  <si>
    <t>PED Inputs!J98</t>
  </si>
  <si>
    <t>PED Inputs!K98</t>
  </si>
  <si>
    <t>PED Inputs!L98</t>
  </si>
  <si>
    <t>NZD</t>
  </si>
  <si>
    <t>Quarterly macro actual, vintage-linked</t>
  </si>
  <si>
    <t>Published quarterly actual growth</t>
  </si>
  <si>
    <t>RBNZ M5 / Stats NZ</t>
  </si>
  <si>
    <t>Q4 workbook level × (1 + March-2026 nominal GDP q/q SA growth of 1.4%).</t>
  </si>
  <si>
    <t>https://www.rbnz.govt.nz/statistics/series/economic-indicators/gross-domestic-product</t>
  </si>
  <si>
    <t>On refresh, chain the latest official nominal q/q SA growth onto the last accepted workbook-vintage level, or perform a governed full-history rebase.</t>
  </si>
  <si>
    <t>PED Inputs!M98</t>
  </si>
  <si>
    <t>persons</t>
  </si>
  <si>
    <t>Raw external actual</t>
  </si>
  <si>
    <t>Published quarterly actual</t>
  </si>
  <si>
    <t>RBNZ M12 / Stats NZ</t>
  </si>
  <si>
    <t>March-2026 estimated resident population: 5,361,300.</t>
  </si>
  <si>
    <t>https://www.rbnz.govt.nz/statistics/series/economic-indicators/population-and-migration</t>
  </si>
  <si>
    <t>Replace with later final population estimate only through a governed vintage refresh.</t>
  </si>
  <si>
    <t>PED Inputs!N98</t>
  </si>
  <si>
    <t>NZD/person</t>
  </si>
  <si>
    <t>Derived macro field</t>
  </si>
  <si>
    <t>GDP, deflator and population inputs</t>
  </si>
  <si>
    <t>Reproduce the existing workbook formulas: rebase nominal GDP with the GDP-deflator factor; divide by population for per-capita fields; natural-log positive levels.</t>
  </si>
  <si>
    <t>https://www.rbnz.govt.nz/statistics/series/economic-indicators/gross-domestic-product | https://www.rbnz.govt.nz/statistics/series/economic-indicators/population-and-migration</t>
  </si>
  <si>
    <t>Calculate centrally; do not request these as separate uploads.</t>
  </si>
  <si>
    <t>PED Inputs!O98</t>
  </si>
  <si>
    <t>index</t>
  </si>
  <si>
    <t>Quarterly macro actual, reconciled</t>
  </si>
  <si>
    <t>Derived from published quarterly actuals</t>
  </si>
  <si>
    <t>Q4 deflator × (1 + nominal q/q SA growth) / (1 + real q/q SA growth), so nominal and real GDP reconcile exactly.</t>
  </si>
  <si>
    <t>Use the same vintage-link rule unless the entire GDP history is rebased together.</t>
  </si>
  <si>
    <t>PED Inputs!P98</t>
  </si>
  <si>
    <t>factor</t>
  </si>
  <si>
    <t>PED Inputs!Q98</t>
  </si>
  <si>
    <t>PED Inputs!R98</t>
  </si>
  <si>
    <t>PED Inputs!S98</t>
  </si>
  <si>
    <t>cents/litre</t>
  </si>
  <si>
    <t>Raw external quarterly price</t>
  </si>
  <si>
    <t>Published quarterly average / source-pack value</t>
  </si>
  <si>
    <t>MBIE energy prices + current model source pack</t>
  </si>
  <si>
    <t>March-2026 quarterly average in cents/litre; current source pack contains petrol 269.8 and diesel 214.6.</t>
  </si>
  <si>
    <t>https://www.mbie.govt.nz/building-and-energy/energy-and-natural-resources/energy-statistics-and-modelling/energy-statistics/energy-prices | https://github.com/AdrianD234/NLTF-revenue-ML-model-dashboard/blob/main/data/engine_ar1/current_revenue_outlook/scenario_inputs/scenario_input_wide.csv</t>
  </si>
  <si>
    <t>Replace only from the accepted MBIE/Stats NZ quarterly price extract; retain the CPI vintage used for real-price conversion.</t>
  </si>
  <si>
    <t>PED Inputs!T98</t>
  </si>
  <si>
    <t>Derived price-base factor</t>
  </si>
  <si>
    <t>RBNZ M1 / Stats NZ</t>
  </si>
  <si>
    <t>March 2026 is the real-price base quarter, so CPI rebasing factor = 1339 / 1339 = 1.</t>
  </si>
  <si>
    <t>https://www.rbnz.govt.nz/statistics/series/economic-indicators/prices</t>
  </si>
  <si>
    <t>Recompute for every quarter as base-quarter CPI divided by quarter CPI.</t>
  </si>
  <si>
    <t>PED Inputs!U98</t>
  </si>
  <si>
    <t>Derived real price</t>
  </si>
  <si>
    <t>Nominal price + RBNZ CPI</t>
  </si>
  <si>
    <t>Real price = nominal price × CPI rebasing factor. Q1 factor is 1 because March 2026 is the base.</t>
  </si>
  <si>
    <t>Recompute whenever CPI or the real-price base quarter changes.</t>
  </si>
  <si>
    <t>PED Inputs!V98</t>
  </si>
  <si>
    <t>PED Inputs!W98</t>
  </si>
  <si>
    <t>km</t>
  </si>
  <si>
    <t>PED Inputs!X98</t>
  </si>
  <si>
    <t>PED Inputs!Y98</t>
  </si>
  <si>
    <t>%</t>
  </si>
  <si>
    <t>RBNZ M9 / Stats NZ</t>
  </si>
  <si>
    <t>March-2026 seasonally adjusted unemployment = 5.3%; decimal rate = 5.3 / 100.</t>
  </si>
  <si>
    <t>https://www.rbnz.govt.nz/statistics/series/economic-indicators/labour-market</t>
  </si>
  <si>
    <t>Use the latest accepted HLFS quarterly vintage.</t>
  </si>
  <si>
    <t>PED Inputs!Z98</t>
  </si>
  <si>
    <t>decimal rate</t>
  </si>
  <si>
    <t>Derived</t>
  </si>
  <si>
    <t>PED Inputs!AA98</t>
  </si>
  <si>
    <t>PED Inputs!AB98</t>
  </si>
  <si>
    <t>0/1</t>
  </si>
  <si>
    <t>PED Inputs!AC98</t>
  </si>
  <si>
    <t>derived / model units</t>
  </si>
  <si>
    <t>PED Inputs!AD98</t>
  </si>
  <si>
    <t>PED Inputs!AE98</t>
  </si>
  <si>
    <t>PED Inputs!AF98</t>
  </si>
  <si>
    <t>PED Inputs!AG98</t>
  </si>
  <si>
    <t>PED Inputs!AH98</t>
  </si>
  <si>
    <t>PED Inputs!AI98</t>
  </si>
  <si>
    <t>Governance metadata</t>
  </si>
  <si>
    <t>Governance flag</t>
  </si>
  <si>
    <t>This workbook</t>
  </si>
  <si>
    <t>Documents whether the observation is exact, derived, or provisional.</t>
  </si>
  <si>
    <t>Preserve through CSV/parquet materialisation.</t>
  </si>
  <si>
    <t>PED Inputs!AJ98</t>
  </si>
  <si>
    <t>PED Inputs!AK98</t>
  </si>
  <si>
    <t>PED Inputs!AL98</t>
  </si>
  <si>
    <t>PED Inputs!AM98</t>
  </si>
  <si>
    <t>LIGHT_RUC</t>
  </si>
  <si>
    <t>Light RUC Inputs!A98</t>
  </si>
  <si>
    <t>Light RUC Inputs!B98</t>
  </si>
  <si>
    <t>Light RUC Inputs!C98</t>
  </si>
  <si>
    <t>Light RUC Inputs!D98</t>
  </si>
  <si>
    <t>Light RUC Inputs!E98</t>
  </si>
  <si>
    <t>Light RUC Inputs!F98</t>
  </si>
  <si>
    <t>Light RUC Inputs!G98</t>
  </si>
  <si>
    <t>Raw internal actual</t>
  </si>
  <si>
    <t>Exact Core Data actual</t>
  </si>
  <si>
    <t>NLTF Core Data Report - Jun 2026</t>
  </si>
  <si>
    <t>Use Net RUC KM 1–6T, Q3/Mar-26, cell N77. This matches the historical conventional Light RUC target definition.</t>
  </si>
  <si>
    <t>/mnt/data/NLTF Core Data Report -Jun 2026 (1).xlsx</t>
  </si>
  <si>
    <t>Never add BEV or PHEV km to the model target unless target semantics are formally changed and history is rebuilt.</t>
  </si>
  <si>
    <t>Light RUC Inputs!H98</t>
  </si>
  <si>
    <t>Light RUC Inputs!I98</t>
  </si>
  <si>
    <t>Light RUC Inputs!J98</t>
  </si>
  <si>
    <t>Light RUC Inputs!K98</t>
  </si>
  <si>
    <t>Light RUC Inputs!L98</t>
  </si>
  <si>
    <t>Light RUC Inputs!M98</t>
  </si>
  <si>
    <t>Light RUC Inputs!N98</t>
  </si>
  <si>
    <t>Light RUC Inputs!O98</t>
  </si>
  <si>
    <t>Light RUC Inputs!P98</t>
  </si>
  <si>
    <t>Light RUC Inputs!Q98</t>
  </si>
  <si>
    <t>Light RUC Inputs!R98</t>
  </si>
  <si>
    <t>Light RUC Inputs!S98</t>
  </si>
  <si>
    <t>Light RUC Inputs!T98</t>
  </si>
  <si>
    <t>Light RUC Inputs!U98</t>
  </si>
  <si>
    <t>Use Net RUC Revenue 1–6T (GST inclusive), Q3/Mar-26, cell B77.</t>
  </si>
  <si>
    <t>Use the same Core Data column every quarter.</t>
  </si>
  <si>
    <t>Light RUC Inputs!V98</t>
  </si>
  <si>
    <t>NZD/1,000 km</t>
  </si>
  <si>
    <t>Derived effective rate</t>
  </si>
  <si>
    <t>Core Data revenue and net km</t>
  </si>
  <si>
    <t>Quarterly effective nominal price = matching net revenue / matching net km × 1,000.</t>
  </si>
  <si>
    <t>Fail validation unless the reconstructed identity matches within 1e-9 relative tolerance.</t>
  </si>
  <si>
    <t>Light RUC Inputs!W98</t>
  </si>
  <si>
    <t>Light RUC Inputs!X98</t>
  </si>
  <si>
    <t>Light RUC Inputs!Y98</t>
  </si>
  <si>
    <t>Light RUC Inputs!Z98</t>
  </si>
  <si>
    <t>Light RUC Inputs!AA98</t>
  </si>
  <si>
    <t>Light RUC Inputs!AB98</t>
  </si>
  <si>
    <t>Light RUC Inputs!AC98</t>
  </si>
  <si>
    <t>Light RUC Inputs!AD98</t>
  </si>
  <si>
    <t>Light RUC Inputs!AE98</t>
  </si>
  <si>
    <t>Light RUC Inputs!AF98</t>
  </si>
  <si>
    <t>Light RUC Inputs!AG98</t>
  </si>
  <si>
    <t>Light RUC Inputs!AH98</t>
  </si>
  <si>
    <t>Light RUC Inputs!AI98</t>
  </si>
  <si>
    <t>Light RUC Inputs!AJ98</t>
  </si>
  <si>
    <t>Light RUC Inputs!AK98</t>
  </si>
  <si>
    <t>Light RUC Inputs!AL98</t>
  </si>
  <si>
    <t>Light RUC Inputs!AM98</t>
  </si>
  <si>
    <t>Light RUC Inputs!AN98</t>
  </si>
  <si>
    <t>Light RUC Inputs!AO98</t>
  </si>
  <si>
    <t>Light RUC Inputs!AP98</t>
  </si>
  <si>
    <t>Light RUC Inputs!AQ98</t>
  </si>
  <si>
    <t>Light RUC Inputs!AR98</t>
  </si>
  <si>
    <t>Light RUC Inputs!AS98</t>
  </si>
  <si>
    <t>Light RUC Inputs!AT98</t>
  </si>
  <si>
    <t>Light RUC Inputs!AU98</t>
  </si>
  <si>
    <t>Light RUC Inputs!AV98</t>
  </si>
  <si>
    <t>Light RUC Inputs!AW98</t>
  </si>
  <si>
    <t>HEAVY_RUC</t>
  </si>
  <si>
    <t>Heavy RUC Inputs!A98</t>
  </si>
  <si>
    <t>Heavy RUC Inputs!B98</t>
  </si>
  <si>
    <t>Heavy RUC Inputs!C98</t>
  </si>
  <si>
    <t>Heavy RUC Inputs!D98</t>
  </si>
  <si>
    <t>Heavy RUC Inputs!E98</t>
  </si>
  <si>
    <t>Heavy RUC Inputs!F98</t>
  </si>
  <si>
    <t>Heavy RUC Inputs!G98</t>
  </si>
  <si>
    <t>Use Net RUC KM &gt;6T, Q3/Mar-26, cell O77.</t>
  </si>
  <si>
    <t>Heavy RUC Inputs!H98</t>
  </si>
  <si>
    <t>Heavy RUC Inputs!I98</t>
  </si>
  <si>
    <t>Heavy RUC Inputs!J98</t>
  </si>
  <si>
    <t>Heavy RUC Inputs!K98</t>
  </si>
  <si>
    <t>Heavy RUC Inputs!L98</t>
  </si>
  <si>
    <t>Heavy RUC Inputs!M98</t>
  </si>
  <si>
    <t>Heavy RUC Inputs!N98</t>
  </si>
  <si>
    <t>Heavy RUC Inputs!O98</t>
  </si>
  <si>
    <t>Heavy RUC Inputs!P98</t>
  </si>
  <si>
    <t>Heavy RUC Inputs!Q98</t>
  </si>
  <si>
    <t>Use Net RUC Revenue &gt;6T, Q3/Mar-26, cell C77.</t>
  </si>
  <si>
    <t>Heavy RUC Inputs!R98</t>
  </si>
  <si>
    <t>Heavy RUC Inputs!S98</t>
  </si>
  <si>
    <t>Heavy RUC Inputs!T98</t>
  </si>
  <si>
    <t>Heavy RUC Inputs!U98</t>
  </si>
  <si>
    <t>Retrospective lead actual</t>
  </si>
  <si>
    <t>Exact Q2 actual, CPI-rebased</t>
  </si>
  <si>
    <t>NLTF Core Data Report + RBNZ M1</t>
  </si>
  <si>
    <t>Q2 effective Heavy price = C78/O78×1,000; multiply by March CPI 1339 / June CPI 1359.</t>
  </si>
  <si>
    <t>/mnt/data/NLTF Core Data Report -Jun 2026 (1).xlsx | https://www.rbnz.govt.nz/statistics/series/economic-indicators/prices</t>
  </si>
  <si>
    <t>At a real-time quarter-end run, keep this unavailable or use an explicitly labelled expectation; for retrospective re-estimation use the now-observed Q2 actual.</t>
  </si>
  <si>
    <t>Heavy RUC Inputs!V98</t>
  </si>
  <si>
    <t>Heavy RUC Inputs!W98</t>
  </si>
  <si>
    <t>Heavy RUC Inputs!X98</t>
  </si>
  <si>
    <t>Heavy RUC Inputs!Y98</t>
  </si>
  <si>
    <t>Heavy RUC Inputs!Z98</t>
  </si>
  <si>
    <t>Heavy RUC Inputs!AA98</t>
  </si>
  <si>
    <t>Heavy RUC Inputs!AB98</t>
  </si>
  <si>
    <t>Cross-stream lineage</t>
  </si>
  <si>
    <t>Linked Q1 input</t>
  </si>
  <si>
    <t>Heavy inherits the Q1 real diesel price from the canonical Light RUC row.</t>
  </si>
  <si>
    <t>Create once in canonical shared dimensions and join by period; block conflicting duplicate values.</t>
  </si>
  <si>
    <t>Heavy RUC Inputs!AC98</t>
  </si>
  <si>
    <t>Natural log of the shared Light RUC diesel-price field.</t>
  </si>
  <si>
    <t>Heavy RUC Inputs!AD98</t>
  </si>
  <si>
    <t>Heavy inherits the exact Q1 Light RUC effective real price.</t>
  </si>
  <si>
    <t>Heavy RUC Inputs!AE98</t>
  </si>
  <si>
    <t>Light RUC Inputs!Y98 / 2025Q4 history</t>
  </si>
  <si>
    <t>Heavy inherits the same governed lagged Light RUC price.</t>
  </si>
  <si>
    <t>Heavy RUC Inputs!AF98</t>
  </si>
  <si>
    <t>Natural log of the shared Q1 Light RUC effective price.</t>
  </si>
  <si>
    <t>Heavy RUC Inputs!AG98</t>
  </si>
  <si>
    <t>Light RUC Inputs!Z98 / 2025Q4 history</t>
  </si>
  <si>
    <t>Natural log of the shared lagged Light RUC price.</t>
  </si>
  <si>
    <t>Heavy RUC Inputs!AH98</t>
  </si>
  <si>
    <t>Heavy inherits the canonical Q1 unemployment-rate field from PED.</t>
  </si>
  <si>
    <t>Heavy RUC Inputs!AI98</t>
  </si>
  <si>
    <t>Natural log of the shared PED unemployment-rate field.</t>
  </si>
  <si>
    <t>Heavy RUC Inputs!AJ98</t>
  </si>
  <si>
    <t>Heavy RUC Inputs!AK98</t>
  </si>
  <si>
    <t>Heavy RUC Inputs!AL98</t>
  </si>
  <si>
    <t>Q1 2026 actuals, identities and PED bridge reconciliation</t>
  </si>
  <si>
    <t>Light and Heavy RUC targets/revenues are exact Q1 actuals. Macro variables are published quarterly actuals or vintage-preserving transformations of them. PED is the sole provisional target bridge.</t>
  </si>
  <si>
    <t>Check</t>
  </si>
  <si>
    <t>Source / anchor</t>
  </si>
  <si>
    <t>Q1 2026 output</t>
  </si>
  <si>
    <t>Method</t>
  </si>
  <si>
    <t>Difference / result</t>
  </si>
  <si>
    <t>MACRO ACTUALS</t>
  </si>
  <si>
    <t>Nominal GDP SA</t>
  </si>
  <si>
    <t>Q4 workbook level × 1.014</t>
  </si>
  <si>
    <t>Reconciles to official +1.4% q/q SA</t>
  </si>
  <si>
    <t>Real GDP SA</t>
  </si>
  <si>
    <t>NZD in Q4-2025 model prices</t>
  </si>
  <si>
    <t>Nominal GDP × GDP rebasing factor</t>
  </si>
  <si>
    <t>Reconciles exactly to official +1.0% q/q SA</t>
  </si>
  <si>
    <t>GDP deflator SA</t>
  </si>
  <si>
    <t>Q4 deflator × 1.014 / 1.010</t>
  </si>
  <si>
    <t>Solved consistently with nominal and real growth</t>
  </si>
  <si>
    <t>Population</t>
  </si>
  <si>
    <t>Direct March-2026 RBNZ M12 / Stats NZ quarterly actual</t>
  </si>
  <si>
    <t>Unemployment</t>
  </si>
  <si>
    <t>% s.a.</t>
  </si>
  <si>
    <t>Direct March-2026 RBNZ M9 / Stats NZ quarterly actual</t>
  </si>
  <si>
    <t>CPI and real-price base</t>
  </si>
  <si>
    <t>March-2026 CPI is the chosen real-price base; Q1 factor = 1</t>
  </si>
  <si>
    <t>Petrol price</t>
  </si>
  <si>
    <t>Q1 quarterly price average in source pack; validated against MBIE quarterly price publication</t>
  </si>
  <si>
    <t>Quarterly price input</t>
  </si>
  <si>
    <t>Diesel price</t>
  </si>
  <si>
    <t>RUC ACTUAL IDENTITIES</t>
  </si>
  <si>
    <t>Light RUC net km</t>
  </si>
  <si>
    <t>Core N77</t>
  </si>
  <si>
    <t>Direct Q3/Mar-26 Core Data column Net RUC KM 1–6T</t>
  </si>
  <si>
    <t>Exact actual</t>
  </si>
  <si>
    <t>Light RUC net revenue</t>
  </si>
  <si>
    <t>Core B77</t>
  </si>
  <si>
    <t>Direct Q3/Mar-26 Core Data column Net RUC Revenue 1–6T</t>
  </si>
  <si>
    <t>Light effective rate</t>
  </si>
  <si>
    <t>B77 / N77 × 1,000</t>
  </si>
  <si>
    <t>Revenue identity</t>
  </si>
  <si>
    <t>Zero residual</t>
  </si>
  <si>
    <t>Heavy RUC net km</t>
  </si>
  <si>
    <t>Core O77</t>
  </si>
  <si>
    <t>Direct Q3/Mar-26 Core Data column Net RUC KM &gt;6T</t>
  </si>
  <si>
    <t>Heavy RUC net revenue</t>
  </si>
  <si>
    <t>Core C77</t>
  </si>
  <si>
    <t>Direct Q3/Mar-26 Core Data column Net RUC Revenue &gt;6T</t>
  </si>
  <si>
    <t>Heavy effective rate</t>
  </si>
  <si>
    <t>C77 / O77 × 1,000</t>
  </si>
  <si>
    <t>Heavy Q1 lead price</t>
  </si>
  <si>
    <t>Core C78 / O78 × 1,000 × 1339 / 1359</t>
  </si>
  <si>
    <t>real NZD/1,000 km</t>
  </si>
  <si>
    <t>Retrospective Q2 actual converted to Q1 CPI base</t>
  </si>
  <si>
    <t>Exact retrospective lead</t>
  </si>
  <si>
    <t>PED PROVISIONAL BRIDGE</t>
  </si>
  <si>
    <t>MBU26 FY2026 Light petrol VKT</t>
  </si>
  <si>
    <t>MBU26 row 16, AB16</t>
  </si>
  <si>
    <t>Latest official annual petrol-only VKT total</t>
  </si>
  <si>
    <t>Official annual forecast benchmark</t>
  </si>
  <si>
    <t>Less actual 2025Q3 VKT</t>
  </si>
  <si>
    <t>PED Inputs!W96</t>
  </si>
  <si>
    <t>Existing quarterly historical observation</t>
  </si>
  <si>
    <t>Less actual 2025Q4 VKT</t>
  </si>
  <si>
    <t>PED Inputs!W97</t>
  </si>
  <si>
    <t>Residual for 2026Q1 + Q2</t>
  </si>
  <si>
    <t>FY2026 less 2025Q3/Q4</t>
  </si>
  <si>
    <t>Annual residual identity</t>
  </si>
  <si>
    <t>Q1 Gross PED</t>
  </si>
  <si>
    <t>Core S77</t>
  </si>
  <si>
    <t>NZD excl GST</t>
  </si>
  <si>
    <t>Exact Core Data quarterly indicator</t>
  </si>
  <si>
    <t>Q2 Gross PED</t>
  </si>
  <si>
    <t>Core S78</t>
  </si>
  <si>
    <t>Q1 share of remaining half-year</t>
  </si>
  <si>
    <t>S77 / (S77 + S78)</t>
  </si>
  <si>
    <t>share</t>
  </si>
  <si>
    <t>Revenue share used as fuel-use/VKT timing indicator</t>
  </si>
  <si>
    <t>Q1 petrol-only VKT</t>
  </si>
  <si>
    <t>Residual × Q1 share</t>
  </si>
  <si>
    <t>Selected provisional quarterly allocation</t>
  </si>
  <si>
    <t>Provisional</t>
  </si>
  <si>
    <t>Q2 petrol-only VKT</t>
  </si>
  <si>
    <t>Residual less Q1</t>
  </si>
  <si>
    <t>Residual allocation</t>
  </si>
  <si>
    <t>Q1 population</t>
  </si>
  <si>
    <t>RBNZ M12</t>
  </si>
  <si>
    <t>Q1 PED target</t>
  </si>
  <si>
    <t>Q1 VKT / population</t>
  </si>
  <si>
    <t>Selected value written to PED Inputs!G98</t>
  </si>
  <si>
    <t>Provisional target</t>
  </si>
  <si>
    <t>FY2026 annual identity residual</t>
  </si>
  <si>
    <t>Q3 + Q4 + Q1 + Q2 − MBU26</t>
  </si>
  <si>
    <t>Exact arithmetic reconciliation</t>
  </si>
  <si>
    <t>PED SENSITIVITY</t>
  </si>
  <si>
    <t>Selected Core PED-revenue share</t>
  </si>
  <si>
    <t>Uses exact Q1/Q2 Gross PED revenue timing</t>
  </si>
  <si>
    <t>Selected provisional bridge</t>
  </si>
  <si>
    <t>Equal residual split</t>
  </si>
  <si>
    <t>No quarterly indicator</t>
  </si>
  <si>
    <t>Sensitivity</t>
  </si>
  <si>
    <t>2025 Q1/Q2 VKT seasonal share</t>
  </si>
  <si>
    <t>Uses the immediately preceding calendar Q1/Q2 VKT timing</t>
  </si>
  <si>
    <t>PED governance conclusion</t>
  </si>
  <si>
    <t>Q1 can be populated for runner completeness, but must remain visibly provisional and excluded from coefficient re-estimation by default until an independently observed petrol-only quarterly VKT actual is accepted.</t>
  </si>
  <si>
    <t>Action required</t>
  </si>
  <si>
    <t>Dashboard and ingestion specification for quarterly actuals</t>
  </si>
  <si>
    <t>Keep the UI and upload contract lean: ingest only authoritative raw fields, generate every log/lag/interaction centrally, persist lineage, and fail closed when target semantics or quarter mappings do not reconcile.</t>
  </si>
  <si>
    <t>Section</t>
  </si>
  <si>
    <t>Requirement</t>
  </si>
  <si>
    <t>Implementation specification</t>
  </si>
  <si>
    <t>Acceptance / governance rule</t>
  </si>
  <si>
    <t>1. Scope</t>
  </si>
  <si>
    <t>Objective</t>
  </si>
  <si>
    <t>Append one quarterly actual-history row for PED, Light RUC and Heavy RUC, then rebuild the model-input parquet/CSV and rerun the governed model pipeline.</t>
  </si>
  <si>
    <t>A run is not complete until all three streams have one canonical row and a source-lineage record.</t>
  </si>
  <si>
    <t>Do not upload engineered columns</t>
  </si>
  <si>
    <t>The dashboard should ask for or retrieve raw levels only. Logs, lags, differences, dummies, trends, interactions, real-price conversions and per-capita calculations must be generated in code.</t>
  </si>
  <si>
    <t>Feature parity tests must reproduce the historical workbook to the governed tolerance.</t>
  </si>
  <si>
    <t>2. Canonical quarter</t>
  </si>
  <si>
    <t>Quarter mapping</t>
  </si>
  <si>
    <t>Calendar 2026Q1 maps to the Core Data row labelled Q3/Mar-26. Do not interpret the Core fiscal-quarter label as calendar Q3.</t>
  </si>
  <si>
    <t>Period mapping test: Q3/Mar-26 → 2026Q1 and Q4/Jun-26 → 2026Q2.</t>
  </si>
  <si>
    <t>3. PED raw inputs</t>
  </si>
  <si>
    <t>Required raw fields</t>
  </si>
  <si>
    <t>period; nominal GDP SA level or q/q growth; real GDP q/q growth or GDP deflator; population; nominal petrol price; CPI; unemployment; petrol-only VKT target. If direct target is absent, accept an annual benchmark plus known quarters and a quarterly indicator.</t>
  </si>
  <si>
    <t>The target definition is petrol-only VKT divided by population. Do not substitute all-light VKT, litres, or revenue.</t>
  </si>
  <si>
    <t>Q1 2026 sources</t>
  </si>
  <si>
    <t>RBNZ M5 GDP, RBNZ M12 population, RBNZ M9 unemployment, RBNZ M1 CPI, MBIE quarterly petrol price, MBU26 annual Light petrol VKT, Core Gross PED S77:S78.</t>
  </si>
  <si>
    <t>Macro fields are exact quarterly actuals/transformations. PED target is provisional until an exact quarterly petrol-only VKT source is accepted.</t>
  </si>
  <si>
    <t>PED provisional handling</t>
  </si>
  <si>
    <t>Store `target_status=provisional_annual_bridge`, `target_method=mbu26_residual_core_ped_share`, source cells and sensitivity values. The UI must show a warning badge and allow an explicit governance override.</t>
  </si>
  <si>
    <t>Default model re-estimation excludes provisional PED rows; scenario/runner completeness may include them only when the user opts in.</t>
  </si>
  <si>
    <t>4. Light RUC raw inputs</t>
  </si>
  <si>
    <t>period; Net RUC KM 1–6T; Net RUC Revenue 1–6T; nominal GDP/deflator; nominal diesel price; CPI.</t>
  </si>
  <si>
    <t>Target remains the conventional Light RUC series used in the historical workbook. Do not silently add BEV/PHEV kilometres.</t>
  </si>
  <si>
    <t>Q1 2026 Core columns</t>
  </si>
  <si>
    <t>Target = N77; revenue = B77. Effective nominal rate = B77/N77×1,000. Real rate = nominal rate×CPI rebasing factor.</t>
  </si>
  <si>
    <t>Revenue/rate identity residual must be zero within 1e-9 relative tolerance.</t>
  </si>
  <si>
    <t>5. Heavy RUC raw inputs</t>
  </si>
  <si>
    <t>period; Net RUC KM &gt;6T; Net RUC Revenue &gt;6T; nominal GDP/deflator; shared diesel price; shared Light RUC price; shared unemployment; next-quarter Heavy revenue/km/CPI for retrospective lead.</t>
  </si>
  <si>
    <t>Heavy target and revenue must use matching &gt;6T columns.</t>
  </si>
  <si>
    <t>Target = O77; revenue = C77. Q1 rate = C77/O77×1,000. Retrospective lead = C78/O78×1,000×1339/1359.</t>
  </si>
  <si>
    <t>Real-time forecasts must distinguish an expected lead from a subsequently observed retrospective lead.</t>
  </si>
  <si>
    <t>6. Macro methodology</t>
  </si>
  <si>
    <t>GDP vintage preservation</t>
  </si>
  <si>
    <t>Do not splice current revised GDP levels directly onto an older model history. Chain official nominal and real q/q SA movements onto the last accepted historical level and solve the deflator/rebasing factor consistently.</t>
  </si>
  <si>
    <t>Nominal q/q and real q/q reconciliation must match the official release; any full level revision requires a governed full-history rebuild.</t>
  </si>
  <si>
    <t>Population and unemployment</t>
  </si>
  <si>
    <t>Use direct quarterly RBNZ/Stats NZ observations. Do not interpolate annual BEFU/MBU values when quarterly actuals are already published.</t>
  </si>
  <si>
    <t>Store release date, source URL and vintage.</t>
  </si>
  <si>
    <t>Fuel prices</t>
  </si>
  <si>
    <t>Use the accepted MBIE/Stats NZ quarterly average. Rebase real prices using a single explicit CPI base quarter across the entire history.</t>
  </si>
  <si>
    <t>No mixture of nominal and real price vintages; the Q1 2026 CPI factor equals 1.</t>
  </si>
  <si>
    <t>7. Feature generation</t>
  </si>
  <si>
    <t>Generate target logs, lag 1, lag 4, GDP per capita, real GDP per capita, unemployment decimal/log, trend/dummies and governed interactions.</t>
  </si>
  <si>
    <t>All positive-log fields must be non-null and finite.</t>
  </si>
  <si>
    <t>Light RUC</t>
  </si>
  <si>
    <t>Generate real GDP, effective RUC price, diesel/RUC/GDP logs, target lags, first differences, lag 1/lag 4 features, trend and interactions in the exact governed order.</t>
  </si>
  <si>
    <t>Feature names and ordering must match the promoted Light RUC state contract.</t>
  </si>
  <si>
    <t>Heavy RUC</t>
  </si>
  <si>
    <t>Generate Heavy price and lead, and join shared diesel, Light RUC price and unemployment by canonical period.</t>
  </si>
  <si>
    <t>No independently sourced duplicate macro/fuel series inside Heavy.</t>
  </si>
  <si>
    <t>8. Source priority</t>
  </si>
  <si>
    <t>Hierarchy</t>
  </si>
  <si>
    <t>1) Exact Core quarterly actuals; 2) Stats NZ/RBNZ quarterly macro actuals; 3) MBIE quarterly fuel prices; 4) MBU/BEFU annual benchmark only where no quarterly target exists; 5) interpolation/bridge with explicit status.</t>
  </si>
  <si>
    <t>A lower-priority source cannot overwrite a higher-priority exact actual.</t>
  </si>
  <si>
    <t>Lineage fields</t>
  </si>
  <si>
    <t>Persist stream, period, source file/URL, sheet, cell/range, release/vintage, transformation, status, raw value, output value and hash where available.</t>
  </si>
  <si>
    <t>The dashboard must be able to explain every displayed/modelled input back to a source row.</t>
  </si>
  <si>
    <t>9. Validation</t>
  </si>
  <si>
    <t>Quarter completeness</t>
  </si>
  <si>
    <t>One row per stream and period; no duplicate canonical keys; every required raw/derived value present; all targets and prices positive.</t>
  </si>
  <si>
    <t>Fail closed before model fitting.</t>
  </si>
  <si>
    <t>Identity checks</t>
  </si>
  <si>
    <t>Light and Heavy revenue ÷ net km ×1,000; GDP nominal/real/deflator identity; PED VKT ÷ population; annual PED bridge sum; lag continuity.</t>
  </si>
  <si>
    <t>All exact identities must pass at machine tolerance; bridge identities must reconcile exactly to the annual benchmark.</t>
  </si>
  <si>
    <t>Target semantics</t>
  </si>
  <si>
    <t>PED = petrol-only VKT per capita. Light RUC = the same conventional 1–6T net-km definition used historically. Heavy RUC = &gt;6T net km.</t>
  </si>
  <si>
    <t>Block a run if a new source changes the population/fleet universe without a governed remapping.</t>
  </si>
  <si>
    <t>Provisional data</t>
  </si>
  <si>
    <t>Provisional values must never be rendered as observed actuals or silently admitted to coefficient estimation.</t>
  </si>
  <si>
    <t>Require a visible status and an explicit include/exclude decision.</t>
  </si>
  <si>
    <t>10. Dashboard UX</t>
  </si>
  <si>
    <t>Actuals refresh panel</t>
  </si>
  <si>
    <t>Show latest accepted quarter, source availability by field, exact/provisional badges, raw source values, transformations and reconciliation residuals.</t>
  </si>
  <si>
    <t>Users can inspect lineage before committing a refresh.</t>
  </si>
  <si>
    <t>Minimum editable fields</t>
  </si>
  <si>
    <t>Normally none for public/internal actuals: fetch or import them. Only expose manual overrides with reason, owner and expiry. For PED bridge, expose annual benchmark, known-quarter values, indicator choice and sensitivity.</t>
  </si>
  <si>
    <t>Manual overrides are immutable audit records and never overwrite source data.</t>
  </si>
  <si>
    <t>Outputs</t>
  </si>
  <si>
    <t>Write updated input workbook, canonical quarterly raw table, engineered model-input table, feature-lineage table, validation report and run manifest.</t>
  </si>
  <si>
    <t>Streamlit reads committed CSV/parquet artifacts at runtime, not Excel.</t>
  </si>
  <si>
    <t>11. Q1 2026 decision</t>
  </si>
  <si>
    <t>Ready-to-use fields</t>
  </si>
  <si>
    <t>Light and Heavy rows are exact actual-history rows. GDP, population, unemployment, CPI and fuel prices are populated quarterly. PED is complete for runner mechanics but explicitly provisional.</t>
  </si>
  <si>
    <t>Re-estimate Light/Heavy immediately; re-estimate PED only after governance accepts the bridge or an exact quarterly petrol-only VKT actual replaces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</si>
</sst>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0.000000"/>
    <numFmt numFmtId="166" formatCode="#,##0.0000;[Red]\(#,##0.0000\);\-"/>
  </numFmts>
  <fonts count="11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FF"/>
      <name val="Calibri"/>
      <family val="2"/>
    </font>
    <font>
      <sz val="11"/>
      <color rgb="FF008000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b/>
      <sz val="15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2B5C"/>
      </patternFill>
    </fill>
    <fill>
      <patternFill patternType="solid">
        <fgColor rgb="FFE6EDF5"/>
      </patternFill>
    </fill>
    <fill>
      <patternFill patternType="solid">
        <fgColor rgb="FFE7F5EC"/>
      </patternFill>
    </fill>
    <fill>
      <patternFill patternType="solid">
        <fgColor rgb="FFFFF2B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4" borderId="0" xfId="0" applyFill="1"/>
    <xf numFmtId="3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0" fontId="0" fillId="6" borderId="0" xfId="0" applyFill="1"/>
    <xf numFmtId="3" fontId="0" fillId="4" borderId="0" xfId="0" applyNumberFormat="1" applyFill="1"/>
    <xf numFmtId="0" fontId="2" fillId="3" borderId="0" xfId="0" applyFont="1" applyFill="1"/>
    <xf numFmtId="164" fontId="2" fillId="4" borderId="0" xfId="0" applyNumberFormat="1" applyFont="1" applyFill="1"/>
    <xf numFmtId="165" fontId="2" fillId="4" borderId="0" xfId="0" applyNumberFormat="1" applyFont="1" applyFill="1"/>
    <xf numFmtId="165" fontId="3" fillId="5" borderId="0" xfId="0" applyNumberFormat="1" applyFont="1" applyFill="1"/>
    <xf numFmtId="0" fontId="2" fillId="4" borderId="0" xfId="0" applyFont="1" applyFill="1"/>
    <xf numFmtId="3" fontId="4" fillId="5" borderId="0" xfId="0" applyNumberFormat="1" applyFont="1" applyFill="1"/>
    <xf numFmtId="164" fontId="4" fillId="5" borderId="0" xfId="0" applyNumberFormat="1" applyFont="1" applyFill="1"/>
    <xf numFmtId="165" fontId="5" fillId="4" borderId="0" xfId="0" applyNumberFormat="1" applyFont="1" applyFill="1"/>
    <xf numFmtId="164" fontId="5" fillId="4" borderId="0" xfId="0" applyNumberFormat="1" applyFont="1" applyFill="1"/>
    <xf numFmtId="164" fontId="6" fillId="7" borderId="0" xfId="0" applyNumberFormat="1" applyFont="1" applyFill="1"/>
    <xf numFmtId="3" fontId="4" fillId="7" borderId="0" xfId="0" applyNumberFormat="1" applyFont="1" applyFill="1"/>
    <xf numFmtId="0" fontId="2" fillId="6" borderId="0" xfId="0" applyFont="1" applyFill="1" applyAlignment="1">
      <alignment vertical="top" wrapText="1"/>
    </xf>
    <xf numFmtId="3" fontId="2" fillId="4" borderId="0" xfId="0" applyNumberFormat="1" applyFont="1" applyFill="1"/>
    <xf numFmtId="3" fontId="5" fillId="4" borderId="0" xfId="0" applyNumberFormat="1" applyFont="1" applyFill="1"/>
    <xf numFmtId="164" fontId="7" fillId="4" borderId="0" xfId="0" applyNumberFormat="1" applyFont="1" applyFill="1"/>
    <xf numFmtId="0" fontId="8" fillId="8" borderId="0" xfId="0" applyFont="1" applyFill="1" applyAlignment="1">
      <alignment vertical="center"/>
    </xf>
    <xf numFmtId="0" fontId="0" fillId="9" borderId="0" xfId="0" applyFill="1" applyAlignment="1">
      <alignment wrapText="1"/>
    </xf>
    <xf numFmtId="0" fontId="9" fillId="10" borderId="0" xfId="0" applyFont="1" applyFill="1" applyAlignment="1">
      <alignment vertical="center"/>
    </xf>
    <xf numFmtId="0" fontId="10" fillId="8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9" fillId="10" borderId="0" xfId="0" applyFont="1" applyFill="1" applyAlignment="1">
      <alignment vertical="center" wrapText="1"/>
    </xf>
    <xf numFmtId="166" fontId="9" fillId="10" borderId="0" xfId="0" applyNumberFormat="1" applyFont="1" applyFill="1" applyAlignment="1">
      <alignment vertical="center" wrapText="1"/>
    </xf>
    <xf numFmtId="166" fontId="0" fillId="0" borderId="0" xfId="0" applyNumberFormat="1" applyAlignment="1">
      <alignment vertical="top" wrapText="1"/>
    </xf>
    <xf numFmtId="166" fontId="0" fillId="11" borderId="0" xfId="0" applyNumberFormat="1" applyFill="1" applyAlignment="1">
      <alignment vertical="top" wrapText="1"/>
    </xf>
    <xf numFmtId="166" fontId="0" fillId="7" borderId="0" xfId="0" applyNumberFormat="1" applyFill="1" applyAlignment="1">
      <alignment vertical="top" wrapText="1"/>
    </xf>
    <xf numFmtId="0" fontId="0" fillId="12" borderId="0" xfId="0" applyFill="1" applyAlignment="1">
      <alignment vertical="top" wrapText="1"/>
    </xf>
    <xf numFmtId="0" fontId="9" fillId="1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899160</xdr:colOff>
      <xdr:row>40</xdr:row>
      <xdr:rowOff>121920</xdr:rowOff>
    </xdr:to>
    <xdr:sp macro="" textlink="">
      <xdr:nvSpPr>
        <xdr:cNvPr id="1064" name="Text Box 40" hidden="1">
          <a:extLst>
            <a:ext uri="{FF2B5EF4-FFF2-40B4-BE49-F238E27FC236}">
              <a16:creationId xmlns:a16="http://schemas.microsoft.com/office/drawing/2014/main" id="{1FDE95E5-14E8-521C-D0FF-9A34340BDA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899160</xdr:colOff>
      <xdr:row>40</xdr:row>
      <xdr:rowOff>121920</xdr:rowOff>
    </xdr:to>
    <xdr:sp macro="" textlink="">
      <xdr:nvSpPr>
        <xdr:cNvPr id="2098" name="Text Box 50" hidden="1">
          <a:extLst>
            <a:ext uri="{FF2B5EF4-FFF2-40B4-BE49-F238E27FC236}">
              <a16:creationId xmlns:a16="http://schemas.microsoft.com/office/drawing/2014/main" id="{5E0704DC-E990-514F-0FB1-94421E7B4DC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899160</xdr:colOff>
      <xdr:row>40</xdr:row>
      <xdr:rowOff>121920</xdr:rowOff>
    </xdr:to>
    <xdr:sp macro="" textlink="">
      <xdr:nvSpPr>
        <xdr:cNvPr id="3112" name="Text Box 40" hidden="1">
          <a:extLst>
            <a:ext uri="{FF2B5EF4-FFF2-40B4-BE49-F238E27FC236}">
              <a16:creationId xmlns:a16="http://schemas.microsoft.com/office/drawing/2014/main" id="{71260867-0B8F-CD21-4D41-1D2807A84E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8"/>
  <sheetViews>
    <sheetView topLeftCell="L61" workbookViewId="0">
      <selection activeCell="S98" sqref="S98"/>
    </sheetView>
  </sheetViews>
  <sheetFormatPr defaultRowHeight="14.4" x14ac:dyDescent="0.3"/>
  <cols>
    <col min="1" max="11" width="14" customWidth="1"/>
    <col min="12" max="12" width="20" customWidth="1"/>
    <col min="13" max="13" width="14" customWidth="1"/>
    <col min="14" max="14" width="28" customWidth="1"/>
    <col min="15" max="15" width="17" customWidth="1"/>
    <col min="16" max="16" width="21" customWidth="1"/>
    <col min="17" max="18" width="25" customWidth="1"/>
    <col min="19" max="19" width="30" customWidth="1"/>
    <col min="20" max="20" width="21" customWidth="1"/>
    <col min="21" max="21" width="30" customWidth="1"/>
    <col min="22" max="22" width="23" customWidth="1"/>
    <col min="23" max="23" width="27" customWidth="1"/>
    <col min="24" max="24" width="15" customWidth="1"/>
    <col min="25" max="25" width="22" customWidth="1"/>
    <col min="26" max="26" width="19" customWidth="1"/>
    <col min="27" max="27" width="23" customWidth="1"/>
    <col min="28" max="28" width="17" customWidth="1"/>
    <col min="29" max="29" width="14" customWidth="1"/>
    <col min="30" max="30" width="17" customWidth="1"/>
    <col min="31" max="33" width="14" customWidth="1"/>
    <col min="34" max="34" width="23" customWidth="1"/>
    <col min="35" max="36" width="18" customWidth="1"/>
    <col min="37" max="37" width="29" customWidth="1"/>
  </cols>
  <sheetData>
    <row r="1" spans="1:3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36</v>
      </c>
      <c r="AJ1" s="1" t="s">
        <v>37</v>
      </c>
      <c r="AK1" s="1" t="s">
        <v>38</v>
      </c>
    </row>
    <row r="2" spans="1:37" x14ac:dyDescent="0.3">
      <c r="A2" s="2" t="s">
        <v>39</v>
      </c>
      <c r="B2" s="2" t="s">
        <v>40</v>
      </c>
      <c r="C2" s="2">
        <v>2002</v>
      </c>
      <c r="D2" s="2">
        <v>1</v>
      </c>
      <c r="E2" s="2">
        <v>1</v>
      </c>
      <c r="F2" s="2">
        <v>1</v>
      </c>
      <c r="G2" s="3">
        <v>1864.0903271673669</v>
      </c>
      <c r="H2" s="4">
        <v>7.5305284528522236</v>
      </c>
      <c r="I2" s="5"/>
      <c r="J2" s="5"/>
      <c r="K2" s="4">
        <v>0</v>
      </c>
      <c r="L2" s="6">
        <v>32976000000</v>
      </c>
      <c r="M2" s="6">
        <v>3935700</v>
      </c>
      <c r="N2" s="3">
        <v>8378.687399954264</v>
      </c>
      <c r="O2" s="7">
        <v>835</v>
      </c>
      <c r="P2" s="4">
        <v>1.869461077844311</v>
      </c>
      <c r="Q2" s="3">
        <v>15663.62997763905</v>
      </c>
      <c r="R2" s="4">
        <v>9.659096742021859</v>
      </c>
      <c r="S2" s="7">
        <v>97.000000004655959</v>
      </c>
      <c r="T2" s="8">
        <v>1.8418156808803301</v>
      </c>
      <c r="U2" s="3">
        <v>178.65612105396741</v>
      </c>
      <c r="V2" s="4">
        <v>5.1854628467090356</v>
      </c>
      <c r="W2" s="6">
        <v>7336500300.6326056</v>
      </c>
      <c r="X2" s="4">
        <v>22.716127767589459</v>
      </c>
      <c r="Y2" s="7">
        <v>5.3</v>
      </c>
      <c r="Z2" s="4">
        <v>5.2999999999999999E-2</v>
      </c>
      <c r="AA2" s="4">
        <v>-2.9374633654300148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4">
        <v>0</v>
      </c>
      <c r="AI2" s="5"/>
      <c r="AJ2" s="5"/>
      <c r="AK2" s="5"/>
    </row>
    <row r="3" spans="1:37" x14ac:dyDescent="0.3">
      <c r="A3" s="2" t="s">
        <v>43</v>
      </c>
      <c r="B3" s="2" t="s">
        <v>44</v>
      </c>
      <c r="C3" s="2">
        <v>2002</v>
      </c>
      <c r="D3" s="2">
        <v>2</v>
      </c>
      <c r="E3" s="2">
        <v>2</v>
      </c>
      <c r="F3" s="2">
        <v>2</v>
      </c>
      <c r="G3" s="3">
        <v>1854.836960613545</v>
      </c>
      <c r="H3" s="4">
        <v>7.5255520793262836</v>
      </c>
      <c r="I3" s="3">
        <v>1864.0903271673669</v>
      </c>
      <c r="J3" s="5"/>
      <c r="K3" s="4">
        <v>0.69314718055994529</v>
      </c>
      <c r="L3" s="6">
        <v>32897000000</v>
      </c>
      <c r="M3" s="6">
        <v>3948500</v>
      </c>
      <c r="N3" s="3">
        <v>8331.5182980878817</v>
      </c>
      <c r="O3" s="7">
        <v>825</v>
      </c>
      <c r="P3" s="4">
        <v>1.8921212121212121</v>
      </c>
      <c r="Q3" s="3">
        <v>15764.242500988101</v>
      </c>
      <c r="R3" s="4">
        <v>9.6654995214107391</v>
      </c>
      <c r="S3" s="7">
        <v>106.8000000113511</v>
      </c>
      <c r="T3" s="8">
        <v>1.8242506811989101</v>
      </c>
      <c r="U3" s="3">
        <v>194.82997277275089</v>
      </c>
      <c r="V3" s="4">
        <v>5.2721272437090354</v>
      </c>
      <c r="W3" s="6">
        <v>7323823738.982584</v>
      </c>
      <c r="X3" s="4">
        <v>22.714398397246061</v>
      </c>
      <c r="Y3" s="7">
        <v>5.3</v>
      </c>
      <c r="Z3" s="4">
        <v>5.2999999999999999E-2</v>
      </c>
      <c r="AA3" s="4">
        <v>-2.9374633654300148</v>
      </c>
      <c r="AB3" s="5">
        <v>0</v>
      </c>
      <c r="AC3" s="5">
        <v>0</v>
      </c>
      <c r="AD3" s="5">
        <v>0</v>
      </c>
      <c r="AE3" s="5">
        <v>1</v>
      </c>
      <c r="AF3" s="5">
        <v>0</v>
      </c>
      <c r="AG3" s="5">
        <v>0</v>
      </c>
      <c r="AH3" s="4">
        <v>0</v>
      </c>
      <c r="AI3" s="4">
        <v>7.5305284528522236</v>
      </c>
      <c r="AJ3" s="5"/>
      <c r="AK3" s="5"/>
    </row>
    <row r="4" spans="1:37" x14ac:dyDescent="0.3">
      <c r="A4" s="2" t="s">
        <v>45</v>
      </c>
      <c r="B4" s="2" t="s">
        <v>46</v>
      </c>
      <c r="C4" s="2">
        <v>2002</v>
      </c>
      <c r="D4" s="2">
        <v>3</v>
      </c>
      <c r="E4" s="2">
        <v>3</v>
      </c>
      <c r="F4" s="2">
        <v>3</v>
      </c>
      <c r="G4" s="3">
        <v>1862.6786036124979</v>
      </c>
      <c r="H4" s="4">
        <v>7.5297708402131711</v>
      </c>
      <c r="I4" s="3">
        <v>1854.836960613545</v>
      </c>
      <c r="J4" s="5"/>
      <c r="K4" s="4">
        <v>1.09861228866811</v>
      </c>
      <c r="L4" s="6">
        <v>33866000000</v>
      </c>
      <c r="M4" s="6">
        <v>3967600</v>
      </c>
      <c r="N4" s="3">
        <v>8535.638673253352</v>
      </c>
      <c r="O4" s="7">
        <v>832</v>
      </c>
      <c r="P4" s="4">
        <v>1.8762019230769229</v>
      </c>
      <c r="Q4" s="3">
        <v>16014.581693447701</v>
      </c>
      <c r="R4" s="4">
        <v>9.681254942029808</v>
      </c>
      <c r="S4" s="7">
        <v>104.200000031163</v>
      </c>
      <c r="T4" s="8">
        <v>1.814363143631436</v>
      </c>
      <c r="U4" s="3">
        <v>189.05663962293659</v>
      </c>
      <c r="V4" s="4">
        <v>5.2420466507090353</v>
      </c>
      <c r="W4" s="6">
        <v>7390363627.6929445</v>
      </c>
      <c r="X4" s="4">
        <v>22.723442776067149</v>
      </c>
      <c r="Y4" s="7">
        <v>5.5</v>
      </c>
      <c r="Z4" s="4">
        <v>5.5E-2</v>
      </c>
      <c r="AA4" s="4">
        <v>-2.9004220937496661</v>
      </c>
      <c r="AB4" s="5">
        <v>0</v>
      </c>
      <c r="AC4" s="5">
        <v>0</v>
      </c>
      <c r="AD4" s="5">
        <v>0</v>
      </c>
      <c r="AE4" s="5">
        <v>0</v>
      </c>
      <c r="AF4" s="5">
        <v>1</v>
      </c>
      <c r="AG4" s="5">
        <v>0</v>
      </c>
      <c r="AH4" s="4">
        <v>0</v>
      </c>
      <c r="AI4" s="4">
        <v>7.5255520793262836</v>
      </c>
      <c r="AJ4" s="5"/>
      <c r="AK4" s="5"/>
    </row>
    <row r="5" spans="1:37" x14ac:dyDescent="0.3">
      <c r="A5" s="2" t="s">
        <v>47</v>
      </c>
      <c r="B5" s="2" t="s">
        <v>48</v>
      </c>
      <c r="C5" s="2">
        <v>2002</v>
      </c>
      <c r="D5" s="2">
        <v>4</v>
      </c>
      <c r="E5" s="2">
        <v>4</v>
      </c>
      <c r="F5" s="2">
        <v>4</v>
      </c>
      <c r="G5" s="3">
        <v>1899.2888291481611</v>
      </c>
      <c r="H5" s="4">
        <v>7.5492347946382976</v>
      </c>
      <c r="I5" s="3">
        <v>1862.6786036124979</v>
      </c>
      <c r="J5" s="5"/>
      <c r="K5" s="4">
        <v>1.386294361119891</v>
      </c>
      <c r="L5" s="6">
        <v>33950000000</v>
      </c>
      <c r="M5" s="6">
        <v>3989500</v>
      </c>
      <c r="N5" s="3">
        <v>8509.8383256047127</v>
      </c>
      <c r="O5" s="7">
        <v>820</v>
      </c>
      <c r="P5" s="4">
        <v>1.903658536585366</v>
      </c>
      <c r="Q5" s="3">
        <v>16199.826373498719</v>
      </c>
      <c r="R5" s="4">
        <v>9.6927558034777768</v>
      </c>
      <c r="S5" s="7">
        <v>103.6000000372816</v>
      </c>
      <c r="T5" s="8">
        <v>1.8045822102425879</v>
      </c>
      <c r="U5" s="3">
        <v>186.9547170484098</v>
      </c>
      <c r="V5" s="4">
        <v>5.2308664327090364</v>
      </c>
      <c r="W5" s="6">
        <v>7577212783.8865891</v>
      </c>
      <c r="X5" s="4">
        <v>22.748411262368769</v>
      </c>
      <c r="Y5" s="7">
        <v>5.0999999999999996</v>
      </c>
      <c r="Z5" s="4">
        <v>5.0999999999999997E-2</v>
      </c>
      <c r="AA5" s="4">
        <v>-2.975929646257812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</v>
      </c>
      <c r="AH5" s="4">
        <v>0</v>
      </c>
      <c r="AI5" s="4">
        <v>7.5297708402131711</v>
      </c>
      <c r="AJ5" s="5"/>
      <c r="AK5" s="5"/>
    </row>
    <row r="6" spans="1:37" x14ac:dyDescent="0.3">
      <c r="A6" s="2" t="s">
        <v>49</v>
      </c>
      <c r="B6" s="2" t="s">
        <v>50</v>
      </c>
      <c r="C6" s="2">
        <v>2003</v>
      </c>
      <c r="D6" s="2">
        <v>1</v>
      </c>
      <c r="E6" s="2">
        <v>5</v>
      </c>
      <c r="F6" s="2">
        <v>5</v>
      </c>
      <c r="G6" s="3">
        <v>1869.67789607901</v>
      </c>
      <c r="H6" s="4">
        <v>7.5335214469261356</v>
      </c>
      <c r="I6" s="3">
        <v>1899.2888291481611</v>
      </c>
      <c r="J6" s="3">
        <v>1864.0903271673669</v>
      </c>
      <c r="K6" s="4">
        <v>1.6094379124341001</v>
      </c>
      <c r="L6" s="6">
        <v>34462000000</v>
      </c>
      <c r="M6" s="6">
        <v>4013300</v>
      </c>
      <c r="N6" s="3">
        <v>8586.948396581367</v>
      </c>
      <c r="O6" s="7">
        <v>828</v>
      </c>
      <c r="P6" s="4">
        <v>1.8852657004830919</v>
      </c>
      <c r="Q6" s="3">
        <v>16188.679283893131</v>
      </c>
      <c r="R6" s="4">
        <v>9.6920674673029836</v>
      </c>
      <c r="S6" s="7">
        <v>110.1999999645826</v>
      </c>
      <c r="T6" s="8">
        <v>1.7973154362416111</v>
      </c>
      <c r="U6" s="3">
        <v>198.0641610101693</v>
      </c>
      <c r="V6" s="4">
        <v>5.288591023709035</v>
      </c>
      <c r="W6" s="6">
        <v>7503578300.3338919</v>
      </c>
      <c r="X6" s="4">
        <v>22.738645850420639</v>
      </c>
      <c r="Y6" s="7">
        <v>5</v>
      </c>
      <c r="Z6" s="4">
        <v>0.05</v>
      </c>
      <c r="AA6" s="4">
        <v>-2.9957322735539909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4">
        <v>0</v>
      </c>
      <c r="AI6" s="4">
        <v>7.5492347946382976</v>
      </c>
      <c r="AJ6" s="4">
        <v>7.5305284528522236</v>
      </c>
      <c r="AK6" s="4">
        <v>1.8706341786073999E-2</v>
      </c>
    </row>
    <row r="7" spans="1:37" x14ac:dyDescent="0.3">
      <c r="A7" s="2" t="s">
        <v>51</v>
      </c>
      <c r="B7" s="2" t="s">
        <v>52</v>
      </c>
      <c r="C7" s="2">
        <v>2003</v>
      </c>
      <c r="D7" s="2">
        <v>2</v>
      </c>
      <c r="E7" s="2">
        <v>6</v>
      </c>
      <c r="F7" s="2">
        <v>6</v>
      </c>
      <c r="G7" s="3">
        <v>1857.8788758456431</v>
      </c>
      <c r="H7" s="4">
        <v>7.5271907266382581</v>
      </c>
      <c r="I7" s="3">
        <v>1869.67789607901</v>
      </c>
      <c r="J7" s="3">
        <v>1854.836960613545</v>
      </c>
      <c r="K7" s="4">
        <v>1.791759469228055</v>
      </c>
      <c r="L7" s="6">
        <v>34938000000</v>
      </c>
      <c r="M7" s="6">
        <v>4027200</v>
      </c>
      <c r="N7" s="3">
        <v>8675.5065554231223</v>
      </c>
      <c r="O7" s="7">
        <v>836</v>
      </c>
      <c r="P7" s="4">
        <v>1.8672248803827749</v>
      </c>
      <c r="Q7" s="3">
        <v>16199.12169020992</v>
      </c>
      <c r="R7" s="4">
        <v>9.6927123030969913</v>
      </c>
      <c r="S7" s="7">
        <v>99.300000034387196</v>
      </c>
      <c r="T7" s="8">
        <v>1.7973154362416111</v>
      </c>
      <c r="U7" s="3">
        <v>178.47342288059659</v>
      </c>
      <c r="V7" s="4">
        <v>5.1844396987090358</v>
      </c>
      <c r="W7" s="6">
        <v>7482049808.8055735</v>
      </c>
      <c r="X7" s="4">
        <v>22.735772630001449</v>
      </c>
      <c r="Y7" s="7">
        <v>4.8</v>
      </c>
      <c r="Z7" s="4">
        <v>4.8000000000000001E-2</v>
      </c>
      <c r="AA7" s="4">
        <v>-3.0365542680742461</v>
      </c>
      <c r="AB7" s="5">
        <v>0</v>
      </c>
      <c r="AC7" s="5">
        <v>0</v>
      </c>
      <c r="AD7" s="5">
        <v>0</v>
      </c>
      <c r="AE7" s="5">
        <v>1</v>
      </c>
      <c r="AF7" s="5">
        <v>0</v>
      </c>
      <c r="AG7" s="5">
        <v>0</v>
      </c>
      <c r="AH7" s="4">
        <v>0</v>
      </c>
      <c r="AI7" s="4">
        <v>7.5335214469261356</v>
      </c>
      <c r="AJ7" s="4">
        <v>7.5255520793262836</v>
      </c>
      <c r="AK7" s="4">
        <v>7.9693675998520064E-3</v>
      </c>
    </row>
    <row r="8" spans="1:37" x14ac:dyDescent="0.3">
      <c r="A8" s="2" t="s">
        <v>53</v>
      </c>
      <c r="B8" s="2" t="s">
        <v>54</v>
      </c>
      <c r="C8" s="2">
        <v>2003</v>
      </c>
      <c r="D8" s="2">
        <v>3</v>
      </c>
      <c r="E8" s="2">
        <v>7</v>
      </c>
      <c r="F8" s="2">
        <v>7</v>
      </c>
      <c r="G8" s="3">
        <v>1866.367749332602</v>
      </c>
      <c r="H8" s="4">
        <v>7.5317494409461609</v>
      </c>
      <c r="I8" s="3">
        <v>1857.8788758456431</v>
      </c>
      <c r="J8" s="3">
        <v>1862.6786036124979</v>
      </c>
      <c r="K8" s="4">
        <v>1.945910149055313</v>
      </c>
      <c r="L8" s="6">
        <v>35703000000</v>
      </c>
      <c r="M8" s="6">
        <v>4044600</v>
      </c>
      <c r="N8" s="3">
        <v>8827.3253226524248</v>
      </c>
      <c r="O8" s="7">
        <v>841</v>
      </c>
      <c r="P8" s="4">
        <v>1.8561236623067781</v>
      </c>
      <c r="Q8" s="3">
        <v>16384.607406254981</v>
      </c>
      <c r="R8" s="4">
        <v>9.7040976002877226</v>
      </c>
      <c r="S8" s="7">
        <v>106.40000000902231</v>
      </c>
      <c r="T8" s="8">
        <v>1.7901069518716579</v>
      </c>
      <c r="U8" s="3">
        <v>190.46737969529531</v>
      </c>
      <c r="V8" s="4">
        <v>5.2494809447090356</v>
      </c>
      <c r="W8" s="6">
        <v>7548710998.9506416</v>
      </c>
      <c r="X8" s="4">
        <v>22.744642657015749</v>
      </c>
      <c r="Y8" s="7">
        <v>4.5</v>
      </c>
      <c r="Z8" s="4">
        <v>4.4999999999999998E-2</v>
      </c>
      <c r="AA8" s="4">
        <v>-3.1010927892118172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0</v>
      </c>
      <c r="AH8" s="4">
        <v>0</v>
      </c>
      <c r="AI8" s="4">
        <v>7.5271907266382581</v>
      </c>
      <c r="AJ8" s="4">
        <v>7.5297708402131711</v>
      </c>
      <c r="AK8" s="4">
        <v>-2.580113574913057E-3</v>
      </c>
    </row>
    <row r="9" spans="1:37" x14ac:dyDescent="0.3">
      <c r="A9" s="2" t="s">
        <v>55</v>
      </c>
      <c r="B9" s="2" t="s">
        <v>56</v>
      </c>
      <c r="C9" s="2">
        <v>2003</v>
      </c>
      <c r="D9" s="2">
        <v>4</v>
      </c>
      <c r="E9" s="2">
        <v>8</v>
      </c>
      <c r="F9" s="2">
        <v>8</v>
      </c>
      <c r="G9" s="3">
        <v>1902.61447448325</v>
      </c>
      <c r="H9" s="4">
        <v>7.5509842584819076</v>
      </c>
      <c r="I9" s="3">
        <v>1866.367749332602</v>
      </c>
      <c r="J9" s="3">
        <v>1899.2888291481611</v>
      </c>
      <c r="K9" s="4">
        <v>2.0794415416798362</v>
      </c>
      <c r="L9" s="6">
        <v>36381000000</v>
      </c>
      <c r="M9" s="6">
        <v>4061600</v>
      </c>
      <c r="N9" s="3">
        <v>8957.3074650384078</v>
      </c>
      <c r="O9" s="7">
        <v>847</v>
      </c>
      <c r="P9" s="4">
        <v>1.8429752066115701</v>
      </c>
      <c r="Q9" s="3">
        <v>16508.095576062518</v>
      </c>
      <c r="R9" s="4">
        <v>9.7116061805372311</v>
      </c>
      <c r="S9" s="7">
        <v>104.19999996942271</v>
      </c>
      <c r="T9" s="8">
        <v>1.7758620689655169</v>
      </c>
      <c r="U9" s="3">
        <v>185.0448275319059</v>
      </c>
      <c r="V9" s="4">
        <v>5.2205981067090352</v>
      </c>
      <c r="W9" s="6">
        <v>7727658949.5611668</v>
      </c>
      <c r="X9" s="4">
        <v>22.768071801097229</v>
      </c>
      <c r="Y9" s="7">
        <v>4.7</v>
      </c>
      <c r="Z9" s="4">
        <v>4.7E-2</v>
      </c>
      <c r="AA9" s="4">
        <v>-3.0576076772720779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1</v>
      </c>
      <c r="AH9" s="4">
        <v>0</v>
      </c>
      <c r="AI9" s="4">
        <v>7.5317494409461609</v>
      </c>
      <c r="AJ9" s="4">
        <v>7.5492347946382976</v>
      </c>
      <c r="AK9" s="4">
        <v>-1.7485353692136659E-2</v>
      </c>
    </row>
    <row r="10" spans="1:37" x14ac:dyDescent="0.3">
      <c r="A10" s="2" t="s">
        <v>57</v>
      </c>
      <c r="B10" s="2" t="s">
        <v>58</v>
      </c>
      <c r="C10" s="2">
        <v>2004</v>
      </c>
      <c r="D10" s="2">
        <v>1</v>
      </c>
      <c r="E10" s="2">
        <v>9</v>
      </c>
      <c r="F10" s="2">
        <v>9</v>
      </c>
      <c r="G10" s="3">
        <v>1893.01218224339</v>
      </c>
      <c r="H10" s="4">
        <v>7.5459245866050919</v>
      </c>
      <c r="I10" s="3">
        <v>1902.61447448325</v>
      </c>
      <c r="J10" s="3">
        <v>1869.67789607901</v>
      </c>
      <c r="K10" s="4">
        <v>2.19722457733622</v>
      </c>
      <c r="L10" s="6">
        <v>37466000000</v>
      </c>
      <c r="M10" s="6">
        <v>4078700</v>
      </c>
      <c r="N10" s="3">
        <v>9185.7699757275604</v>
      </c>
      <c r="O10" s="7">
        <v>850</v>
      </c>
      <c r="P10" s="4">
        <v>1.8364705882352941</v>
      </c>
      <c r="Q10" s="3">
        <v>16869.396390718499</v>
      </c>
      <c r="R10" s="4">
        <v>9.7332563948594952</v>
      </c>
      <c r="S10" s="7">
        <v>109.800000041711</v>
      </c>
      <c r="T10" s="8">
        <v>1.768824306472919</v>
      </c>
      <c r="U10" s="3">
        <v>194.21690892450599</v>
      </c>
      <c r="V10" s="4">
        <v>5.2689756217090364</v>
      </c>
      <c r="W10" s="6">
        <v>7721028787.716114</v>
      </c>
      <c r="X10" s="4">
        <v>22.76721345476194</v>
      </c>
      <c r="Y10" s="7">
        <v>4.3</v>
      </c>
      <c r="Z10" s="4">
        <v>4.2999999999999997E-2</v>
      </c>
      <c r="AA10" s="4">
        <v>-3.1465551632885749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4">
        <v>0</v>
      </c>
      <c r="AI10" s="4">
        <v>7.5509842584819076</v>
      </c>
      <c r="AJ10" s="4">
        <v>7.5335214469261356</v>
      </c>
      <c r="AK10" s="4">
        <v>1.7462811555771118E-2</v>
      </c>
    </row>
    <row r="11" spans="1:37" x14ac:dyDescent="0.3">
      <c r="A11" s="2" t="s">
        <v>59</v>
      </c>
      <c r="B11" s="2" t="s">
        <v>60</v>
      </c>
      <c r="C11" s="2">
        <v>2004</v>
      </c>
      <c r="D11" s="2">
        <v>2</v>
      </c>
      <c r="E11" s="2">
        <v>10</v>
      </c>
      <c r="F11" s="2">
        <v>10</v>
      </c>
      <c r="G11" s="3">
        <v>1857.5757538064281</v>
      </c>
      <c r="H11" s="4">
        <v>7.5270275584286566</v>
      </c>
      <c r="I11" s="3">
        <v>1893.01218224339</v>
      </c>
      <c r="J11" s="3">
        <v>1857.8788758456431</v>
      </c>
      <c r="K11" s="4">
        <v>2.3025850929940459</v>
      </c>
      <c r="L11" s="6">
        <v>38019000000</v>
      </c>
      <c r="M11" s="6">
        <v>4087500</v>
      </c>
      <c r="N11" s="3">
        <v>9301.2844036697243</v>
      </c>
      <c r="O11" s="7">
        <v>862</v>
      </c>
      <c r="P11" s="4">
        <v>1.8109048723897909</v>
      </c>
      <c r="Q11" s="3">
        <v>16843.741246088681</v>
      </c>
      <c r="R11" s="4">
        <v>9.7317344273785409</v>
      </c>
      <c r="S11" s="7">
        <v>118.3999999825259</v>
      </c>
      <c r="T11" s="8">
        <v>1.7549148099606811</v>
      </c>
      <c r="U11" s="3">
        <v>207.78191346867911</v>
      </c>
      <c r="V11" s="4">
        <v>5.3364890367090352</v>
      </c>
      <c r="W11" s="6">
        <v>7592840893.6837759</v>
      </c>
      <c r="X11" s="4">
        <v>22.750471652616302</v>
      </c>
      <c r="Y11" s="7">
        <v>4.2</v>
      </c>
      <c r="Z11" s="4">
        <v>4.2000000000000003E-2</v>
      </c>
      <c r="AA11" s="4">
        <v>-3.1700856606987688</v>
      </c>
      <c r="AB11" s="5">
        <v>0</v>
      </c>
      <c r="AC11" s="5">
        <v>0</v>
      </c>
      <c r="AD11" s="5">
        <v>0</v>
      </c>
      <c r="AE11" s="5">
        <v>1</v>
      </c>
      <c r="AF11" s="5">
        <v>0</v>
      </c>
      <c r="AG11" s="5">
        <v>0</v>
      </c>
      <c r="AH11" s="4">
        <v>0</v>
      </c>
      <c r="AI11" s="4">
        <v>7.5459245866050919</v>
      </c>
      <c r="AJ11" s="4">
        <v>7.5271907266382581</v>
      </c>
      <c r="AK11" s="4">
        <v>1.8733859966833851E-2</v>
      </c>
    </row>
    <row r="12" spans="1:37" x14ac:dyDescent="0.3">
      <c r="A12" s="2" t="s">
        <v>61</v>
      </c>
      <c r="B12" s="2" t="s">
        <v>62</v>
      </c>
      <c r="C12" s="2">
        <v>2004</v>
      </c>
      <c r="D12" s="2">
        <v>3</v>
      </c>
      <c r="E12" s="2">
        <v>11</v>
      </c>
      <c r="F12" s="2">
        <v>11</v>
      </c>
      <c r="G12" s="3">
        <v>1860.3516663535779</v>
      </c>
      <c r="H12" s="4">
        <v>7.5285208167681894</v>
      </c>
      <c r="I12" s="3">
        <v>1857.5757538064281</v>
      </c>
      <c r="J12" s="3">
        <v>1866.367749332602</v>
      </c>
      <c r="K12" s="4">
        <v>2.3978952727983711</v>
      </c>
      <c r="L12" s="6">
        <v>38645000000</v>
      </c>
      <c r="M12" s="6">
        <v>4100600</v>
      </c>
      <c r="N12" s="3">
        <v>9424.230600399942</v>
      </c>
      <c r="O12" s="7">
        <v>875</v>
      </c>
      <c r="P12" s="4">
        <v>1.784</v>
      </c>
      <c r="Q12" s="3">
        <v>16812.8273911135</v>
      </c>
      <c r="R12" s="4">
        <v>9.7298974092319792</v>
      </c>
      <c r="S12" s="7">
        <v>119.1999999706613</v>
      </c>
      <c r="T12" s="8">
        <v>1.745762711864407</v>
      </c>
      <c r="U12" s="3">
        <v>208.09491520301879</v>
      </c>
      <c r="V12" s="4">
        <v>5.3379942987090354</v>
      </c>
      <c r="W12" s="6">
        <v>7628558043.0494833</v>
      </c>
      <c r="X12" s="4">
        <v>22.755164679199272</v>
      </c>
      <c r="Y12" s="7">
        <v>3.9</v>
      </c>
      <c r="Z12" s="4">
        <v>3.9E-2</v>
      </c>
      <c r="AA12" s="4">
        <v>-3.244193632852491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0</v>
      </c>
      <c r="AH12" s="4">
        <v>0</v>
      </c>
      <c r="AI12" s="4">
        <v>7.5270275584286566</v>
      </c>
      <c r="AJ12" s="4">
        <v>7.5317494409461609</v>
      </c>
      <c r="AK12" s="4">
        <v>-4.7218825175043833E-3</v>
      </c>
    </row>
    <row r="13" spans="1:37" x14ac:dyDescent="0.3">
      <c r="A13" s="2" t="s">
        <v>63</v>
      </c>
      <c r="B13" s="2" t="s">
        <v>64</v>
      </c>
      <c r="C13" s="2">
        <v>2004</v>
      </c>
      <c r="D13" s="2">
        <v>4</v>
      </c>
      <c r="E13" s="2">
        <v>12</v>
      </c>
      <c r="F13" s="2">
        <v>12</v>
      </c>
      <c r="G13" s="3">
        <v>1897.6678537709261</v>
      </c>
      <c r="H13" s="4">
        <v>7.5483809658427239</v>
      </c>
      <c r="I13" s="3">
        <v>1860.3516663535779</v>
      </c>
      <c r="J13" s="3">
        <v>1902.61447448325</v>
      </c>
      <c r="K13" s="4">
        <v>2.4849066497879999</v>
      </c>
      <c r="L13" s="6">
        <v>38871000000</v>
      </c>
      <c r="M13" s="6">
        <v>4114300</v>
      </c>
      <c r="N13" s="3">
        <v>9447.7796952093922</v>
      </c>
      <c r="O13" s="7">
        <v>879</v>
      </c>
      <c r="P13" s="4">
        <v>1.775881683731513</v>
      </c>
      <c r="Q13" s="3">
        <v>16778.138912652859</v>
      </c>
      <c r="R13" s="4">
        <v>9.7278320628243939</v>
      </c>
      <c r="S13" s="7">
        <v>118.4000000186698</v>
      </c>
      <c r="T13" s="8">
        <v>1.729974160206718</v>
      </c>
      <c r="U13" s="3">
        <v>204.82894060077379</v>
      </c>
      <c r="V13" s="4">
        <v>5.3221751947090352</v>
      </c>
      <c r="W13" s="6">
        <v>7807574850.769721</v>
      </c>
      <c r="X13" s="4">
        <v>22.77836023410978</v>
      </c>
      <c r="Y13" s="7">
        <v>3.7</v>
      </c>
      <c r="Z13" s="4">
        <v>3.7000000000000012E-2</v>
      </c>
      <c r="AA13" s="4">
        <v>-3.296837366337912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1</v>
      </c>
      <c r="AH13" s="4">
        <v>0</v>
      </c>
      <c r="AI13" s="4">
        <v>7.5285208167681894</v>
      </c>
      <c r="AJ13" s="4">
        <v>7.5509842584819076</v>
      </c>
      <c r="AK13" s="4">
        <v>-2.2463441713718169E-2</v>
      </c>
    </row>
    <row r="14" spans="1:37" x14ac:dyDescent="0.3">
      <c r="A14" s="2" t="s">
        <v>65</v>
      </c>
      <c r="B14" s="2" t="s">
        <v>66</v>
      </c>
      <c r="C14" s="2">
        <v>2005</v>
      </c>
      <c r="D14" s="2">
        <v>1</v>
      </c>
      <c r="E14" s="2">
        <v>13</v>
      </c>
      <c r="F14" s="2">
        <v>13</v>
      </c>
      <c r="G14" s="3">
        <v>1872.5973390249451</v>
      </c>
      <c r="H14" s="4">
        <v>7.535081697498196</v>
      </c>
      <c r="I14" s="3">
        <v>1897.6678537709261</v>
      </c>
      <c r="J14" s="3">
        <v>1893.01218224339</v>
      </c>
      <c r="K14" s="4">
        <v>2.5649493574615372</v>
      </c>
      <c r="L14" s="6">
        <v>39022000000</v>
      </c>
      <c r="M14" s="6">
        <v>4126600</v>
      </c>
      <c r="N14" s="3">
        <v>9456.2109242475653</v>
      </c>
      <c r="O14" s="7">
        <v>880</v>
      </c>
      <c r="P14" s="4">
        <v>1.773863636363636</v>
      </c>
      <c r="Q14" s="3">
        <v>16774.02869630733</v>
      </c>
      <c r="R14" s="4">
        <v>9.7275870583040316</v>
      </c>
      <c r="S14" s="7">
        <v>118.30000002506929</v>
      </c>
      <c r="T14" s="8">
        <v>1.721079691516709</v>
      </c>
      <c r="U14" s="3">
        <v>203.60372754957299</v>
      </c>
      <c r="V14" s="4">
        <v>5.3161755927090351</v>
      </c>
      <c r="W14" s="6">
        <v>7727460179.2203388</v>
      </c>
      <c r="X14" s="4">
        <v>22.76804607883146</v>
      </c>
      <c r="Y14" s="7">
        <v>3.9</v>
      </c>
      <c r="Z14" s="4">
        <v>3.9E-2</v>
      </c>
      <c r="AA14" s="4">
        <v>-3.244193632852491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4">
        <v>0</v>
      </c>
      <c r="AI14" s="4">
        <v>7.5483809658427239</v>
      </c>
      <c r="AJ14" s="4">
        <v>7.5459245866050919</v>
      </c>
      <c r="AK14" s="4">
        <v>2.4563792376319782E-3</v>
      </c>
    </row>
    <row r="15" spans="1:37" x14ac:dyDescent="0.3">
      <c r="A15" s="2" t="s">
        <v>67</v>
      </c>
      <c r="B15" s="2" t="s">
        <v>68</v>
      </c>
      <c r="C15" s="2">
        <v>2005</v>
      </c>
      <c r="D15" s="2">
        <v>2</v>
      </c>
      <c r="E15" s="2">
        <v>14</v>
      </c>
      <c r="F15" s="2">
        <v>14</v>
      </c>
      <c r="G15" s="3">
        <v>1850.1305563359681</v>
      </c>
      <c r="H15" s="4">
        <v>7.5230114865747701</v>
      </c>
      <c r="I15" s="3">
        <v>1872.5973390249451</v>
      </c>
      <c r="J15" s="3">
        <v>1857.5757538064281</v>
      </c>
      <c r="K15" s="4">
        <v>2.639057329615258</v>
      </c>
      <c r="L15" s="6">
        <v>40272000000</v>
      </c>
      <c r="M15" s="6">
        <v>4133900</v>
      </c>
      <c r="N15" s="3">
        <v>9741.8902247272545</v>
      </c>
      <c r="O15" s="7">
        <v>886</v>
      </c>
      <c r="P15" s="4">
        <v>1.7618510158013549</v>
      </c>
      <c r="Q15" s="3">
        <v>17163.759188261</v>
      </c>
      <c r="R15" s="4">
        <v>9.7505554159652768</v>
      </c>
      <c r="S15" s="7">
        <v>126.8000000463004</v>
      </c>
      <c r="T15" s="8">
        <v>1.7079081632653059</v>
      </c>
      <c r="U15" s="3">
        <v>216.56275518111761</v>
      </c>
      <c r="V15" s="4">
        <v>5.377880367709035</v>
      </c>
      <c r="W15" s="6">
        <v>7648254706.8372583</v>
      </c>
      <c r="X15" s="4">
        <v>22.757743315859219</v>
      </c>
      <c r="Y15" s="7">
        <v>3.8</v>
      </c>
      <c r="Z15" s="4">
        <v>3.7999999999999999E-2</v>
      </c>
      <c r="AA15" s="4">
        <v>-3.2701691192557512</v>
      </c>
      <c r="AB15" s="5">
        <v>0</v>
      </c>
      <c r="AC15" s="5">
        <v>0</v>
      </c>
      <c r="AD15" s="5">
        <v>0</v>
      </c>
      <c r="AE15" s="5">
        <v>1</v>
      </c>
      <c r="AF15" s="5">
        <v>0</v>
      </c>
      <c r="AG15" s="5">
        <v>0</v>
      </c>
      <c r="AH15" s="4">
        <v>0</v>
      </c>
      <c r="AI15" s="4">
        <v>7.535081697498196</v>
      </c>
      <c r="AJ15" s="4">
        <v>7.5270275584286566</v>
      </c>
      <c r="AK15" s="4">
        <v>8.0541390695394455E-3</v>
      </c>
    </row>
    <row r="16" spans="1:37" x14ac:dyDescent="0.3">
      <c r="A16" s="2" t="s">
        <v>69</v>
      </c>
      <c r="B16" s="2" t="s">
        <v>70</v>
      </c>
      <c r="C16" s="2">
        <v>2005</v>
      </c>
      <c r="D16" s="2">
        <v>3</v>
      </c>
      <c r="E16" s="2">
        <v>15</v>
      </c>
      <c r="F16" s="2">
        <v>15</v>
      </c>
      <c r="G16" s="3">
        <v>1842.579241616543</v>
      </c>
      <c r="H16" s="4">
        <v>7.5189216308003131</v>
      </c>
      <c r="I16" s="3">
        <v>1850.1305563359681</v>
      </c>
      <c r="J16" s="3">
        <v>1860.3516663535779</v>
      </c>
      <c r="K16" s="4">
        <v>2.7080502011022101</v>
      </c>
      <c r="L16" s="6">
        <v>40823000000</v>
      </c>
      <c r="M16" s="6">
        <v>4145900</v>
      </c>
      <c r="N16" s="3">
        <v>9846.5954316312509</v>
      </c>
      <c r="O16" s="7">
        <v>896</v>
      </c>
      <c r="P16" s="4">
        <v>1.7421875</v>
      </c>
      <c r="Q16" s="3">
        <v>17154.615478545071</v>
      </c>
      <c r="R16" s="4">
        <v>9.7500225405001029</v>
      </c>
      <c r="S16" s="7">
        <v>143.60000000554109</v>
      </c>
      <c r="T16" s="8">
        <v>1.688524590163935</v>
      </c>
      <c r="U16" s="3">
        <v>242.47213115689721</v>
      </c>
      <c r="V16" s="4">
        <v>5.4908867807090349</v>
      </c>
      <c r="W16" s="6">
        <v>7639149277.8180246</v>
      </c>
      <c r="X16" s="4">
        <v>22.756552082853911</v>
      </c>
      <c r="Y16" s="7">
        <v>3.8</v>
      </c>
      <c r="Z16" s="4">
        <v>3.7999999999999999E-2</v>
      </c>
      <c r="AA16" s="4">
        <v>-3.2701691192557512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0</v>
      </c>
      <c r="AH16" s="4">
        <v>0</v>
      </c>
      <c r="AI16" s="4">
        <v>7.5230114865747701</v>
      </c>
      <c r="AJ16" s="4">
        <v>7.5285208167681894</v>
      </c>
      <c r="AK16" s="4">
        <v>-5.5093301934192604E-3</v>
      </c>
    </row>
    <row r="17" spans="1:37" x14ac:dyDescent="0.3">
      <c r="A17" s="2" t="s">
        <v>71</v>
      </c>
      <c r="B17" s="2" t="s">
        <v>72</v>
      </c>
      <c r="C17" s="2">
        <v>2005</v>
      </c>
      <c r="D17" s="2">
        <v>4</v>
      </c>
      <c r="E17" s="2">
        <v>16</v>
      </c>
      <c r="F17" s="2">
        <v>16</v>
      </c>
      <c r="G17" s="3">
        <v>1864.762211585816</v>
      </c>
      <c r="H17" s="4">
        <v>7.5308888234588576</v>
      </c>
      <c r="I17" s="3">
        <v>1842.579241616543</v>
      </c>
      <c r="J17" s="3">
        <v>1897.6678537709261</v>
      </c>
      <c r="K17" s="4">
        <v>2.7725887222397811</v>
      </c>
      <c r="L17" s="6">
        <v>40680000000</v>
      </c>
      <c r="M17" s="6">
        <v>4161000</v>
      </c>
      <c r="N17" s="3">
        <v>9776.4960346070657</v>
      </c>
      <c r="O17" s="7">
        <v>893</v>
      </c>
      <c r="P17" s="4">
        <v>1.7480403135498319</v>
      </c>
      <c r="Q17" s="3">
        <v>17089.70919375322</v>
      </c>
      <c r="R17" s="4">
        <v>9.7462317598006258</v>
      </c>
      <c r="S17" s="7">
        <v>139.299999999774</v>
      </c>
      <c r="T17" s="8">
        <v>1.6758448060075091</v>
      </c>
      <c r="U17" s="3">
        <v>233.44518147646741</v>
      </c>
      <c r="V17" s="4">
        <v>5.4529472807090356</v>
      </c>
      <c r="W17" s="6">
        <v>7759275562.4085789</v>
      </c>
      <c r="X17" s="4">
        <v>22.772154811423938</v>
      </c>
      <c r="Y17" s="7">
        <v>3.7</v>
      </c>
      <c r="Z17" s="4">
        <v>3.7000000000000012E-2</v>
      </c>
      <c r="AA17" s="4">
        <v>-3.296837366337912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</v>
      </c>
      <c r="AH17" s="4">
        <v>0</v>
      </c>
      <c r="AI17" s="4">
        <v>7.5189216308003131</v>
      </c>
      <c r="AJ17" s="4">
        <v>7.5483809658427239</v>
      </c>
      <c r="AK17" s="4">
        <v>-2.9459335042410831E-2</v>
      </c>
    </row>
    <row r="18" spans="1:37" x14ac:dyDescent="0.3">
      <c r="A18" s="2" t="s">
        <v>73</v>
      </c>
      <c r="B18" s="2" t="s">
        <v>74</v>
      </c>
      <c r="C18" s="2">
        <v>2006</v>
      </c>
      <c r="D18" s="2">
        <v>1</v>
      </c>
      <c r="E18" s="2">
        <v>17</v>
      </c>
      <c r="F18" s="2">
        <v>17</v>
      </c>
      <c r="G18" s="3">
        <v>1827.827107395987</v>
      </c>
      <c r="H18" s="4">
        <v>7.5108831673419747</v>
      </c>
      <c r="I18" s="3">
        <v>1864.762211585816</v>
      </c>
      <c r="J18" s="3">
        <v>1872.5973390249451</v>
      </c>
      <c r="K18" s="4">
        <v>2.8332133440562162</v>
      </c>
      <c r="L18" s="6">
        <v>41175000000</v>
      </c>
      <c r="M18" s="6">
        <v>4176100</v>
      </c>
      <c r="N18" s="3">
        <v>9859.6776897104955</v>
      </c>
      <c r="O18" s="7">
        <v>896</v>
      </c>
      <c r="P18" s="4">
        <v>1.7421875</v>
      </c>
      <c r="Q18" s="3">
        <v>17177.407225042509</v>
      </c>
      <c r="R18" s="4">
        <v>9.7513502659325617</v>
      </c>
      <c r="S18" s="7">
        <v>146.10000003038459</v>
      </c>
      <c r="T18" s="8">
        <v>1.6674968866749691</v>
      </c>
      <c r="U18" s="3">
        <v>243.62129519387921</v>
      </c>
      <c r="V18" s="4">
        <v>5.4956149507090357</v>
      </c>
      <c r="W18" s="6">
        <v>7633188783.1963806</v>
      </c>
      <c r="X18" s="4">
        <v>22.755771521960028</v>
      </c>
      <c r="Y18" s="7">
        <v>4.0999999999999996</v>
      </c>
      <c r="Z18" s="4">
        <v>4.0999999999999988E-2</v>
      </c>
      <c r="AA18" s="4">
        <v>-3.1941832122778289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4">
        <v>0</v>
      </c>
      <c r="AI18" s="4">
        <v>7.5308888234588576</v>
      </c>
      <c r="AJ18" s="4">
        <v>7.535081697498196</v>
      </c>
      <c r="AK18" s="4">
        <v>-4.1928740393375463E-3</v>
      </c>
    </row>
    <row r="19" spans="1:37" x14ac:dyDescent="0.3">
      <c r="A19" s="2" t="s">
        <v>75</v>
      </c>
      <c r="B19" s="2" t="s">
        <v>76</v>
      </c>
      <c r="C19" s="2">
        <v>2006</v>
      </c>
      <c r="D19" s="2">
        <v>2</v>
      </c>
      <c r="E19" s="2">
        <v>18</v>
      </c>
      <c r="F19" s="2">
        <v>18</v>
      </c>
      <c r="G19" s="3">
        <v>1802.78104279119</v>
      </c>
      <c r="H19" s="4">
        <v>7.4970857753358624</v>
      </c>
      <c r="I19" s="3">
        <v>1827.827107395987</v>
      </c>
      <c r="J19" s="3">
        <v>1850.1305563359681</v>
      </c>
      <c r="K19" s="4">
        <v>2.890371757896165</v>
      </c>
      <c r="L19" s="6">
        <v>41785000000</v>
      </c>
      <c r="M19" s="6">
        <v>4184600</v>
      </c>
      <c r="N19" s="3">
        <v>9985.4227405247821</v>
      </c>
      <c r="O19" s="7">
        <v>913</v>
      </c>
      <c r="P19" s="4">
        <v>1.7097480832420591</v>
      </c>
      <c r="Q19" s="3">
        <v>17072.557390973911</v>
      </c>
      <c r="R19" s="4">
        <v>9.7452276224329868</v>
      </c>
      <c r="S19" s="7">
        <v>167.89999998295389</v>
      </c>
      <c r="T19" s="8">
        <v>1.64093137254902</v>
      </c>
      <c r="U19" s="3">
        <v>275.51237742300879</v>
      </c>
      <c r="V19" s="4">
        <v>5.618632554709035</v>
      </c>
      <c r="W19" s="6">
        <v>7543917551.6640129</v>
      </c>
      <c r="X19" s="4">
        <v>22.744007453223151</v>
      </c>
      <c r="Y19" s="7">
        <v>3.7</v>
      </c>
      <c r="Z19" s="4">
        <v>3.7000000000000012E-2</v>
      </c>
      <c r="AA19" s="4">
        <v>-3.296837366337912</v>
      </c>
      <c r="AB19" s="5">
        <v>0</v>
      </c>
      <c r="AC19" s="5">
        <v>0</v>
      </c>
      <c r="AD19" s="5">
        <v>0</v>
      </c>
      <c r="AE19" s="5">
        <v>1</v>
      </c>
      <c r="AF19" s="5">
        <v>0</v>
      </c>
      <c r="AG19" s="5">
        <v>0</v>
      </c>
      <c r="AH19" s="4">
        <v>0</v>
      </c>
      <c r="AI19" s="4">
        <v>7.5108831673419747</v>
      </c>
      <c r="AJ19" s="4">
        <v>7.5230114865747701</v>
      </c>
      <c r="AK19" s="4">
        <v>-1.212831923279545E-2</v>
      </c>
    </row>
    <row r="20" spans="1:37" x14ac:dyDescent="0.3">
      <c r="A20" s="2" t="s">
        <v>77</v>
      </c>
      <c r="B20" s="2" t="s">
        <v>78</v>
      </c>
      <c r="C20" s="2">
        <v>2006</v>
      </c>
      <c r="D20" s="2">
        <v>3</v>
      </c>
      <c r="E20" s="2">
        <v>19</v>
      </c>
      <c r="F20" s="2">
        <v>19</v>
      </c>
      <c r="G20" s="3">
        <v>1804.1733997462179</v>
      </c>
      <c r="H20" s="4">
        <v>7.4978578155966247</v>
      </c>
      <c r="I20" s="3">
        <v>1802.78104279119</v>
      </c>
      <c r="J20" s="3">
        <v>1842.579241616543</v>
      </c>
      <c r="K20" s="4">
        <v>2.9444389791664398</v>
      </c>
      <c r="L20" s="6">
        <v>42293000000</v>
      </c>
      <c r="M20" s="6">
        <v>4195500</v>
      </c>
      <c r="N20" s="3">
        <v>10080.56250744846</v>
      </c>
      <c r="O20" s="7">
        <v>908</v>
      </c>
      <c r="P20" s="4">
        <v>1.7191629955947141</v>
      </c>
      <c r="Q20" s="3">
        <v>17330.130037584851</v>
      </c>
      <c r="R20" s="4">
        <v>9.7602018862928581</v>
      </c>
      <c r="S20" s="7">
        <v>166.5999999562757</v>
      </c>
      <c r="T20" s="8">
        <v>1.6309378806333741</v>
      </c>
      <c r="U20" s="3">
        <v>271.7142508422084</v>
      </c>
      <c r="V20" s="4">
        <v>5.6047509657090364</v>
      </c>
      <c r="W20" s="6">
        <v>7569409498.6352587</v>
      </c>
      <c r="X20" s="4">
        <v>22.747380895888881</v>
      </c>
      <c r="Y20" s="7">
        <v>3.9</v>
      </c>
      <c r="Z20" s="4">
        <v>3.9E-2</v>
      </c>
      <c r="AA20" s="4">
        <v>-3.244193632852491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0</v>
      </c>
      <c r="AH20" s="4">
        <v>0</v>
      </c>
      <c r="AI20" s="4">
        <v>7.4970857753358624</v>
      </c>
      <c r="AJ20" s="4">
        <v>7.5189216308003131</v>
      </c>
      <c r="AK20" s="4">
        <v>-2.1835855464451551E-2</v>
      </c>
    </row>
    <row r="21" spans="1:37" x14ac:dyDescent="0.3">
      <c r="A21" s="2" t="s">
        <v>79</v>
      </c>
      <c r="B21" s="2" t="s">
        <v>80</v>
      </c>
      <c r="C21" s="2">
        <v>2006</v>
      </c>
      <c r="D21" s="2">
        <v>4</v>
      </c>
      <c r="E21" s="2">
        <v>20</v>
      </c>
      <c r="F21" s="2">
        <v>20</v>
      </c>
      <c r="G21" s="3">
        <v>1847.0202552922719</v>
      </c>
      <c r="H21" s="4">
        <v>7.5213289467294011</v>
      </c>
      <c r="I21" s="3">
        <v>1804.1733997462179</v>
      </c>
      <c r="J21" s="3">
        <v>1864.762211585816</v>
      </c>
      <c r="K21" s="4">
        <v>2.9957322735539909</v>
      </c>
      <c r="L21" s="6">
        <v>43649000000</v>
      </c>
      <c r="M21" s="6">
        <v>4209100</v>
      </c>
      <c r="N21" s="3">
        <v>10370.15038844409</v>
      </c>
      <c r="O21" s="7">
        <v>930</v>
      </c>
      <c r="P21" s="4">
        <v>1.678494623655914</v>
      </c>
      <c r="Q21" s="3">
        <v>17406.24167350668</v>
      </c>
      <c r="R21" s="4">
        <v>9.7645841377473062</v>
      </c>
      <c r="S21" s="7">
        <v>140.90000005234819</v>
      </c>
      <c r="T21" s="8">
        <v>1.632926829268293</v>
      </c>
      <c r="U21" s="3">
        <v>230.07939032938319</v>
      </c>
      <c r="V21" s="4">
        <v>5.4384244247090354</v>
      </c>
      <c r="W21" s="6">
        <v>7774292956.550704</v>
      </c>
      <c r="X21" s="4">
        <v>22.77408835281237</v>
      </c>
      <c r="Y21" s="7">
        <v>3.8</v>
      </c>
      <c r="Z21" s="4">
        <v>3.7999999999999999E-2</v>
      </c>
      <c r="AA21" s="4">
        <v>-3.2701691192557512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</v>
      </c>
      <c r="AH21" s="4">
        <v>0</v>
      </c>
      <c r="AI21" s="4">
        <v>7.4978578155966247</v>
      </c>
      <c r="AJ21" s="4">
        <v>7.5308888234588576</v>
      </c>
      <c r="AK21" s="4">
        <v>-3.3031007862233792E-2</v>
      </c>
    </row>
    <row r="22" spans="1:37" x14ac:dyDescent="0.3">
      <c r="A22" s="2" t="s">
        <v>81</v>
      </c>
      <c r="B22" s="2" t="s">
        <v>82</v>
      </c>
      <c r="C22" s="2">
        <v>2007</v>
      </c>
      <c r="D22" s="2">
        <v>1</v>
      </c>
      <c r="E22" s="2">
        <v>21</v>
      </c>
      <c r="F22" s="2">
        <v>21</v>
      </c>
      <c r="G22" s="3">
        <v>1828.437577284991</v>
      </c>
      <c r="H22" s="4">
        <v>7.5112170982508797</v>
      </c>
      <c r="I22" s="3">
        <v>1847.0202552922719</v>
      </c>
      <c r="J22" s="3">
        <v>1827.827107395987</v>
      </c>
      <c r="K22" s="4">
        <v>3.044522437723423</v>
      </c>
      <c r="L22" s="6">
        <v>44172000000</v>
      </c>
      <c r="M22" s="6">
        <v>4219400</v>
      </c>
      <c r="N22" s="3">
        <v>10468.787031331471</v>
      </c>
      <c r="O22" s="7">
        <v>934</v>
      </c>
      <c r="P22" s="4">
        <v>1.671306209850107</v>
      </c>
      <c r="Q22" s="3">
        <v>17496.548775062551</v>
      </c>
      <c r="R22" s="4">
        <v>9.7697589276090255</v>
      </c>
      <c r="S22" s="7">
        <v>142.29999997602641</v>
      </c>
      <c r="T22" s="8">
        <v>1.625</v>
      </c>
      <c r="U22" s="3">
        <v>231.23749996104289</v>
      </c>
      <c r="V22" s="4">
        <v>5.443445320709035</v>
      </c>
      <c r="W22" s="6">
        <v>7714909513.5962896</v>
      </c>
      <c r="X22" s="4">
        <v>22.766420594059738</v>
      </c>
      <c r="Y22" s="7">
        <v>3.9</v>
      </c>
      <c r="Z22" s="4">
        <v>3.9E-2</v>
      </c>
      <c r="AA22" s="4">
        <v>-3.244193632852491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4">
        <v>0</v>
      </c>
      <c r="AI22" s="4">
        <v>7.5213289467294011</v>
      </c>
      <c r="AJ22" s="4">
        <v>7.5108831673419747</v>
      </c>
      <c r="AK22" s="4">
        <v>1.0445779387426409E-2</v>
      </c>
    </row>
    <row r="23" spans="1:37" x14ac:dyDescent="0.3">
      <c r="A23" s="2" t="s">
        <v>83</v>
      </c>
      <c r="B23" s="2" t="s">
        <v>84</v>
      </c>
      <c r="C23" s="2">
        <v>2007</v>
      </c>
      <c r="D23" s="2">
        <v>2</v>
      </c>
      <c r="E23" s="2">
        <v>22</v>
      </c>
      <c r="F23" s="2">
        <v>22</v>
      </c>
      <c r="G23" s="3">
        <v>1813.758739784636</v>
      </c>
      <c r="H23" s="4">
        <v>7.5031566228137416</v>
      </c>
      <c r="I23" s="3">
        <v>1828.437577284991</v>
      </c>
      <c r="J23" s="3">
        <v>1802.78104279119</v>
      </c>
      <c r="K23" s="4">
        <v>3.0910424533583161</v>
      </c>
      <c r="L23" s="6">
        <v>45244000000</v>
      </c>
      <c r="M23" s="6">
        <v>4223800</v>
      </c>
      <c r="N23" s="3">
        <v>10711.68142430986</v>
      </c>
      <c r="O23" s="7">
        <v>944</v>
      </c>
      <c r="P23" s="4">
        <v>1.6536016949152541</v>
      </c>
      <c r="Q23" s="3">
        <v>17712.854558631039</v>
      </c>
      <c r="R23" s="4">
        <v>9.7820459012230661</v>
      </c>
      <c r="S23" s="7">
        <v>153.79999996424581</v>
      </c>
      <c r="T23" s="8">
        <v>1.609375</v>
      </c>
      <c r="U23" s="3">
        <v>247.52187494245811</v>
      </c>
      <c r="V23" s="4">
        <v>5.5114989617090364</v>
      </c>
      <c r="W23" s="6">
        <v>7660954165.1023474</v>
      </c>
      <c r="X23" s="4">
        <v>22.759402377576151</v>
      </c>
      <c r="Y23" s="7">
        <v>3.6</v>
      </c>
      <c r="Z23" s="4">
        <v>3.5999999999999997E-2</v>
      </c>
      <c r="AA23" s="4">
        <v>-3.3242363405260269</v>
      </c>
      <c r="AB23" s="5">
        <v>0</v>
      </c>
      <c r="AC23" s="5">
        <v>0</v>
      </c>
      <c r="AD23" s="5">
        <v>0</v>
      </c>
      <c r="AE23" s="5">
        <v>1</v>
      </c>
      <c r="AF23" s="5">
        <v>0</v>
      </c>
      <c r="AG23" s="5">
        <v>0</v>
      </c>
      <c r="AH23" s="4">
        <v>0</v>
      </c>
      <c r="AI23" s="4">
        <v>7.5112170982508797</v>
      </c>
      <c r="AJ23" s="4">
        <v>7.4970857753358624</v>
      </c>
      <c r="AK23" s="4">
        <v>1.4131322915018171E-2</v>
      </c>
    </row>
    <row r="24" spans="1:37" x14ac:dyDescent="0.3">
      <c r="A24" s="2" t="s">
        <v>85</v>
      </c>
      <c r="B24" s="2" t="s">
        <v>86</v>
      </c>
      <c r="C24" s="2">
        <v>2007</v>
      </c>
      <c r="D24" s="2">
        <v>3</v>
      </c>
      <c r="E24" s="2">
        <v>23</v>
      </c>
      <c r="F24" s="2">
        <v>23</v>
      </c>
      <c r="G24" s="3">
        <v>1811.3667922646</v>
      </c>
      <c r="H24" s="4">
        <v>7.5018369731376042</v>
      </c>
      <c r="I24" s="3">
        <v>1813.758739784636</v>
      </c>
      <c r="J24" s="3">
        <v>1804.1733997462179</v>
      </c>
      <c r="K24" s="4">
        <v>3.1354942159291501</v>
      </c>
      <c r="L24" s="6">
        <v>46562000000</v>
      </c>
      <c r="M24" s="6">
        <v>4234300</v>
      </c>
      <c r="N24" s="3">
        <v>10996.3866518669</v>
      </c>
      <c r="O24" s="7">
        <v>962</v>
      </c>
      <c r="P24" s="4">
        <v>1.6226611226611229</v>
      </c>
      <c r="Q24" s="3">
        <v>17843.409109734119</v>
      </c>
      <c r="R24" s="4">
        <v>9.7893894814729077</v>
      </c>
      <c r="S24" s="7">
        <v>156.599999928882</v>
      </c>
      <c r="T24" s="8">
        <v>1.6016746411483249</v>
      </c>
      <c r="U24" s="3">
        <v>250.82224868991989</v>
      </c>
      <c r="V24" s="4">
        <v>5.5247445157090356</v>
      </c>
      <c r="W24" s="6">
        <v>7669870408.4859982</v>
      </c>
      <c r="X24" s="4">
        <v>22.760565556287919</v>
      </c>
      <c r="Y24" s="7">
        <v>3.6</v>
      </c>
      <c r="Z24" s="4">
        <v>3.5999999999999997E-2</v>
      </c>
      <c r="AA24" s="4">
        <v>-3.3242363405260269</v>
      </c>
      <c r="AB24" s="5">
        <v>0</v>
      </c>
      <c r="AC24" s="5">
        <v>0</v>
      </c>
      <c r="AD24" s="5">
        <v>0</v>
      </c>
      <c r="AE24" s="5">
        <v>0</v>
      </c>
      <c r="AF24" s="5">
        <v>1</v>
      </c>
      <c r="AG24" s="5">
        <v>0</v>
      </c>
      <c r="AH24" s="4">
        <v>0</v>
      </c>
      <c r="AI24" s="4">
        <v>7.5031566228137416</v>
      </c>
      <c r="AJ24" s="4">
        <v>7.4978578155966247</v>
      </c>
      <c r="AK24" s="4">
        <v>5.298807217116952E-3</v>
      </c>
    </row>
    <row r="25" spans="1:37" x14ac:dyDescent="0.3">
      <c r="A25" s="2" t="s">
        <v>87</v>
      </c>
      <c r="B25" s="2" t="s">
        <v>88</v>
      </c>
      <c r="C25" s="2">
        <v>2007</v>
      </c>
      <c r="D25" s="2">
        <v>4</v>
      </c>
      <c r="E25" s="2">
        <v>24</v>
      </c>
      <c r="F25" s="2">
        <v>24</v>
      </c>
      <c r="G25" s="3">
        <v>1831.7925575307249</v>
      </c>
      <c r="H25" s="4">
        <v>7.513050306033854</v>
      </c>
      <c r="I25" s="3">
        <v>1811.3667922646</v>
      </c>
      <c r="J25" s="3">
        <v>1847.0202552922719</v>
      </c>
      <c r="K25" s="4">
        <v>3.1780538303479462</v>
      </c>
      <c r="L25" s="6">
        <v>47184000000</v>
      </c>
      <c r="M25" s="6">
        <v>4245700</v>
      </c>
      <c r="N25" s="3">
        <v>11113.36175424547</v>
      </c>
      <c r="O25" s="7">
        <v>970</v>
      </c>
      <c r="P25" s="4">
        <v>1.609278350515464</v>
      </c>
      <c r="Q25" s="3">
        <v>17884.4924725538</v>
      </c>
      <c r="R25" s="4">
        <v>9.791689274022028</v>
      </c>
      <c r="S25" s="7">
        <v>164.99999995437841</v>
      </c>
      <c r="T25" s="8">
        <v>1.58274231678487</v>
      </c>
      <c r="U25" s="3">
        <v>261.15248219729631</v>
      </c>
      <c r="V25" s="4">
        <v>5.5651044597090351</v>
      </c>
      <c r="W25" s="6">
        <v>7777241661.5082006</v>
      </c>
      <c r="X25" s="4">
        <v>22.774467570049161</v>
      </c>
      <c r="Y25" s="7">
        <v>3.4</v>
      </c>
      <c r="Z25" s="4">
        <v>3.4000000000000002E-2</v>
      </c>
      <c r="AA25" s="4">
        <v>-3.3813947543659761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1</v>
      </c>
      <c r="AH25" s="4">
        <v>0</v>
      </c>
      <c r="AI25" s="4">
        <v>7.5018369731376042</v>
      </c>
      <c r="AJ25" s="4">
        <v>7.5213289467294011</v>
      </c>
      <c r="AK25" s="4">
        <v>-1.9491973591796889E-2</v>
      </c>
    </row>
    <row r="26" spans="1:37" x14ac:dyDescent="0.3">
      <c r="A26" s="2" t="s">
        <v>89</v>
      </c>
      <c r="B26" s="2" t="s">
        <v>90</v>
      </c>
      <c r="C26" s="2">
        <v>2008</v>
      </c>
      <c r="D26" s="2">
        <v>1</v>
      </c>
      <c r="E26" s="2">
        <v>25</v>
      </c>
      <c r="F26" s="2">
        <v>25</v>
      </c>
      <c r="G26" s="3">
        <v>1807.4568482166319</v>
      </c>
      <c r="H26" s="4">
        <v>7.499676080008868</v>
      </c>
      <c r="I26" s="3">
        <v>1831.7925575307249</v>
      </c>
      <c r="J26" s="3">
        <v>1828.437577284991</v>
      </c>
      <c r="K26" s="4">
        <v>3.218875824868201</v>
      </c>
      <c r="L26" s="6">
        <v>47595000000</v>
      </c>
      <c r="M26" s="6">
        <v>4255600</v>
      </c>
      <c r="N26" s="3">
        <v>11184.08685026788</v>
      </c>
      <c r="O26" s="7">
        <v>983</v>
      </c>
      <c r="P26" s="4">
        <v>1.5879959308240079</v>
      </c>
      <c r="Q26" s="3">
        <v>17760.284408207699</v>
      </c>
      <c r="R26" s="4">
        <v>9.7847200303935971</v>
      </c>
      <c r="S26" s="7">
        <v>171.59999996453311</v>
      </c>
      <c r="T26" s="8">
        <v>1.571596244131455</v>
      </c>
      <c r="U26" s="3">
        <v>269.68591543721811</v>
      </c>
      <c r="V26" s="4">
        <v>5.5972580057090351</v>
      </c>
      <c r="W26" s="6">
        <v>7691813363.2706985</v>
      </c>
      <c r="X26" s="4">
        <v>22.763422400633221</v>
      </c>
      <c r="Y26" s="7">
        <v>3.8</v>
      </c>
      <c r="Z26" s="4">
        <v>3.7999999999999999E-2</v>
      </c>
      <c r="AA26" s="4">
        <v>-3.2701691192557512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4">
        <v>0</v>
      </c>
      <c r="AI26" s="4">
        <v>7.513050306033854</v>
      </c>
      <c r="AJ26" s="4">
        <v>7.5112170982508797</v>
      </c>
      <c r="AK26" s="4">
        <v>1.8332077829743549E-3</v>
      </c>
    </row>
    <row r="27" spans="1:37" x14ac:dyDescent="0.3">
      <c r="A27" s="2" t="s">
        <v>91</v>
      </c>
      <c r="B27" s="2" t="s">
        <v>92</v>
      </c>
      <c r="C27" s="2">
        <v>2008</v>
      </c>
      <c r="D27" s="2">
        <v>2</v>
      </c>
      <c r="E27" s="2">
        <v>26</v>
      </c>
      <c r="F27" s="2">
        <v>26</v>
      </c>
      <c r="G27" s="3">
        <v>1750.0072254172981</v>
      </c>
      <c r="H27" s="4">
        <v>7.4673751957189207</v>
      </c>
      <c r="I27" s="3">
        <v>1807.4568482166319</v>
      </c>
      <c r="J27" s="3">
        <v>1813.758739784636</v>
      </c>
      <c r="K27" s="4">
        <v>3.2580965380214821</v>
      </c>
      <c r="L27" s="6">
        <v>47561000000</v>
      </c>
      <c r="M27" s="6">
        <v>4259800</v>
      </c>
      <c r="N27" s="3">
        <v>11165.07817268416</v>
      </c>
      <c r="O27" s="7">
        <v>996</v>
      </c>
      <c r="P27" s="4">
        <v>1.5672690763052211</v>
      </c>
      <c r="Q27" s="3">
        <v>17498.681754578291</v>
      </c>
      <c r="R27" s="4">
        <v>9.7698808287644745</v>
      </c>
      <c r="S27" s="7">
        <v>193.69999991027669</v>
      </c>
      <c r="T27" s="8">
        <v>1.547976878612717</v>
      </c>
      <c r="U27" s="3">
        <v>299.84312124839357</v>
      </c>
      <c r="V27" s="4">
        <v>5.7032594087090356</v>
      </c>
      <c r="W27" s="6">
        <v>7454680778.8326054</v>
      </c>
      <c r="X27" s="4">
        <v>22.732107964505559</v>
      </c>
      <c r="Y27" s="7">
        <v>3.8</v>
      </c>
      <c r="Z27" s="4">
        <v>3.7999999999999999E-2</v>
      </c>
      <c r="AA27" s="4">
        <v>-3.2701691192557512</v>
      </c>
      <c r="AB27" s="5">
        <v>0</v>
      </c>
      <c r="AC27" s="5">
        <v>0</v>
      </c>
      <c r="AD27" s="5">
        <v>0</v>
      </c>
      <c r="AE27" s="5">
        <v>1</v>
      </c>
      <c r="AF27" s="5">
        <v>0</v>
      </c>
      <c r="AG27" s="5">
        <v>0</v>
      </c>
      <c r="AH27" s="4">
        <v>0</v>
      </c>
      <c r="AI27" s="4">
        <v>7.499676080008868</v>
      </c>
      <c r="AJ27" s="4">
        <v>7.5031566228137416</v>
      </c>
      <c r="AK27" s="4">
        <v>-3.4805428048736431E-3</v>
      </c>
    </row>
    <row r="28" spans="1:37" x14ac:dyDescent="0.3">
      <c r="A28" s="2" t="s">
        <v>93</v>
      </c>
      <c r="B28" s="2" t="s">
        <v>94</v>
      </c>
      <c r="C28" s="2">
        <v>2008</v>
      </c>
      <c r="D28" s="2">
        <v>3</v>
      </c>
      <c r="E28" s="2">
        <v>27</v>
      </c>
      <c r="F28" s="2">
        <v>27</v>
      </c>
      <c r="G28" s="3">
        <v>1738.627556115274</v>
      </c>
      <c r="H28" s="4">
        <v>7.4608513201197706</v>
      </c>
      <c r="I28" s="3">
        <v>1750.0072254172981</v>
      </c>
      <c r="J28" s="3">
        <v>1811.3667922646</v>
      </c>
      <c r="K28" s="4">
        <v>3.2958368660043291</v>
      </c>
      <c r="L28" s="6">
        <v>47007000000</v>
      </c>
      <c r="M28" s="6">
        <v>4269600</v>
      </c>
      <c r="N28" s="3">
        <v>11009.69645868465</v>
      </c>
      <c r="O28" s="7">
        <v>983</v>
      </c>
      <c r="P28" s="4">
        <v>1.5879959308240079</v>
      </c>
      <c r="Q28" s="3">
        <v>17483.35317599872</v>
      </c>
      <c r="R28" s="4">
        <v>9.7690044601031865</v>
      </c>
      <c r="S28" s="7">
        <v>202.50000002154309</v>
      </c>
      <c r="T28" s="8">
        <v>1.525056947608201</v>
      </c>
      <c r="U28" s="3">
        <v>308.82403192351512</v>
      </c>
      <c r="V28" s="4">
        <v>5.7327716387090346</v>
      </c>
      <c r="W28" s="6">
        <v>7423244213.5897722</v>
      </c>
      <c r="X28" s="4">
        <v>22.727882024121641</v>
      </c>
      <c r="Y28" s="7">
        <v>4.0999999999999996</v>
      </c>
      <c r="Z28" s="4">
        <v>4.0999999999999988E-2</v>
      </c>
      <c r="AA28" s="4">
        <v>-3.1941832122778289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0</v>
      </c>
      <c r="AH28" s="4">
        <v>0</v>
      </c>
      <c r="AI28" s="4">
        <v>7.4673751957189207</v>
      </c>
      <c r="AJ28" s="4">
        <v>7.5018369731376042</v>
      </c>
      <c r="AK28" s="4">
        <v>-3.4461777418683497E-2</v>
      </c>
    </row>
    <row r="29" spans="1:37" x14ac:dyDescent="0.3">
      <c r="A29" s="2" t="s">
        <v>95</v>
      </c>
      <c r="B29" s="2" t="s">
        <v>96</v>
      </c>
      <c r="C29" s="2">
        <v>2008</v>
      </c>
      <c r="D29" s="2">
        <v>4</v>
      </c>
      <c r="E29" s="2">
        <v>28</v>
      </c>
      <c r="F29" s="2">
        <v>28</v>
      </c>
      <c r="G29" s="3">
        <v>1778.541615015841</v>
      </c>
      <c r="H29" s="4">
        <v>7.4835489900553496</v>
      </c>
      <c r="I29" s="3">
        <v>1738.627556115274</v>
      </c>
      <c r="J29" s="3">
        <v>1831.7925575307249</v>
      </c>
      <c r="K29" s="4">
        <v>3.3322045101752038</v>
      </c>
      <c r="L29" s="6">
        <v>47621000000</v>
      </c>
      <c r="M29" s="6">
        <v>4280300</v>
      </c>
      <c r="N29" s="3">
        <v>11125.622035838611</v>
      </c>
      <c r="O29" s="7">
        <v>996</v>
      </c>
      <c r="P29" s="4">
        <v>1.5672690763052211</v>
      </c>
      <c r="Q29" s="3">
        <v>17436.84337142979</v>
      </c>
      <c r="R29" s="4">
        <v>9.7663406817359899</v>
      </c>
      <c r="S29" s="7">
        <v>156.89999998970919</v>
      </c>
      <c r="T29" s="8">
        <v>1.5320366132723111</v>
      </c>
      <c r="U29" s="3">
        <v>240.37654460665979</v>
      </c>
      <c r="V29" s="4">
        <v>5.4822066297090357</v>
      </c>
      <c r="W29" s="6">
        <v>7612691674.752306</v>
      </c>
      <c r="X29" s="4">
        <v>22.753082648614839</v>
      </c>
      <c r="Y29" s="7">
        <v>4.4000000000000004</v>
      </c>
      <c r="Z29" s="4">
        <v>4.3999999999999997E-2</v>
      </c>
      <c r="AA29" s="4">
        <v>-3.1235656450638758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1</v>
      </c>
      <c r="AH29" s="4">
        <v>0</v>
      </c>
      <c r="AI29" s="4">
        <v>7.4608513201197706</v>
      </c>
      <c r="AJ29" s="4">
        <v>7.513050306033854</v>
      </c>
      <c r="AK29" s="4">
        <v>-5.2198985914083451E-2</v>
      </c>
    </row>
    <row r="30" spans="1:37" x14ac:dyDescent="0.3">
      <c r="A30" s="2" t="s">
        <v>97</v>
      </c>
      <c r="B30" s="2" t="s">
        <v>98</v>
      </c>
      <c r="C30" s="2">
        <v>2009</v>
      </c>
      <c r="D30" s="2">
        <v>1</v>
      </c>
      <c r="E30" s="2">
        <v>29</v>
      </c>
      <c r="F30" s="2">
        <v>29</v>
      </c>
      <c r="G30" s="3">
        <v>1757.849787066199</v>
      </c>
      <c r="H30" s="4">
        <v>7.4718466292396242</v>
      </c>
      <c r="I30" s="3">
        <v>1778.541615015841</v>
      </c>
      <c r="J30" s="3">
        <v>1807.4568482166319</v>
      </c>
      <c r="K30" s="4">
        <v>3.3672958299864741</v>
      </c>
      <c r="L30" s="6">
        <v>47589000000</v>
      </c>
      <c r="M30" s="6">
        <v>4293500</v>
      </c>
      <c r="N30" s="3">
        <v>11083.964131827181</v>
      </c>
      <c r="O30" s="7">
        <v>1003</v>
      </c>
      <c r="P30" s="4">
        <v>1.556331006979063</v>
      </c>
      <c r="Q30" s="3">
        <v>17250.317058606412</v>
      </c>
      <c r="R30" s="4">
        <v>9.7555858024996596</v>
      </c>
      <c r="S30" s="7">
        <v>155.4999999643527</v>
      </c>
      <c r="T30" s="8">
        <v>1.5267958950969209</v>
      </c>
      <c r="U30" s="3">
        <v>237.4167616331452</v>
      </c>
      <c r="V30" s="4">
        <v>5.4698170847090353</v>
      </c>
      <c r="W30" s="6">
        <v>7547328060.7687225</v>
      </c>
      <c r="X30" s="4">
        <v>22.7444594383343</v>
      </c>
      <c r="Y30" s="7">
        <v>5</v>
      </c>
      <c r="Z30" s="4">
        <v>0.05</v>
      </c>
      <c r="AA30" s="4">
        <v>-2.9957322735539909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4">
        <v>0</v>
      </c>
      <c r="AI30" s="4">
        <v>7.4835489900553496</v>
      </c>
      <c r="AJ30" s="4">
        <v>7.499676080008868</v>
      </c>
      <c r="AK30" s="4">
        <v>-1.612708995351753E-2</v>
      </c>
    </row>
    <row r="31" spans="1:37" x14ac:dyDescent="0.3">
      <c r="A31" s="2" t="s">
        <v>99</v>
      </c>
      <c r="B31" s="2" t="s">
        <v>100</v>
      </c>
      <c r="C31" s="2">
        <v>2009</v>
      </c>
      <c r="D31" s="2">
        <v>2</v>
      </c>
      <c r="E31" s="2">
        <v>30</v>
      </c>
      <c r="F31" s="2">
        <v>30</v>
      </c>
      <c r="G31" s="3">
        <v>1739.707896402477</v>
      </c>
      <c r="H31" s="4">
        <v>7.4614725024851234</v>
      </c>
      <c r="I31" s="3">
        <v>1757.849787066199</v>
      </c>
      <c r="J31" s="3">
        <v>1750.0072254172981</v>
      </c>
      <c r="K31" s="4">
        <v>3.401197381662155</v>
      </c>
      <c r="L31" s="6">
        <v>47604000000</v>
      </c>
      <c r="M31" s="6">
        <v>4302600</v>
      </c>
      <c r="N31" s="3">
        <v>11064.007809231631</v>
      </c>
      <c r="O31" s="7">
        <v>991</v>
      </c>
      <c r="P31" s="4">
        <v>1.5751765893037331</v>
      </c>
      <c r="Q31" s="3">
        <v>17427.766084975348</v>
      </c>
      <c r="R31" s="4">
        <v>9.7658199653533266</v>
      </c>
      <c r="S31" s="7">
        <v>160.39999993459529</v>
      </c>
      <c r="T31" s="8">
        <v>1.5181405895691611</v>
      </c>
      <c r="U31" s="3">
        <v>243.50975046759979</v>
      </c>
      <c r="V31" s="4">
        <v>5.4951569847090349</v>
      </c>
      <c r="W31" s="6">
        <v>7485267195.0612993</v>
      </c>
      <c r="X31" s="4">
        <v>22.73620255158384</v>
      </c>
      <c r="Y31" s="7">
        <v>5.8</v>
      </c>
      <c r="Z31" s="4">
        <v>5.8000000000000003E-2</v>
      </c>
      <c r="AA31" s="4">
        <v>-2.8473122684357182</v>
      </c>
      <c r="AB31" s="5">
        <v>0</v>
      </c>
      <c r="AC31" s="5">
        <v>0</v>
      </c>
      <c r="AD31" s="5">
        <v>0</v>
      </c>
      <c r="AE31" s="5">
        <v>1</v>
      </c>
      <c r="AF31" s="5">
        <v>0</v>
      </c>
      <c r="AG31" s="5">
        <v>0</v>
      </c>
      <c r="AH31" s="4">
        <v>0</v>
      </c>
      <c r="AI31" s="4">
        <v>7.4718466292396242</v>
      </c>
      <c r="AJ31" s="4">
        <v>7.4673751957189207</v>
      </c>
      <c r="AK31" s="4">
        <v>4.4714335207034486E-3</v>
      </c>
    </row>
    <row r="32" spans="1:37" x14ac:dyDescent="0.3">
      <c r="A32" s="2" t="s">
        <v>101</v>
      </c>
      <c r="B32" s="2" t="s">
        <v>102</v>
      </c>
      <c r="C32" s="2">
        <v>2009</v>
      </c>
      <c r="D32" s="2">
        <v>3</v>
      </c>
      <c r="E32" s="2">
        <v>31</v>
      </c>
      <c r="F32" s="2">
        <v>31</v>
      </c>
      <c r="G32" s="3">
        <v>1742.919011669165</v>
      </c>
      <c r="H32" s="4">
        <v>7.4633165795346788</v>
      </c>
      <c r="I32" s="3">
        <v>1739.707896402477</v>
      </c>
      <c r="J32" s="3">
        <v>1738.627556115274</v>
      </c>
      <c r="K32" s="4">
        <v>3.4339872044851458</v>
      </c>
      <c r="L32" s="6">
        <v>48369000000</v>
      </c>
      <c r="M32" s="6">
        <v>4317300</v>
      </c>
      <c r="N32" s="3">
        <v>11203.52998401779</v>
      </c>
      <c r="O32" s="7">
        <v>1001</v>
      </c>
      <c r="P32" s="4">
        <v>1.5594405594405589</v>
      </c>
      <c r="Q32" s="3">
        <v>17471.239065985781</v>
      </c>
      <c r="R32" s="4">
        <v>9.768311325969961</v>
      </c>
      <c r="S32" s="7">
        <v>163.4999999275783</v>
      </c>
      <c r="T32" s="8">
        <v>1.4994400895856661</v>
      </c>
      <c r="U32" s="3">
        <v>245.1584545386645</v>
      </c>
      <c r="V32" s="4">
        <v>5.5019047547090354</v>
      </c>
      <c r="W32" s="6">
        <v>7524704249.0792856</v>
      </c>
      <c r="X32" s="4">
        <v>22.741457344361049</v>
      </c>
      <c r="Y32" s="7">
        <v>6.2</v>
      </c>
      <c r="Z32" s="4">
        <v>6.2E-2</v>
      </c>
      <c r="AA32" s="4">
        <v>-2.780620893937046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0</v>
      </c>
      <c r="AH32" s="4">
        <v>0</v>
      </c>
      <c r="AI32" s="4">
        <v>7.4614725024851234</v>
      </c>
      <c r="AJ32" s="4">
        <v>7.4608513201197706</v>
      </c>
      <c r="AK32" s="4">
        <v>6.2118236535280147E-4</v>
      </c>
    </row>
    <row r="33" spans="1:37" x14ac:dyDescent="0.3">
      <c r="A33" s="2" t="s">
        <v>103</v>
      </c>
      <c r="B33" s="2" t="s">
        <v>104</v>
      </c>
      <c r="C33" s="2">
        <v>2009</v>
      </c>
      <c r="D33" s="2">
        <v>4</v>
      </c>
      <c r="E33" s="2">
        <v>32</v>
      </c>
      <c r="F33" s="2">
        <v>32</v>
      </c>
      <c r="G33" s="3">
        <v>1775.345550564874</v>
      </c>
      <c r="H33" s="4">
        <v>7.4817503593371066</v>
      </c>
      <c r="I33" s="3">
        <v>1742.919011669165</v>
      </c>
      <c r="J33" s="3">
        <v>1778.541615015841</v>
      </c>
      <c r="K33" s="4">
        <v>3.465735902799727</v>
      </c>
      <c r="L33" s="6">
        <v>48783000000</v>
      </c>
      <c r="M33" s="6">
        <v>4332100</v>
      </c>
      <c r="N33" s="3">
        <v>11260.820387341009</v>
      </c>
      <c r="O33" s="7">
        <v>998</v>
      </c>
      <c r="P33" s="4">
        <v>1.5641282565130259</v>
      </c>
      <c r="Q33" s="3">
        <v>17613.367359358039</v>
      </c>
      <c r="R33" s="4">
        <v>9.7764134017996334</v>
      </c>
      <c r="S33" s="7">
        <v>161.89999998612251</v>
      </c>
      <c r="T33" s="8">
        <v>1.5011210762331839</v>
      </c>
      <c r="U33" s="3">
        <v>243.03150222132061</v>
      </c>
      <c r="V33" s="4">
        <v>5.4931910737090357</v>
      </c>
      <c r="W33" s="6">
        <v>7690974459.6020908</v>
      </c>
      <c r="X33" s="4">
        <v>22.763313330199551</v>
      </c>
      <c r="Y33" s="7">
        <v>6.6</v>
      </c>
      <c r="Z33" s="4">
        <v>6.6000000000000003E-2</v>
      </c>
      <c r="AA33" s="4">
        <v>-2.7181005369557121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</v>
      </c>
      <c r="AH33" s="4">
        <v>0</v>
      </c>
      <c r="AI33" s="4">
        <v>7.4633165795346788</v>
      </c>
      <c r="AJ33" s="4">
        <v>7.4835489900553496</v>
      </c>
      <c r="AK33" s="4">
        <v>-2.023241052067171E-2</v>
      </c>
    </row>
    <row r="34" spans="1:37" x14ac:dyDescent="0.3">
      <c r="A34" s="2" t="s">
        <v>105</v>
      </c>
      <c r="B34" s="2" t="s">
        <v>106</v>
      </c>
      <c r="C34" s="2">
        <v>2010</v>
      </c>
      <c r="D34" s="2">
        <v>1</v>
      </c>
      <c r="E34" s="2">
        <v>33</v>
      </c>
      <c r="F34" s="2">
        <v>33</v>
      </c>
      <c r="G34" s="3">
        <v>1743.7407699169071</v>
      </c>
      <c r="H34" s="4">
        <v>7.4637879523180501</v>
      </c>
      <c r="I34" s="3">
        <v>1775.345550564874</v>
      </c>
      <c r="J34" s="3">
        <v>1757.849787066199</v>
      </c>
      <c r="K34" s="4">
        <v>3.4965075614664798</v>
      </c>
      <c r="L34" s="6">
        <v>49947000000</v>
      </c>
      <c r="M34" s="6">
        <v>4345700</v>
      </c>
      <c r="N34" s="3">
        <v>11493.43028741054</v>
      </c>
      <c r="O34" s="7">
        <v>1010</v>
      </c>
      <c r="P34" s="4">
        <v>1.545544554455446</v>
      </c>
      <c r="Q34" s="3">
        <v>17763.608592720651</v>
      </c>
      <c r="R34" s="4">
        <v>9.7849071824336384</v>
      </c>
      <c r="S34" s="7">
        <v>173.20000002847121</v>
      </c>
      <c r="T34" s="8">
        <v>1.49608938547486</v>
      </c>
      <c r="U34" s="3">
        <v>259.1226816068413</v>
      </c>
      <c r="V34" s="4">
        <v>5.5573016237090354</v>
      </c>
      <c r="W34" s="6">
        <v>7577774263.8279009</v>
      </c>
      <c r="X34" s="4">
        <v>22.748485360741771</v>
      </c>
      <c r="Y34" s="7">
        <v>5.9</v>
      </c>
      <c r="Z34" s="4">
        <v>5.8999999999999997E-2</v>
      </c>
      <c r="AA34" s="4">
        <v>-2.830217835076418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4">
        <v>0</v>
      </c>
      <c r="AI34" s="4">
        <v>7.4817503593371066</v>
      </c>
      <c r="AJ34" s="4">
        <v>7.4718466292396242</v>
      </c>
      <c r="AK34" s="4">
        <v>9.903730097482466E-3</v>
      </c>
    </row>
    <row r="35" spans="1:37" x14ac:dyDescent="0.3">
      <c r="A35" s="2" t="s">
        <v>107</v>
      </c>
      <c r="B35" s="2" t="s">
        <v>108</v>
      </c>
      <c r="C35" s="2">
        <v>2010</v>
      </c>
      <c r="D35" s="2">
        <v>2</v>
      </c>
      <c r="E35" s="2">
        <v>34</v>
      </c>
      <c r="F35" s="2">
        <v>34</v>
      </c>
      <c r="G35" s="3">
        <v>1718.876966970998</v>
      </c>
      <c r="H35" s="4">
        <v>7.4494264303787192</v>
      </c>
      <c r="I35" s="3">
        <v>1743.7407699169071</v>
      </c>
      <c r="J35" s="3">
        <v>1739.707896402477</v>
      </c>
      <c r="K35" s="4">
        <v>3.526360524616162</v>
      </c>
      <c r="L35" s="6">
        <v>50254000000</v>
      </c>
      <c r="M35" s="6">
        <v>4350700</v>
      </c>
      <c r="N35" s="3">
        <v>11550.7849311605</v>
      </c>
      <c r="O35" s="7">
        <v>1010</v>
      </c>
      <c r="P35" s="4">
        <v>1.545544554455446</v>
      </c>
      <c r="Q35" s="3">
        <v>17852.252750041131</v>
      </c>
      <c r="R35" s="4">
        <v>9.7898849837287667</v>
      </c>
      <c r="S35" s="7">
        <v>175.5000000152462</v>
      </c>
      <c r="T35" s="8">
        <v>1.494419642857143</v>
      </c>
      <c r="U35" s="3">
        <v>262.27064734421282</v>
      </c>
      <c r="V35" s="4">
        <v>5.5693769757090346</v>
      </c>
      <c r="W35" s="6">
        <v>7478318020.2007217</v>
      </c>
      <c r="X35" s="4">
        <v>22.735273740037659</v>
      </c>
      <c r="Y35" s="7">
        <v>6.6</v>
      </c>
      <c r="Z35" s="4">
        <v>6.6000000000000003E-2</v>
      </c>
      <c r="AA35" s="4">
        <v>-2.7181005369557121</v>
      </c>
      <c r="AB35" s="5">
        <v>0</v>
      </c>
      <c r="AC35" s="5">
        <v>0</v>
      </c>
      <c r="AD35" s="5">
        <v>0</v>
      </c>
      <c r="AE35" s="5">
        <v>1</v>
      </c>
      <c r="AF35" s="5">
        <v>0</v>
      </c>
      <c r="AG35" s="5">
        <v>0</v>
      </c>
      <c r="AH35" s="4">
        <v>0</v>
      </c>
      <c r="AI35" s="4">
        <v>7.4637879523180501</v>
      </c>
      <c r="AJ35" s="4">
        <v>7.4614725024851234</v>
      </c>
      <c r="AK35" s="4">
        <v>2.315449832926753E-3</v>
      </c>
    </row>
    <row r="36" spans="1:37" x14ac:dyDescent="0.3">
      <c r="A36" s="2" t="s">
        <v>109</v>
      </c>
      <c r="B36" s="2" t="s">
        <v>110</v>
      </c>
      <c r="C36" s="2">
        <v>2010</v>
      </c>
      <c r="D36" s="2">
        <v>3</v>
      </c>
      <c r="E36" s="2">
        <v>35</v>
      </c>
      <c r="F36" s="2">
        <v>35</v>
      </c>
      <c r="G36" s="3">
        <v>1714.9262521262449</v>
      </c>
      <c r="H36" s="4">
        <v>7.4471253569997833</v>
      </c>
      <c r="I36" s="3">
        <v>1718.876966970998</v>
      </c>
      <c r="J36" s="3">
        <v>1742.919011669165</v>
      </c>
      <c r="K36" s="4">
        <v>3.555348061489414</v>
      </c>
      <c r="L36" s="6">
        <v>50570000000</v>
      </c>
      <c r="M36" s="6">
        <v>4362700</v>
      </c>
      <c r="N36" s="3">
        <v>11591.44566438215</v>
      </c>
      <c r="O36" s="7">
        <v>1031</v>
      </c>
      <c r="P36" s="4">
        <v>1.514064015518914</v>
      </c>
      <c r="Q36" s="3">
        <v>17550.190768283741</v>
      </c>
      <c r="R36" s="4">
        <v>9.7728200988226117</v>
      </c>
      <c r="S36" s="7">
        <v>173.09999997899931</v>
      </c>
      <c r="T36" s="8">
        <v>1.4779249448123619</v>
      </c>
      <c r="U36" s="3">
        <v>255.82880791598251</v>
      </c>
      <c r="V36" s="4">
        <v>5.5445085017090356</v>
      </c>
      <c r="W36" s="6">
        <v>7481708760.1511707</v>
      </c>
      <c r="X36" s="4">
        <v>22.735727046713951</v>
      </c>
      <c r="Y36" s="7">
        <v>6.1</v>
      </c>
      <c r="Z36" s="4">
        <v>6.0999999999999999E-2</v>
      </c>
      <c r="AA36" s="4">
        <v>-2.7968814148088259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0</v>
      </c>
      <c r="AH36" s="4">
        <v>0</v>
      </c>
      <c r="AI36" s="4">
        <v>7.4494264303787192</v>
      </c>
      <c r="AJ36" s="4">
        <v>7.4633165795346788</v>
      </c>
      <c r="AK36" s="4">
        <v>-1.389014915595954E-2</v>
      </c>
    </row>
    <row r="37" spans="1:37" x14ac:dyDescent="0.3">
      <c r="A37" s="2" t="s">
        <v>111</v>
      </c>
      <c r="B37" s="2" t="s">
        <v>112</v>
      </c>
      <c r="C37" s="2">
        <v>2010</v>
      </c>
      <c r="D37" s="2">
        <v>4</v>
      </c>
      <c r="E37" s="2">
        <v>36</v>
      </c>
      <c r="F37" s="2">
        <v>36</v>
      </c>
      <c r="G37" s="3">
        <v>1739.8429552879011</v>
      </c>
      <c r="H37" s="4">
        <v>7.4615501325536284</v>
      </c>
      <c r="I37" s="3">
        <v>1714.9262521262449</v>
      </c>
      <c r="J37" s="3">
        <v>1775.345550564874</v>
      </c>
      <c r="K37" s="4">
        <v>3.5835189384561099</v>
      </c>
      <c r="L37" s="6">
        <v>51272000000</v>
      </c>
      <c r="M37" s="6">
        <v>4373900</v>
      </c>
      <c r="N37" s="3">
        <v>11722.261597201579</v>
      </c>
      <c r="O37" s="7">
        <v>1058</v>
      </c>
      <c r="P37" s="4">
        <v>1.475425330812854</v>
      </c>
      <c r="Q37" s="3">
        <v>17295.321694925969</v>
      </c>
      <c r="R37" s="4">
        <v>9.7581913216565628</v>
      </c>
      <c r="S37" s="7">
        <v>184.99999990849781</v>
      </c>
      <c r="T37" s="8">
        <v>1.444444444444444</v>
      </c>
      <c r="U37" s="3">
        <v>267.22222209005241</v>
      </c>
      <c r="V37" s="4">
        <v>5.5880806047090346</v>
      </c>
      <c r="W37" s="6">
        <v>7609899102.13375</v>
      </c>
      <c r="X37" s="4">
        <v>22.752715750142588</v>
      </c>
      <c r="Y37" s="7">
        <v>6.2</v>
      </c>
      <c r="Z37" s="4">
        <v>6.2E-2</v>
      </c>
      <c r="AA37" s="4">
        <v>-2.780620893937046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</v>
      </c>
      <c r="AH37" s="4">
        <v>0</v>
      </c>
      <c r="AI37" s="4">
        <v>7.4471253569997833</v>
      </c>
      <c r="AJ37" s="4">
        <v>7.4817503593371066</v>
      </c>
      <c r="AK37" s="4">
        <v>-3.4625002337323352E-2</v>
      </c>
    </row>
    <row r="38" spans="1:37" x14ac:dyDescent="0.3">
      <c r="A38" s="2" t="s">
        <v>113</v>
      </c>
      <c r="B38" s="2" t="s">
        <v>114</v>
      </c>
      <c r="C38" s="2">
        <v>2011</v>
      </c>
      <c r="D38" s="2">
        <v>1</v>
      </c>
      <c r="E38" s="2">
        <v>37</v>
      </c>
      <c r="F38" s="2">
        <v>37</v>
      </c>
      <c r="G38" s="3">
        <v>1704.611224913122</v>
      </c>
      <c r="H38" s="4">
        <v>7.4410923431381581</v>
      </c>
      <c r="I38" s="3">
        <v>1739.8429552879011</v>
      </c>
      <c r="J38" s="3">
        <v>1743.7407699169071</v>
      </c>
      <c r="K38" s="4">
        <v>3.6109179126442239</v>
      </c>
      <c r="L38" s="6">
        <v>51700000000</v>
      </c>
      <c r="M38" s="6">
        <v>4382500</v>
      </c>
      <c r="N38" s="3">
        <v>11796.9195664575</v>
      </c>
      <c r="O38" s="7">
        <v>1049</v>
      </c>
      <c r="P38" s="4">
        <v>1.488083889418494</v>
      </c>
      <c r="Q38" s="3">
        <v>17554.805951611212</v>
      </c>
      <c r="R38" s="4">
        <v>9.7730830348024025</v>
      </c>
      <c r="S38" s="7">
        <v>203.00000005374679</v>
      </c>
      <c r="T38" s="8">
        <v>1.432085561497326</v>
      </c>
      <c r="U38" s="3">
        <v>290.71336906092722</v>
      </c>
      <c r="V38" s="4">
        <v>5.6723377957090353</v>
      </c>
      <c r="W38" s="6">
        <v>7470458693.1817579</v>
      </c>
      <c r="X38" s="4">
        <v>22.734222238915681</v>
      </c>
      <c r="Y38" s="7">
        <v>6</v>
      </c>
      <c r="Z38" s="4">
        <v>0.06</v>
      </c>
      <c r="AA38" s="4">
        <v>-2.813410716760036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4">
        <v>0</v>
      </c>
      <c r="AI38" s="4">
        <v>7.4615501325536284</v>
      </c>
      <c r="AJ38" s="4">
        <v>7.4637879523180501</v>
      </c>
      <c r="AK38" s="4">
        <v>-2.2378197644217219E-3</v>
      </c>
    </row>
    <row r="39" spans="1:37" x14ac:dyDescent="0.3">
      <c r="A39" s="2" t="s">
        <v>115</v>
      </c>
      <c r="B39" s="2" t="s">
        <v>116</v>
      </c>
      <c r="C39" s="2">
        <v>2011</v>
      </c>
      <c r="D39" s="2">
        <v>2</v>
      </c>
      <c r="E39" s="2">
        <v>38</v>
      </c>
      <c r="F39" s="2">
        <v>38</v>
      </c>
      <c r="G39" s="3">
        <v>1677.91370301198</v>
      </c>
      <c r="H39" s="4">
        <v>7.4253064572255081</v>
      </c>
      <c r="I39" s="3">
        <v>1704.611224913122</v>
      </c>
      <c r="J39" s="3">
        <v>1718.876966970998</v>
      </c>
      <c r="K39" s="4">
        <v>3.6375861597263861</v>
      </c>
      <c r="L39" s="6">
        <v>52555000000</v>
      </c>
      <c r="M39" s="6">
        <v>4384000</v>
      </c>
      <c r="N39" s="3">
        <v>11987.91058394161</v>
      </c>
      <c r="O39" s="7">
        <v>1057</v>
      </c>
      <c r="P39" s="4">
        <v>1.4768211920529799</v>
      </c>
      <c r="Q39" s="3">
        <v>17704.000398801181</v>
      </c>
      <c r="R39" s="4">
        <v>9.7815459042569355</v>
      </c>
      <c r="S39" s="7">
        <v>211.10000006524871</v>
      </c>
      <c r="T39" s="8">
        <v>1.41843220338983</v>
      </c>
      <c r="U39" s="3">
        <v>299.43103822814402</v>
      </c>
      <c r="V39" s="4">
        <v>5.7018841347090357</v>
      </c>
      <c r="W39" s="6">
        <v>7355973674.0045195</v>
      </c>
      <c r="X39" s="4">
        <v>22.7187785648355</v>
      </c>
      <c r="Y39" s="7">
        <v>6.1</v>
      </c>
      <c r="Z39" s="4">
        <v>6.0999999999999999E-2</v>
      </c>
      <c r="AA39" s="4">
        <v>-2.7968814148088259</v>
      </c>
      <c r="AB39" s="5">
        <v>0</v>
      </c>
      <c r="AC39" s="5">
        <v>0</v>
      </c>
      <c r="AD39" s="5">
        <v>0</v>
      </c>
      <c r="AE39" s="5">
        <v>1</v>
      </c>
      <c r="AF39" s="5">
        <v>0</v>
      </c>
      <c r="AG39" s="5">
        <v>0</v>
      </c>
      <c r="AH39" s="4">
        <v>0</v>
      </c>
      <c r="AI39" s="4">
        <v>7.4410923431381581</v>
      </c>
      <c r="AJ39" s="4">
        <v>7.4494264303787192</v>
      </c>
      <c r="AK39" s="4">
        <v>-8.3340872405610611E-3</v>
      </c>
    </row>
    <row r="40" spans="1:37" x14ac:dyDescent="0.3">
      <c r="A40" s="2" t="s">
        <v>117</v>
      </c>
      <c r="B40" s="2" t="s">
        <v>118</v>
      </c>
      <c r="C40" s="2">
        <v>2011</v>
      </c>
      <c r="D40" s="2">
        <v>3</v>
      </c>
      <c r="E40" s="2">
        <v>39</v>
      </c>
      <c r="F40" s="2">
        <v>39</v>
      </c>
      <c r="G40" s="3">
        <v>1672.8913372940949</v>
      </c>
      <c r="H40" s="4">
        <v>7.4223087480669658</v>
      </c>
      <c r="I40" s="3">
        <v>1677.91370301198</v>
      </c>
      <c r="J40" s="3">
        <v>1714.9262521262449</v>
      </c>
      <c r="K40" s="4">
        <v>3.6635616461296459</v>
      </c>
      <c r="L40" s="6">
        <v>53351000000</v>
      </c>
      <c r="M40" s="6">
        <v>4392000</v>
      </c>
      <c r="N40" s="3">
        <v>12147.31329690346</v>
      </c>
      <c r="O40" s="7">
        <v>1062</v>
      </c>
      <c r="P40" s="4">
        <v>1.4698681732580039</v>
      </c>
      <c r="Q40" s="3">
        <v>17854.94920571215</v>
      </c>
      <c r="R40" s="4">
        <v>9.7900360152030039</v>
      </c>
      <c r="S40" s="7">
        <v>203.80000009869221</v>
      </c>
      <c r="T40" s="8">
        <v>1.4124472573839659</v>
      </c>
      <c r="U40" s="3">
        <v>287.85675119424991</v>
      </c>
      <c r="V40" s="4">
        <v>5.662462964709035</v>
      </c>
      <c r="W40" s="6">
        <v>7347338753.3956661</v>
      </c>
      <c r="X40" s="4">
        <v>22.717604010238471</v>
      </c>
      <c r="Y40" s="7">
        <v>6</v>
      </c>
      <c r="Z40" s="4">
        <v>0.06</v>
      </c>
      <c r="AA40" s="4">
        <v>-2.813410716760036</v>
      </c>
      <c r="AB40" s="5">
        <v>0</v>
      </c>
      <c r="AC40" s="5">
        <v>0</v>
      </c>
      <c r="AD40" s="5">
        <v>0</v>
      </c>
      <c r="AE40" s="5">
        <v>0</v>
      </c>
      <c r="AF40" s="5">
        <v>1</v>
      </c>
      <c r="AG40" s="5">
        <v>0</v>
      </c>
      <c r="AH40" s="4">
        <v>0</v>
      </c>
      <c r="AI40" s="4">
        <v>7.4253064572255081</v>
      </c>
      <c r="AJ40" s="4">
        <v>7.4471253569997833</v>
      </c>
      <c r="AK40" s="4">
        <v>-2.1818899774275199E-2</v>
      </c>
    </row>
    <row r="41" spans="1:37" x14ac:dyDescent="0.3">
      <c r="A41" s="2" t="s">
        <v>119</v>
      </c>
      <c r="B41" s="2" t="s">
        <v>120</v>
      </c>
      <c r="C41" s="2">
        <v>2011</v>
      </c>
      <c r="D41" s="2">
        <v>4</v>
      </c>
      <c r="E41" s="2">
        <v>40</v>
      </c>
      <c r="F41" s="2">
        <v>40</v>
      </c>
      <c r="G41" s="3">
        <v>1698.9024596700419</v>
      </c>
      <c r="H41" s="4">
        <v>7.4377377095883643</v>
      </c>
      <c r="I41" s="3">
        <v>1672.8913372940949</v>
      </c>
      <c r="J41" s="3">
        <v>1739.8429552879011</v>
      </c>
      <c r="K41" s="4">
        <v>3.6888794541139358</v>
      </c>
      <c r="L41" s="6">
        <v>53656000000</v>
      </c>
      <c r="M41" s="6">
        <v>4399400</v>
      </c>
      <c r="N41" s="3">
        <v>12196.20857389644</v>
      </c>
      <c r="O41" s="7">
        <v>1059</v>
      </c>
      <c r="P41" s="4">
        <v>1.4740321057601511</v>
      </c>
      <c r="Q41" s="3">
        <v>17977.603006470581</v>
      </c>
      <c r="R41" s="4">
        <v>9.7968819847041129</v>
      </c>
      <c r="S41" s="7">
        <v>205.4999999127275</v>
      </c>
      <c r="T41" s="8">
        <v>1.4169312169312169</v>
      </c>
      <c r="U41" s="3">
        <v>291.17936495570598</v>
      </c>
      <c r="V41" s="4">
        <v>5.6739394517090354</v>
      </c>
      <c r="W41" s="6">
        <v>7474151481.0723848</v>
      </c>
      <c r="X41" s="4">
        <v>22.734716435542129</v>
      </c>
      <c r="Y41" s="7">
        <v>6.1</v>
      </c>
      <c r="Z41" s="4">
        <v>6.0999999999999999E-2</v>
      </c>
      <c r="AA41" s="4">
        <v>-2.7968814148088259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</v>
      </c>
      <c r="AH41" s="4">
        <v>0</v>
      </c>
      <c r="AI41" s="4">
        <v>7.4223087480669658</v>
      </c>
      <c r="AJ41" s="4">
        <v>7.4615501325536284</v>
      </c>
      <c r="AK41" s="4">
        <v>-3.9241384486662589E-2</v>
      </c>
    </row>
    <row r="42" spans="1:37" x14ac:dyDescent="0.3">
      <c r="A42" s="2" t="s">
        <v>121</v>
      </c>
      <c r="B42" s="2" t="s">
        <v>122</v>
      </c>
      <c r="C42" s="2">
        <v>2012</v>
      </c>
      <c r="D42" s="2">
        <v>1</v>
      </c>
      <c r="E42" s="2">
        <v>41</v>
      </c>
      <c r="F42" s="2">
        <v>41</v>
      </c>
      <c r="G42" s="3">
        <v>1689.236743339068</v>
      </c>
      <c r="H42" s="4">
        <v>7.4320320747407349</v>
      </c>
      <c r="I42" s="3">
        <v>1698.9024596700419</v>
      </c>
      <c r="J42" s="3">
        <v>1704.611224913122</v>
      </c>
      <c r="K42" s="4">
        <v>3.713572066704308</v>
      </c>
      <c r="L42" s="6">
        <v>53651000000</v>
      </c>
      <c r="M42" s="6">
        <v>4406500</v>
      </c>
      <c r="N42" s="3">
        <v>12175.422671054121</v>
      </c>
      <c r="O42" s="7">
        <v>1057</v>
      </c>
      <c r="P42" s="4">
        <v>1.4768211920529799</v>
      </c>
      <c r="Q42" s="3">
        <v>17980.922222815028</v>
      </c>
      <c r="R42" s="4">
        <v>9.7970665983017344</v>
      </c>
      <c r="S42" s="7">
        <v>210.29999998299451</v>
      </c>
      <c r="T42" s="8">
        <v>1.4109589041095889</v>
      </c>
      <c r="U42" s="3">
        <v>296.7246575102526</v>
      </c>
      <c r="V42" s="4">
        <v>5.6928046297090358</v>
      </c>
      <c r="W42" s="6">
        <v>7443621709.5236006</v>
      </c>
      <c r="X42" s="4">
        <v>22.730623356262591</v>
      </c>
      <c r="Y42" s="7">
        <v>6.4</v>
      </c>
      <c r="Z42" s="4">
        <v>6.4000000000000001E-2</v>
      </c>
      <c r="AA42" s="4">
        <v>-2.7488721956224649</v>
      </c>
      <c r="AB42" s="5">
        <v>1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4">
        <v>3.713572066704308</v>
      </c>
      <c r="AI42" s="4">
        <v>7.4377377095883643</v>
      </c>
      <c r="AJ42" s="4">
        <v>7.4410923431381581</v>
      </c>
      <c r="AK42" s="4">
        <v>-3.3546335497938169E-3</v>
      </c>
    </row>
    <row r="43" spans="1:37" x14ac:dyDescent="0.3">
      <c r="A43" s="2" t="s">
        <v>123</v>
      </c>
      <c r="B43" s="2" t="s">
        <v>124</v>
      </c>
      <c r="C43" s="2">
        <v>2012</v>
      </c>
      <c r="D43" s="2">
        <v>2</v>
      </c>
      <c r="E43" s="2">
        <v>42</v>
      </c>
      <c r="F43" s="2">
        <v>42</v>
      </c>
      <c r="G43" s="3">
        <v>1654.163538305608</v>
      </c>
      <c r="H43" s="4">
        <v>7.4110507451249079</v>
      </c>
      <c r="I43" s="3">
        <v>1689.236743339068</v>
      </c>
      <c r="J43" s="3">
        <v>1677.91370301198</v>
      </c>
      <c r="K43" s="4">
        <v>3.737669618283368</v>
      </c>
      <c r="L43" s="6">
        <v>54500000000</v>
      </c>
      <c r="M43" s="6">
        <v>4408100</v>
      </c>
      <c r="N43" s="3">
        <v>12363.6033665298</v>
      </c>
      <c r="O43" s="7">
        <v>1067</v>
      </c>
      <c r="P43" s="4">
        <v>1.462980318650422</v>
      </c>
      <c r="Q43" s="3">
        <v>18087.708392833189</v>
      </c>
      <c r="R43" s="4">
        <v>9.8029878922463158</v>
      </c>
      <c r="S43" s="7">
        <v>211.09999996153559</v>
      </c>
      <c r="T43" s="8">
        <v>1.405036726128017</v>
      </c>
      <c r="U43" s="3">
        <v>296.60325283158039</v>
      </c>
      <c r="V43" s="4">
        <v>5.6923953967090357</v>
      </c>
      <c r="W43" s="6">
        <v>7291718293.2049494</v>
      </c>
      <c r="X43" s="4">
        <v>22.710005060707878</v>
      </c>
      <c r="Y43" s="7">
        <v>6.4</v>
      </c>
      <c r="Z43" s="4">
        <v>6.4000000000000001E-2</v>
      </c>
      <c r="AA43" s="4">
        <v>-2.7488721956224649</v>
      </c>
      <c r="AB43" s="5">
        <v>1</v>
      </c>
      <c r="AC43" s="5">
        <v>0</v>
      </c>
      <c r="AD43" s="5">
        <v>0</v>
      </c>
      <c r="AE43" s="5">
        <v>1</v>
      </c>
      <c r="AF43" s="5">
        <v>0</v>
      </c>
      <c r="AG43" s="5">
        <v>0</v>
      </c>
      <c r="AH43" s="4">
        <v>3.737669618283368</v>
      </c>
      <c r="AI43" s="4">
        <v>7.4320320747407349</v>
      </c>
      <c r="AJ43" s="4">
        <v>7.4253064572255081</v>
      </c>
      <c r="AK43" s="4">
        <v>6.7256175152268227E-3</v>
      </c>
    </row>
    <row r="44" spans="1:37" x14ac:dyDescent="0.3">
      <c r="A44" s="2" t="s">
        <v>125</v>
      </c>
      <c r="B44" s="2" t="s">
        <v>126</v>
      </c>
      <c r="C44" s="2">
        <v>2012</v>
      </c>
      <c r="D44" s="2">
        <v>3</v>
      </c>
      <c r="E44" s="2">
        <v>43</v>
      </c>
      <c r="F44" s="2">
        <v>43</v>
      </c>
      <c r="G44" s="3">
        <v>1656.6797661729249</v>
      </c>
      <c r="H44" s="4">
        <v>7.4125707375379379</v>
      </c>
      <c r="I44" s="3">
        <v>1654.163538305608</v>
      </c>
      <c r="J44" s="3">
        <v>1672.8913372940949</v>
      </c>
      <c r="K44" s="4">
        <v>3.7612001156935619</v>
      </c>
      <c r="L44" s="6">
        <v>54003000000</v>
      </c>
      <c r="M44" s="6">
        <v>4415600</v>
      </c>
      <c r="N44" s="3">
        <v>12230.048011595251</v>
      </c>
      <c r="O44" s="7">
        <v>1051</v>
      </c>
      <c r="P44" s="4">
        <v>1.485252140818268</v>
      </c>
      <c r="Q44" s="3">
        <v>18164.70499153206</v>
      </c>
      <c r="R44" s="4">
        <v>9.8072357040352358</v>
      </c>
      <c r="S44" s="7">
        <v>208.99999990256049</v>
      </c>
      <c r="T44" s="8">
        <v>1.402094240837696</v>
      </c>
      <c r="U44" s="3">
        <v>293.03769619845917</v>
      </c>
      <c r="V44" s="4">
        <v>5.6803012567090354</v>
      </c>
      <c r="W44" s="6">
        <v>7315235175.5131674</v>
      </c>
      <c r="X44" s="4">
        <v>22.713225020664272</v>
      </c>
      <c r="Y44" s="7">
        <v>6.7</v>
      </c>
      <c r="Z44" s="4">
        <v>6.7000000000000004E-2</v>
      </c>
      <c r="AA44" s="4">
        <v>-2.7030626595911711</v>
      </c>
      <c r="AB44" s="5">
        <v>1</v>
      </c>
      <c r="AC44" s="5">
        <v>0</v>
      </c>
      <c r="AD44" s="5">
        <v>0</v>
      </c>
      <c r="AE44" s="5">
        <v>0</v>
      </c>
      <c r="AF44" s="5">
        <v>1</v>
      </c>
      <c r="AG44" s="5">
        <v>0</v>
      </c>
      <c r="AH44" s="4">
        <v>3.7612001156935619</v>
      </c>
      <c r="AI44" s="4">
        <v>7.4110507451249079</v>
      </c>
      <c r="AJ44" s="4">
        <v>7.4223087480669658</v>
      </c>
      <c r="AK44" s="4">
        <v>-1.1258002942057921E-2</v>
      </c>
    </row>
    <row r="45" spans="1:37" x14ac:dyDescent="0.3">
      <c r="A45" s="2" t="s">
        <v>127</v>
      </c>
      <c r="B45" s="2" t="s">
        <v>128</v>
      </c>
      <c r="C45" s="2">
        <v>2012</v>
      </c>
      <c r="D45" s="2">
        <v>4</v>
      </c>
      <c r="E45" s="2">
        <v>44</v>
      </c>
      <c r="F45" s="2">
        <v>44</v>
      </c>
      <c r="G45" s="3">
        <v>1691.575848133878</v>
      </c>
      <c r="H45" s="4">
        <v>7.4334158279685516</v>
      </c>
      <c r="I45" s="3">
        <v>1656.6797661729249</v>
      </c>
      <c r="J45" s="3">
        <v>1698.9024596700419</v>
      </c>
      <c r="K45" s="4">
        <v>3.784189633918261</v>
      </c>
      <c r="L45" s="6">
        <v>54148000000</v>
      </c>
      <c r="M45" s="6">
        <v>4425900</v>
      </c>
      <c r="N45" s="3">
        <v>12234.34781626336</v>
      </c>
      <c r="O45" s="7">
        <v>1042</v>
      </c>
      <c r="P45" s="4">
        <v>1.4980806142034551</v>
      </c>
      <c r="Q45" s="3">
        <v>18328.03929096651</v>
      </c>
      <c r="R45" s="4">
        <v>9.8161873678983032</v>
      </c>
      <c r="S45" s="7">
        <v>207.2000000167462</v>
      </c>
      <c r="T45" s="8">
        <v>1.40356394129979</v>
      </c>
      <c r="U45" s="3">
        <v>290.81844866082099</v>
      </c>
      <c r="V45" s="4">
        <v>5.6726991847090353</v>
      </c>
      <c r="W45" s="6">
        <v>7486745546.2557297</v>
      </c>
      <c r="X45" s="4">
        <v>22.736400033542321</v>
      </c>
      <c r="Y45" s="7">
        <v>6.3</v>
      </c>
      <c r="Z45" s="4">
        <v>6.3E-2</v>
      </c>
      <c r="AA45" s="4">
        <v>-2.7646205525906038</v>
      </c>
      <c r="AB45" s="5">
        <v>1</v>
      </c>
      <c r="AC45" s="5">
        <v>0</v>
      </c>
      <c r="AD45" s="5">
        <v>0</v>
      </c>
      <c r="AE45" s="5">
        <v>0</v>
      </c>
      <c r="AF45" s="5">
        <v>0</v>
      </c>
      <c r="AG45" s="5">
        <v>1</v>
      </c>
      <c r="AH45" s="4">
        <v>3.784189633918261</v>
      </c>
      <c r="AI45" s="4">
        <v>7.4125707375379379</v>
      </c>
      <c r="AJ45" s="4">
        <v>7.4377377095883643</v>
      </c>
      <c r="AK45" s="4">
        <v>-2.5166972050426391E-2</v>
      </c>
    </row>
    <row r="46" spans="1:37" x14ac:dyDescent="0.3">
      <c r="A46" s="2" t="s">
        <v>129</v>
      </c>
      <c r="B46" s="2" t="s">
        <v>130</v>
      </c>
      <c r="C46" s="2">
        <v>2013</v>
      </c>
      <c r="D46" s="2">
        <v>1</v>
      </c>
      <c r="E46" s="2">
        <v>45</v>
      </c>
      <c r="F46" s="2">
        <v>45</v>
      </c>
      <c r="G46" s="3">
        <v>1669.1066240363</v>
      </c>
      <c r="H46" s="4">
        <v>7.420043806604081</v>
      </c>
      <c r="I46" s="3">
        <v>1691.575848133878</v>
      </c>
      <c r="J46" s="3">
        <v>1689.236743339068</v>
      </c>
      <c r="K46" s="4">
        <v>3.8066624897703201</v>
      </c>
      <c r="L46" s="6">
        <v>55225000000</v>
      </c>
      <c r="M46" s="6">
        <v>4436000</v>
      </c>
      <c r="N46" s="3">
        <v>12449.278629395851</v>
      </c>
      <c r="O46" s="7">
        <v>1057</v>
      </c>
      <c r="P46" s="4">
        <v>1.4768211920529799</v>
      </c>
      <c r="Q46" s="3">
        <v>18385.35850566407</v>
      </c>
      <c r="R46" s="4">
        <v>9.8193098934453911</v>
      </c>
      <c r="S46" s="7">
        <v>210.49999997185341</v>
      </c>
      <c r="T46" s="8">
        <v>1.3977035490605429</v>
      </c>
      <c r="U46" s="3">
        <v>294.21659703790368</v>
      </c>
      <c r="V46" s="4">
        <v>5.684316220709035</v>
      </c>
      <c r="W46" s="6">
        <v>7404156984.225028</v>
      </c>
      <c r="X46" s="4">
        <v>22.725307434056479</v>
      </c>
      <c r="Y46" s="7">
        <v>5.8</v>
      </c>
      <c r="Z46" s="4">
        <v>5.8000000000000003E-2</v>
      </c>
      <c r="AA46" s="4">
        <v>-2.8473122684357182</v>
      </c>
      <c r="AB46" s="5">
        <v>1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4">
        <v>3.8066624897703201</v>
      </c>
      <c r="AI46" s="4">
        <v>7.4334158279685516</v>
      </c>
      <c r="AJ46" s="4">
        <v>7.4320320747407349</v>
      </c>
      <c r="AK46" s="4">
        <v>1.3837532278175859E-3</v>
      </c>
    </row>
    <row r="47" spans="1:37" x14ac:dyDescent="0.3">
      <c r="A47" s="2" t="s">
        <v>131</v>
      </c>
      <c r="B47" s="2" t="s">
        <v>132</v>
      </c>
      <c r="C47" s="2">
        <v>2013</v>
      </c>
      <c r="D47" s="2">
        <v>2</v>
      </c>
      <c r="E47" s="2">
        <v>46</v>
      </c>
      <c r="F47" s="2">
        <v>46</v>
      </c>
      <c r="G47" s="3">
        <v>1653.8925437795581</v>
      </c>
      <c r="H47" s="4">
        <v>7.4108869059880051</v>
      </c>
      <c r="I47" s="3">
        <v>1669.1066240363</v>
      </c>
      <c r="J47" s="3">
        <v>1654.163538305608</v>
      </c>
      <c r="K47" s="4">
        <v>3.8286413964890951</v>
      </c>
      <c r="L47" s="6">
        <v>55741000000</v>
      </c>
      <c r="M47" s="6">
        <v>4442100</v>
      </c>
      <c r="N47" s="3">
        <v>12548.344251592711</v>
      </c>
      <c r="O47" s="7">
        <v>1072</v>
      </c>
      <c r="P47" s="4">
        <v>1.456156716417911</v>
      </c>
      <c r="Q47" s="3">
        <v>18272.355761880812</v>
      </c>
      <c r="R47" s="4">
        <v>9.8131445825967969</v>
      </c>
      <c r="S47" s="7">
        <v>205.09999996369041</v>
      </c>
      <c r="T47" s="8">
        <v>1.396246089676747</v>
      </c>
      <c r="U47" s="3">
        <v>286.37007294200362</v>
      </c>
      <c r="V47" s="4">
        <v>5.6572849357090353</v>
      </c>
      <c r="W47" s="6">
        <v>7346756068.7231731</v>
      </c>
      <c r="X47" s="4">
        <v>22.717524701552929</v>
      </c>
      <c r="Y47" s="7">
        <v>6</v>
      </c>
      <c r="Z47" s="4">
        <v>0.06</v>
      </c>
      <c r="AA47" s="4">
        <v>-2.813410716760036</v>
      </c>
      <c r="AB47" s="5">
        <v>1</v>
      </c>
      <c r="AC47" s="5">
        <v>0</v>
      </c>
      <c r="AD47" s="5">
        <v>0</v>
      </c>
      <c r="AE47" s="5">
        <v>1</v>
      </c>
      <c r="AF47" s="5">
        <v>0</v>
      </c>
      <c r="AG47" s="5">
        <v>0</v>
      </c>
      <c r="AH47" s="4">
        <v>3.8286413964890951</v>
      </c>
      <c r="AI47" s="4">
        <v>7.420043806604081</v>
      </c>
      <c r="AJ47" s="4">
        <v>7.4110507451249079</v>
      </c>
      <c r="AK47" s="4">
        <v>8.9930614791731145E-3</v>
      </c>
    </row>
    <row r="48" spans="1:37" x14ac:dyDescent="0.3">
      <c r="A48" s="2" t="s">
        <v>133</v>
      </c>
      <c r="B48" s="2" t="s">
        <v>134</v>
      </c>
      <c r="C48" s="2">
        <v>2013</v>
      </c>
      <c r="D48" s="2">
        <v>3</v>
      </c>
      <c r="E48" s="2">
        <v>47</v>
      </c>
      <c r="F48" s="2">
        <v>47</v>
      </c>
      <c r="G48" s="3">
        <v>1657.7712418408969</v>
      </c>
      <c r="H48" s="4">
        <v>7.4132293538244891</v>
      </c>
      <c r="I48" s="3">
        <v>1653.8925437795581</v>
      </c>
      <c r="J48" s="3">
        <v>1656.6797661729249</v>
      </c>
      <c r="K48" s="4">
        <v>3.850147601710058</v>
      </c>
      <c r="L48" s="6">
        <v>57553000000</v>
      </c>
      <c r="M48" s="6">
        <v>4457900</v>
      </c>
      <c r="N48" s="3">
        <v>12910.33894883241</v>
      </c>
      <c r="O48" s="7">
        <v>1097</v>
      </c>
      <c r="P48" s="4">
        <v>1.4229717411121241</v>
      </c>
      <c r="Q48" s="3">
        <v>18371.047492367721</v>
      </c>
      <c r="R48" s="4">
        <v>9.8185311984870083</v>
      </c>
      <c r="S48" s="7">
        <v>216.5999999409872</v>
      </c>
      <c r="T48" s="8">
        <v>1.3832644628099171</v>
      </c>
      <c r="U48" s="3">
        <v>299.61508256299783</v>
      </c>
      <c r="V48" s="4">
        <v>5.702498592709035</v>
      </c>
      <c r="W48" s="6">
        <v>7390178419.0025339</v>
      </c>
      <c r="X48" s="4">
        <v>22.723417714917179</v>
      </c>
      <c r="Y48" s="7">
        <v>5.8</v>
      </c>
      <c r="Z48" s="4">
        <v>5.8000000000000003E-2</v>
      </c>
      <c r="AA48" s="4">
        <v>-2.8473122684357182</v>
      </c>
      <c r="AB48" s="5">
        <v>1</v>
      </c>
      <c r="AC48" s="5">
        <v>0</v>
      </c>
      <c r="AD48" s="5">
        <v>0</v>
      </c>
      <c r="AE48" s="5">
        <v>0</v>
      </c>
      <c r="AF48" s="5">
        <v>1</v>
      </c>
      <c r="AG48" s="5">
        <v>0</v>
      </c>
      <c r="AH48" s="4">
        <v>3.850147601710058</v>
      </c>
      <c r="AI48" s="4">
        <v>7.4108869059880051</v>
      </c>
      <c r="AJ48" s="4">
        <v>7.4125707375379379</v>
      </c>
      <c r="AK48" s="4">
        <v>-1.6838315499327901E-3</v>
      </c>
    </row>
    <row r="49" spans="1:37" x14ac:dyDescent="0.3">
      <c r="A49" s="2" t="s">
        <v>135</v>
      </c>
      <c r="B49" s="2" t="s">
        <v>136</v>
      </c>
      <c r="C49" s="2">
        <v>2013</v>
      </c>
      <c r="D49" s="2">
        <v>4</v>
      </c>
      <c r="E49" s="2">
        <v>48</v>
      </c>
      <c r="F49" s="2">
        <v>48</v>
      </c>
      <c r="G49" s="3">
        <v>1689.7569405522811</v>
      </c>
      <c r="H49" s="4">
        <v>7.4323399754153074</v>
      </c>
      <c r="I49" s="3">
        <v>1657.7712418408969</v>
      </c>
      <c r="J49" s="3">
        <v>1691.575848133878</v>
      </c>
      <c r="K49" s="4">
        <v>3.8712010109078911</v>
      </c>
      <c r="L49" s="6">
        <v>59579000000</v>
      </c>
      <c r="M49" s="6">
        <v>4477400</v>
      </c>
      <c r="N49" s="3">
        <v>13306.606512708269</v>
      </c>
      <c r="O49" s="7">
        <v>1129</v>
      </c>
      <c r="P49" s="4">
        <v>1.3826395039858279</v>
      </c>
      <c r="Q49" s="3">
        <v>18398.23982846555</v>
      </c>
      <c r="R49" s="4">
        <v>9.8200102775247871</v>
      </c>
      <c r="S49" s="7">
        <v>209.10000009912201</v>
      </c>
      <c r="T49" s="8">
        <v>1.381836945304437</v>
      </c>
      <c r="U49" s="3">
        <v>288.94210540012841</v>
      </c>
      <c r="V49" s="4">
        <v>5.6662263407090352</v>
      </c>
      <c r="W49" s="6">
        <v>7565717725.6287832</v>
      </c>
      <c r="X49" s="4">
        <v>22.746893054191229</v>
      </c>
      <c r="Y49" s="7">
        <v>5.7</v>
      </c>
      <c r="Z49" s="4">
        <v>5.7000000000000002E-2</v>
      </c>
      <c r="AA49" s="4">
        <v>-2.864704011147587</v>
      </c>
      <c r="AB49" s="5">
        <v>1</v>
      </c>
      <c r="AC49" s="5">
        <v>0</v>
      </c>
      <c r="AD49" s="5">
        <v>0</v>
      </c>
      <c r="AE49" s="5">
        <v>0</v>
      </c>
      <c r="AF49" s="5">
        <v>0</v>
      </c>
      <c r="AG49" s="5">
        <v>1</v>
      </c>
      <c r="AH49" s="4">
        <v>3.8712010109078911</v>
      </c>
      <c r="AI49" s="4">
        <v>7.4132293538244891</v>
      </c>
      <c r="AJ49" s="4">
        <v>7.4334158279685516</v>
      </c>
      <c r="AK49" s="4">
        <v>-2.0186474144063379E-2</v>
      </c>
    </row>
    <row r="50" spans="1:37" x14ac:dyDescent="0.3">
      <c r="A50" s="2" t="s">
        <v>137</v>
      </c>
      <c r="B50" s="2" t="s">
        <v>138</v>
      </c>
      <c r="C50" s="2">
        <v>2014</v>
      </c>
      <c r="D50" s="2">
        <v>1</v>
      </c>
      <c r="E50" s="2">
        <v>49</v>
      </c>
      <c r="F50" s="2">
        <v>49</v>
      </c>
      <c r="G50" s="3">
        <v>1663.575091031028</v>
      </c>
      <c r="H50" s="4">
        <v>7.4167242348250841</v>
      </c>
      <c r="I50" s="3">
        <v>1689.7569405522811</v>
      </c>
      <c r="J50" s="3">
        <v>1669.1066240363</v>
      </c>
      <c r="K50" s="4">
        <v>3.891820298110626</v>
      </c>
      <c r="L50" s="6">
        <v>59843000000</v>
      </c>
      <c r="M50" s="6">
        <v>4501100</v>
      </c>
      <c r="N50" s="3">
        <v>13295.19450800915</v>
      </c>
      <c r="O50" s="7">
        <v>1122</v>
      </c>
      <c r="P50" s="4">
        <v>1.39126559714795</v>
      </c>
      <c r="Q50" s="3">
        <v>18497.1467263835</v>
      </c>
      <c r="R50" s="4">
        <v>9.8253717681652937</v>
      </c>
      <c r="S50" s="7">
        <v>211.1999999252765</v>
      </c>
      <c r="T50" s="8">
        <v>1.3775720164609051</v>
      </c>
      <c r="U50" s="3">
        <v>290.94320977360621</v>
      </c>
      <c r="V50" s="4">
        <v>5.6731280927090353</v>
      </c>
      <c r="W50" s="6">
        <v>7487917842.2397623</v>
      </c>
      <c r="X50" s="4">
        <v>22.7365566041384</v>
      </c>
      <c r="Y50" s="7">
        <v>5.6</v>
      </c>
      <c r="Z50" s="4">
        <v>5.5999999999999987E-2</v>
      </c>
      <c r="AA50" s="4">
        <v>-2.8824035882469881</v>
      </c>
      <c r="AB50" s="5">
        <v>1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4">
        <v>3.891820298110626</v>
      </c>
      <c r="AI50" s="4">
        <v>7.4323399754153074</v>
      </c>
      <c r="AJ50" s="4">
        <v>7.420043806604081</v>
      </c>
      <c r="AK50" s="4">
        <v>1.2296168811226421E-2</v>
      </c>
    </row>
    <row r="51" spans="1:37" x14ac:dyDescent="0.3">
      <c r="A51" s="2" t="s">
        <v>139</v>
      </c>
      <c r="B51" s="2" t="s">
        <v>140</v>
      </c>
      <c r="C51" s="2">
        <v>2014</v>
      </c>
      <c r="D51" s="2">
        <v>2</v>
      </c>
      <c r="E51" s="2">
        <v>50</v>
      </c>
      <c r="F51" s="2">
        <v>50</v>
      </c>
      <c r="G51" s="3">
        <v>1650.641245248981</v>
      </c>
      <c r="H51" s="4">
        <v>7.4089191248804251</v>
      </c>
      <c r="I51" s="3">
        <v>1663.575091031028</v>
      </c>
      <c r="J51" s="3">
        <v>1653.8925437795581</v>
      </c>
      <c r="K51" s="4">
        <v>3.912023005428146</v>
      </c>
      <c r="L51" s="6">
        <v>59983000000</v>
      </c>
      <c r="M51" s="6">
        <v>4516500</v>
      </c>
      <c r="N51" s="3">
        <v>13280.85907229049</v>
      </c>
      <c r="O51" s="7">
        <v>1119</v>
      </c>
      <c r="P51" s="4">
        <v>1.394995531724754</v>
      </c>
      <c r="Q51" s="3">
        <v>18526.739063311401</v>
      </c>
      <c r="R51" s="4">
        <v>9.8269703223201788</v>
      </c>
      <c r="S51" s="7">
        <v>210.4999999775342</v>
      </c>
      <c r="T51" s="8">
        <v>1.3733333333333331</v>
      </c>
      <c r="U51" s="3">
        <v>289.08666663581357</v>
      </c>
      <c r="V51" s="4">
        <v>5.6667265277090353</v>
      </c>
      <c r="W51" s="6">
        <v>7455121184.1670237</v>
      </c>
      <c r="X51" s="4">
        <v>22.73216704045246</v>
      </c>
      <c r="Y51" s="7">
        <v>5.3</v>
      </c>
      <c r="Z51" s="4">
        <v>5.2999999999999999E-2</v>
      </c>
      <c r="AA51" s="4">
        <v>-2.9374633654300148</v>
      </c>
      <c r="AB51" s="5">
        <v>1</v>
      </c>
      <c r="AC51" s="5">
        <v>0</v>
      </c>
      <c r="AD51" s="5">
        <v>0</v>
      </c>
      <c r="AE51" s="5">
        <v>1</v>
      </c>
      <c r="AF51" s="5">
        <v>0</v>
      </c>
      <c r="AG51" s="5">
        <v>0</v>
      </c>
      <c r="AH51" s="4">
        <v>3.912023005428146</v>
      </c>
      <c r="AI51" s="4">
        <v>7.4167242348250841</v>
      </c>
      <c r="AJ51" s="4">
        <v>7.4108869059880051</v>
      </c>
      <c r="AK51" s="4">
        <v>5.8373288370789922E-3</v>
      </c>
    </row>
    <row r="52" spans="1:37" x14ac:dyDescent="0.3">
      <c r="A52" s="2" t="s">
        <v>141</v>
      </c>
      <c r="B52" s="2" t="s">
        <v>142</v>
      </c>
      <c r="C52" s="2">
        <v>2014</v>
      </c>
      <c r="D52" s="2">
        <v>3</v>
      </c>
      <c r="E52" s="2">
        <v>51</v>
      </c>
      <c r="F52" s="2">
        <v>51</v>
      </c>
      <c r="G52" s="3">
        <v>1656.3183843935469</v>
      </c>
      <c r="H52" s="4">
        <v>7.4123525775726211</v>
      </c>
      <c r="I52" s="3">
        <v>1650.641245248981</v>
      </c>
      <c r="J52" s="3">
        <v>1657.7712418408969</v>
      </c>
      <c r="K52" s="4">
        <v>3.9318256327243262</v>
      </c>
      <c r="L52" s="6">
        <v>60330000000</v>
      </c>
      <c r="M52" s="6">
        <v>4540300</v>
      </c>
      <c r="N52" s="3">
        <v>13287.66821575667</v>
      </c>
      <c r="O52" s="7">
        <v>1112</v>
      </c>
      <c r="P52" s="4">
        <v>1.403776978417266</v>
      </c>
      <c r="Q52" s="3">
        <v>18652.922738126039</v>
      </c>
      <c r="R52" s="4">
        <v>9.8337581279744413</v>
      </c>
      <c r="S52" s="7">
        <v>212.39999993307211</v>
      </c>
      <c r="T52" s="8">
        <v>1.369120654396728</v>
      </c>
      <c r="U52" s="3">
        <v>290.8012269022326</v>
      </c>
      <c r="V52" s="4">
        <v>5.6726399647090364</v>
      </c>
      <c r="W52" s="6">
        <v>7520182360.6620226</v>
      </c>
      <c r="X52" s="4">
        <v>22.740856224702171</v>
      </c>
      <c r="Y52" s="7">
        <v>5.3</v>
      </c>
      <c r="Z52" s="4">
        <v>5.2999999999999999E-2</v>
      </c>
      <c r="AA52" s="4">
        <v>-2.9374633654300148</v>
      </c>
      <c r="AB52" s="5">
        <v>1</v>
      </c>
      <c r="AC52" s="5">
        <v>0</v>
      </c>
      <c r="AD52" s="5">
        <v>0</v>
      </c>
      <c r="AE52" s="5">
        <v>0</v>
      </c>
      <c r="AF52" s="5">
        <v>1</v>
      </c>
      <c r="AG52" s="5">
        <v>0</v>
      </c>
      <c r="AH52" s="4">
        <v>3.9318256327243262</v>
      </c>
      <c r="AI52" s="4">
        <v>7.4089191248804251</v>
      </c>
      <c r="AJ52" s="4">
        <v>7.4132293538244891</v>
      </c>
      <c r="AK52" s="4">
        <v>-4.3102289440639652E-3</v>
      </c>
    </row>
    <row r="53" spans="1:37" x14ac:dyDescent="0.3">
      <c r="A53" s="2" t="s">
        <v>143</v>
      </c>
      <c r="B53" s="2" t="s">
        <v>144</v>
      </c>
      <c r="C53" s="2">
        <v>2014</v>
      </c>
      <c r="D53" s="2">
        <v>4</v>
      </c>
      <c r="E53" s="2">
        <v>52</v>
      </c>
      <c r="F53" s="2">
        <v>52</v>
      </c>
      <c r="G53" s="3">
        <v>1686.1617935287661</v>
      </c>
      <c r="H53" s="4">
        <v>7.4302100969047258</v>
      </c>
      <c r="I53" s="3">
        <v>1656.3183843935469</v>
      </c>
      <c r="J53" s="3">
        <v>1689.7569405522811</v>
      </c>
      <c r="K53" s="4">
        <v>3.951243718581428</v>
      </c>
      <c r="L53" s="6">
        <v>60828000000</v>
      </c>
      <c r="M53" s="6">
        <v>4564400</v>
      </c>
      <c r="N53" s="3">
        <v>13326.614670055211</v>
      </c>
      <c r="O53" s="7">
        <v>1106</v>
      </c>
      <c r="P53" s="4">
        <v>1.4113924050632909</v>
      </c>
      <c r="Q53" s="3">
        <v>18809.08273052096</v>
      </c>
      <c r="R53" s="4">
        <v>9.8420951561151142</v>
      </c>
      <c r="S53" s="7">
        <v>200.4000000441373</v>
      </c>
      <c r="T53" s="8">
        <v>1.3719262295081971</v>
      </c>
      <c r="U53" s="3">
        <v>274.9340164539957</v>
      </c>
      <c r="V53" s="4">
        <v>5.6165311287090356</v>
      </c>
      <c r="W53" s="6">
        <v>7696316890.3827009</v>
      </c>
      <c r="X53" s="4">
        <v>22.764007725447389</v>
      </c>
      <c r="Y53" s="7">
        <v>5.5</v>
      </c>
      <c r="Z53" s="4">
        <v>5.5E-2</v>
      </c>
      <c r="AA53" s="4">
        <v>-2.9004220937496661</v>
      </c>
      <c r="AB53" s="5">
        <v>1</v>
      </c>
      <c r="AC53" s="5">
        <v>0</v>
      </c>
      <c r="AD53" s="5">
        <v>0</v>
      </c>
      <c r="AE53" s="5">
        <v>0</v>
      </c>
      <c r="AF53" s="5">
        <v>0</v>
      </c>
      <c r="AG53" s="5">
        <v>1</v>
      </c>
      <c r="AH53" s="4">
        <v>3.951243718581428</v>
      </c>
      <c r="AI53" s="4">
        <v>7.4123525775726211</v>
      </c>
      <c r="AJ53" s="4">
        <v>7.4323399754153074</v>
      </c>
      <c r="AK53" s="4">
        <v>-1.9987397842686331E-2</v>
      </c>
    </row>
    <row r="54" spans="1:37" x14ac:dyDescent="0.3">
      <c r="A54" s="2" t="s">
        <v>145</v>
      </c>
      <c r="B54" s="2" t="s">
        <v>146</v>
      </c>
      <c r="C54" s="2">
        <v>2015</v>
      </c>
      <c r="D54" s="2">
        <v>1</v>
      </c>
      <c r="E54" s="2">
        <v>53</v>
      </c>
      <c r="F54" s="2">
        <v>53</v>
      </c>
      <c r="G54" s="3">
        <v>1666.9199328413829</v>
      </c>
      <c r="H54" s="4">
        <v>7.4187328509082517</v>
      </c>
      <c r="I54" s="3">
        <v>1686.1617935287661</v>
      </c>
      <c r="J54" s="3">
        <v>1663.575091031028</v>
      </c>
      <c r="K54" s="4">
        <v>3.970291913552122</v>
      </c>
      <c r="L54" s="6">
        <v>61674000000</v>
      </c>
      <c r="M54" s="6">
        <v>4591900</v>
      </c>
      <c r="N54" s="3">
        <v>13431.041616759951</v>
      </c>
      <c r="O54" s="7">
        <v>1113</v>
      </c>
      <c r="P54" s="4">
        <v>1.4025157232704399</v>
      </c>
      <c r="Q54" s="3">
        <v>18837.247047405461</v>
      </c>
      <c r="R54" s="4">
        <v>9.8435914147042052</v>
      </c>
      <c r="S54" s="7">
        <v>178.8000000494018</v>
      </c>
      <c r="T54" s="8">
        <v>1.3733333333333331</v>
      </c>
      <c r="U54" s="3">
        <v>245.55200006784511</v>
      </c>
      <c r="V54" s="4">
        <v>5.5035087377090353</v>
      </c>
      <c r="W54" s="6">
        <v>7654329639.6143484</v>
      </c>
      <c r="X54" s="4">
        <v>22.75853729064918</v>
      </c>
      <c r="Y54" s="7">
        <v>5.5</v>
      </c>
      <c r="Z54" s="4">
        <v>5.5E-2</v>
      </c>
      <c r="AA54" s="4">
        <v>-2.9004220937496661</v>
      </c>
      <c r="AB54" s="5">
        <v>1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4">
        <v>3.970291913552122</v>
      </c>
      <c r="AI54" s="4">
        <v>7.4302100969047258</v>
      </c>
      <c r="AJ54" s="4">
        <v>7.4167242348250841</v>
      </c>
      <c r="AK54" s="4">
        <v>1.348586207964164E-2</v>
      </c>
    </row>
    <row r="55" spans="1:37" x14ac:dyDescent="0.3">
      <c r="A55" s="2" t="s">
        <v>147</v>
      </c>
      <c r="B55" s="2" t="s">
        <v>148</v>
      </c>
      <c r="C55" s="2">
        <v>2015</v>
      </c>
      <c r="D55" s="2">
        <v>2</v>
      </c>
      <c r="E55" s="2">
        <v>54</v>
      </c>
      <c r="F55" s="2">
        <v>54</v>
      </c>
      <c r="G55" s="3">
        <v>1666.682867568735</v>
      </c>
      <c r="H55" s="4">
        <v>7.4185906232421246</v>
      </c>
      <c r="I55" s="3">
        <v>1666.9199328413829</v>
      </c>
      <c r="J55" s="3">
        <v>1650.641245248981</v>
      </c>
      <c r="K55" s="4">
        <v>3.988984046564275</v>
      </c>
      <c r="L55" s="6">
        <v>62935000000</v>
      </c>
      <c r="M55" s="6">
        <v>4609400</v>
      </c>
      <c r="N55" s="3">
        <v>13653.62086171736</v>
      </c>
      <c r="O55" s="7">
        <v>1126</v>
      </c>
      <c r="P55" s="4">
        <v>1.3863232682060389</v>
      </c>
      <c r="Q55" s="3">
        <v>18928.332295862168</v>
      </c>
      <c r="R55" s="4">
        <v>9.8484151418471484</v>
      </c>
      <c r="S55" s="7">
        <v>194.59999996039289</v>
      </c>
      <c r="T55" s="8">
        <v>1.367722165474974</v>
      </c>
      <c r="U55" s="3">
        <v>266.15873334725848</v>
      </c>
      <c r="V55" s="4">
        <v>5.5840928727090358</v>
      </c>
      <c r="W55" s="6">
        <v>7682408009.7713251</v>
      </c>
      <c r="X55" s="4">
        <v>22.762198877900651</v>
      </c>
      <c r="Y55" s="7">
        <v>5.5</v>
      </c>
      <c r="Z55" s="4">
        <v>5.5E-2</v>
      </c>
      <c r="AA55" s="4">
        <v>-2.9004220937496661</v>
      </c>
      <c r="AB55" s="5">
        <v>1</v>
      </c>
      <c r="AC55" s="5">
        <v>0</v>
      </c>
      <c r="AD55" s="5">
        <v>0</v>
      </c>
      <c r="AE55" s="5">
        <v>1</v>
      </c>
      <c r="AF55" s="5">
        <v>0</v>
      </c>
      <c r="AG55" s="5">
        <v>0</v>
      </c>
      <c r="AH55" s="4">
        <v>3.988984046564275</v>
      </c>
      <c r="AI55" s="4">
        <v>7.4187328509082517</v>
      </c>
      <c r="AJ55" s="4">
        <v>7.4089191248804251</v>
      </c>
      <c r="AK55" s="4">
        <v>9.813726027826597E-3</v>
      </c>
    </row>
    <row r="56" spans="1:37" x14ac:dyDescent="0.3">
      <c r="A56" s="2" t="s">
        <v>149</v>
      </c>
      <c r="B56" s="2" t="s">
        <v>150</v>
      </c>
      <c r="C56" s="2">
        <v>2015</v>
      </c>
      <c r="D56" s="2">
        <v>3</v>
      </c>
      <c r="E56" s="2">
        <v>55</v>
      </c>
      <c r="F56" s="2">
        <v>55</v>
      </c>
      <c r="G56" s="3">
        <v>1677.201182052182</v>
      </c>
      <c r="H56" s="4">
        <v>7.4248817200734774</v>
      </c>
      <c r="I56" s="3">
        <v>1666.682867568735</v>
      </c>
      <c r="J56" s="3">
        <v>1656.3183843935469</v>
      </c>
      <c r="K56" s="4">
        <v>4.0073331852324712</v>
      </c>
      <c r="L56" s="6">
        <v>63542000000</v>
      </c>
      <c r="M56" s="6">
        <v>4636300</v>
      </c>
      <c r="N56" s="3">
        <v>13705.32536721092</v>
      </c>
      <c r="O56" s="7">
        <v>1122</v>
      </c>
      <c r="P56" s="4">
        <v>1.39126559714795</v>
      </c>
      <c r="Q56" s="3">
        <v>19067.74768111965</v>
      </c>
      <c r="R56" s="4">
        <v>9.8557535836548098</v>
      </c>
      <c r="S56" s="7">
        <v>197.89999995325769</v>
      </c>
      <c r="T56" s="8">
        <v>1.3635437881873731</v>
      </c>
      <c r="U56" s="3">
        <v>269.84531561854601</v>
      </c>
      <c r="V56" s="4">
        <v>5.5978488897090353</v>
      </c>
      <c r="W56" s="6">
        <v>7776007840.3485327</v>
      </c>
      <c r="X56" s="4">
        <v>22.774308912379311</v>
      </c>
      <c r="Y56" s="7">
        <v>5.7</v>
      </c>
      <c r="Z56" s="4">
        <v>5.7000000000000002E-2</v>
      </c>
      <c r="AA56" s="4">
        <v>-2.864704011147587</v>
      </c>
      <c r="AB56" s="5">
        <v>1</v>
      </c>
      <c r="AC56" s="5">
        <v>0</v>
      </c>
      <c r="AD56" s="5">
        <v>0</v>
      </c>
      <c r="AE56" s="5">
        <v>0</v>
      </c>
      <c r="AF56" s="5">
        <v>1</v>
      </c>
      <c r="AG56" s="5">
        <v>0</v>
      </c>
      <c r="AH56" s="4">
        <v>4.0073331852324712</v>
      </c>
      <c r="AI56" s="4">
        <v>7.4185906232421246</v>
      </c>
      <c r="AJ56" s="4">
        <v>7.4123525775726211</v>
      </c>
      <c r="AK56" s="4">
        <v>6.2380456695034781E-3</v>
      </c>
    </row>
    <row r="57" spans="1:37" x14ac:dyDescent="0.3">
      <c r="A57" s="2" t="s">
        <v>151</v>
      </c>
      <c r="B57" s="2" t="s">
        <v>152</v>
      </c>
      <c r="C57" s="2">
        <v>2015</v>
      </c>
      <c r="D57" s="2">
        <v>4</v>
      </c>
      <c r="E57" s="2">
        <v>56</v>
      </c>
      <c r="F57" s="2">
        <v>56</v>
      </c>
      <c r="G57" s="3">
        <v>1707.2822797111919</v>
      </c>
      <c r="H57" s="4">
        <v>7.442658075093231</v>
      </c>
      <c r="I57" s="3">
        <v>1677.201182052182</v>
      </c>
      <c r="J57" s="3">
        <v>1686.1617935287661</v>
      </c>
      <c r="K57" s="4">
        <v>4.0253516907351496</v>
      </c>
      <c r="L57" s="6">
        <v>63719000000</v>
      </c>
      <c r="M57" s="6">
        <v>4663700</v>
      </c>
      <c r="N57" s="3">
        <v>13662.75703840298</v>
      </c>
      <c r="O57" s="7">
        <v>1114</v>
      </c>
      <c r="P57" s="4">
        <v>1.4012567324955121</v>
      </c>
      <c r="Q57" s="3">
        <v>19145.030284512621</v>
      </c>
      <c r="R57" s="4">
        <v>9.85979844575985</v>
      </c>
      <c r="S57" s="7">
        <v>183.49999992036479</v>
      </c>
      <c r="T57" s="8">
        <v>1.3705220061412491</v>
      </c>
      <c r="U57" s="3">
        <v>251.49078801777731</v>
      </c>
      <c r="V57" s="4">
        <v>5.5274063607090351</v>
      </c>
      <c r="W57" s="6">
        <v>7962252367.8890867</v>
      </c>
      <c r="X57" s="4">
        <v>22.79797775756694</v>
      </c>
      <c r="Y57" s="7">
        <v>5</v>
      </c>
      <c r="Z57" s="4">
        <v>0.05</v>
      </c>
      <c r="AA57" s="4">
        <v>-2.9957322735539909</v>
      </c>
      <c r="AB57" s="5">
        <v>1</v>
      </c>
      <c r="AC57" s="5">
        <v>0</v>
      </c>
      <c r="AD57" s="5">
        <v>0</v>
      </c>
      <c r="AE57" s="5">
        <v>0</v>
      </c>
      <c r="AF57" s="5">
        <v>0</v>
      </c>
      <c r="AG57" s="5">
        <v>1</v>
      </c>
      <c r="AH57" s="4">
        <v>4.0253516907351496</v>
      </c>
      <c r="AI57" s="4">
        <v>7.4248817200734774</v>
      </c>
      <c r="AJ57" s="4">
        <v>7.4302100969047258</v>
      </c>
      <c r="AK57" s="4">
        <v>-5.328376831248427E-3</v>
      </c>
    </row>
    <row r="58" spans="1:37" x14ac:dyDescent="0.3">
      <c r="A58" s="2" t="s">
        <v>153</v>
      </c>
      <c r="B58" s="2" t="s">
        <v>154</v>
      </c>
      <c r="C58" s="2">
        <v>2016</v>
      </c>
      <c r="D58" s="2">
        <v>1</v>
      </c>
      <c r="E58" s="2">
        <v>57</v>
      </c>
      <c r="F58" s="2">
        <v>57</v>
      </c>
      <c r="G58" s="3">
        <v>1705.794990531884</v>
      </c>
      <c r="H58" s="4">
        <v>7.4417865511541663</v>
      </c>
      <c r="I58" s="3">
        <v>1707.2822797111919</v>
      </c>
      <c r="J58" s="3">
        <v>1666.9199328413829</v>
      </c>
      <c r="K58" s="4">
        <v>4.0430512678345503</v>
      </c>
      <c r="L58" s="6">
        <v>65293000000</v>
      </c>
      <c r="M58" s="6">
        <v>4695000</v>
      </c>
      <c r="N58" s="3">
        <v>13906.92225772098</v>
      </c>
      <c r="O58" s="7">
        <v>1130</v>
      </c>
      <c r="P58" s="4">
        <v>1.3814159292035399</v>
      </c>
      <c r="Q58" s="3">
        <v>19211.243933011021</v>
      </c>
      <c r="R58" s="4">
        <v>9.8632510081175031</v>
      </c>
      <c r="S58" s="7">
        <v>168.99999993667561</v>
      </c>
      <c r="T58" s="8">
        <v>1.367722165474974</v>
      </c>
      <c r="U58" s="3">
        <v>231.14504587866051</v>
      </c>
      <c r="V58" s="4">
        <v>5.443045417709035</v>
      </c>
      <c r="W58" s="6">
        <v>8008707480.5471954</v>
      </c>
      <c r="X58" s="4">
        <v>22.803795221778671</v>
      </c>
      <c r="Y58" s="7">
        <v>5.3</v>
      </c>
      <c r="Z58" s="4">
        <v>5.2999999999999999E-2</v>
      </c>
      <c r="AA58" s="4">
        <v>-2.9374633654300148</v>
      </c>
      <c r="AB58" s="5">
        <v>1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4">
        <v>4.0430512678345503</v>
      </c>
      <c r="AI58" s="4">
        <v>7.442658075093231</v>
      </c>
      <c r="AJ58" s="4">
        <v>7.4187328509082517</v>
      </c>
      <c r="AK58" s="4">
        <v>2.3925224184979221E-2</v>
      </c>
    </row>
    <row r="59" spans="1:37" x14ac:dyDescent="0.3">
      <c r="A59" s="2" t="s">
        <v>155</v>
      </c>
      <c r="B59" s="2" t="s">
        <v>156</v>
      </c>
      <c r="C59" s="2">
        <v>2016</v>
      </c>
      <c r="D59" s="2">
        <v>2</v>
      </c>
      <c r="E59" s="2">
        <v>58</v>
      </c>
      <c r="F59" s="2">
        <v>58</v>
      </c>
      <c r="G59" s="3">
        <v>1692.8710046610349</v>
      </c>
      <c r="H59" s="4">
        <v>7.4341811858818012</v>
      </c>
      <c r="I59" s="3">
        <v>1705.794990531884</v>
      </c>
      <c r="J59" s="3">
        <v>1666.682867568735</v>
      </c>
      <c r="K59" s="4">
        <v>4.0604430105464191</v>
      </c>
      <c r="L59" s="6">
        <v>66273000000</v>
      </c>
      <c r="M59" s="6">
        <v>4714100</v>
      </c>
      <c r="N59" s="3">
        <v>14058.46290914491</v>
      </c>
      <c r="O59" s="7">
        <v>1134</v>
      </c>
      <c r="P59" s="4">
        <v>1.3765432098765431</v>
      </c>
      <c r="Q59" s="3">
        <v>19352.08165888465</v>
      </c>
      <c r="R59" s="4">
        <v>9.8705552719422176</v>
      </c>
      <c r="S59" s="7">
        <v>178.09999997674251</v>
      </c>
      <c r="T59" s="8">
        <v>1.362156663275687</v>
      </c>
      <c r="U59" s="3">
        <v>242.6001016977194</v>
      </c>
      <c r="V59" s="4">
        <v>5.491414415709035</v>
      </c>
      <c r="W59" s="6">
        <v>7980363203.0725842</v>
      </c>
      <c r="X59" s="4">
        <v>22.800249761541892</v>
      </c>
      <c r="Y59" s="7">
        <v>5.0999999999999996</v>
      </c>
      <c r="Z59" s="4">
        <v>5.0999999999999997E-2</v>
      </c>
      <c r="AA59" s="4">
        <v>-2.975929646257812</v>
      </c>
      <c r="AB59" s="5">
        <v>1</v>
      </c>
      <c r="AC59" s="5">
        <v>0</v>
      </c>
      <c r="AD59" s="5">
        <v>0</v>
      </c>
      <c r="AE59" s="5">
        <v>1</v>
      </c>
      <c r="AF59" s="5">
        <v>0</v>
      </c>
      <c r="AG59" s="5">
        <v>0</v>
      </c>
      <c r="AH59" s="4">
        <v>4.0604430105464191</v>
      </c>
      <c r="AI59" s="4">
        <v>7.4417865511541663</v>
      </c>
      <c r="AJ59" s="4">
        <v>7.4185906232421246</v>
      </c>
      <c r="AK59" s="4">
        <v>2.3195927912041722E-2</v>
      </c>
    </row>
    <row r="60" spans="1:37" x14ac:dyDescent="0.3">
      <c r="A60" s="2" t="s">
        <v>157</v>
      </c>
      <c r="B60" s="2" t="s">
        <v>158</v>
      </c>
      <c r="C60" s="2">
        <v>2016</v>
      </c>
      <c r="D60" s="2">
        <v>3</v>
      </c>
      <c r="E60" s="2">
        <v>59</v>
      </c>
      <c r="F60" s="2">
        <v>59</v>
      </c>
      <c r="G60" s="3">
        <v>1700.9157190921781</v>
      </c>
      <c r="H60" s="4">
        <v>7.4389220433095238</v>
      </c>
      <c r="I60" s="3">
        <v>1692.8710046610349</v>
      </c>
      <c r="J60" s="3">
        <v>1677.201182052182</v>
      </c>
      <c r="K60" s="4">
        <v>4.0775374439057197</v>
      </c>
      <c r="L60" s="6">
        <v>67138000000</v>
      </c>
      <c r="M60" s="6">
        <v>4741200</v>
      </c>
      <c r="N60" s="3">
        <v>14160.550071711799</v>
      </c>
      <c r="O60" s="7">
        <v>1139</v>
      </c>
      <c r="P60" s="4">
        <v>1.3705004389815629</v>
      </c>
      <c r="Q60" s="3">
        <v>19407.040089501421</v>
      </c>
      <c r="R60" s="4">
        <v>9.8733911704337434</v>
      </c>
      <c r="S60" s="7">
        <v>175.29999994623719</v>
      </c>
      <c r="T60" s="8">
        <v>1.358012170385396</v>
      </c>
      <c r="U60" s="3">
        <v>238.05953339554929</v>
      </c>
      <c r="V60" s="4">
        <v>5.4725207827090356</v>
      </c>
      <c r="W60" s="6">
        <v>8064381607.3598337</v>
      </c>
      <c r="X60" s="4">
        <v>22.81072286949701</v>
      </c>
      <c r="Y60" s="7">
        <v>5</v>
      </c>
      <c r="Z60" s="4">
        <v>0.05</v>
      </c>
      <c r="AA60" s="4">
        <v>-2.9957322735539909</v>
      </c>
      <c r="AB60" s="5">
        <v>1</v>
      </c>
      <c r="AC60" s="5">
        <v>0</v>
      </c>
      <c r="AD60" s="5">
        <v>0</v>
      </c>
      <c r="AE60" s="5">
        <v>0</v>
      </c>
      <c r="AF60" s="5">
        <v>1</v>
      </c>
      <c r="AG60" s="5">
        <v>0</v>
      </c>
      <c r="AH60" s="4">
        <v>4.0775374439057197</v>
      </c>
      <c r="AI60" s="4">
        <v>7.4341811858818012</v>
      </c>
      <c r="AJ60" s="4">
        <v>7.4248817200734774</v>
      </c>
      <c r="AK60" s="4">
        <v>9.2994658083238591E-3</v>
      </c>
    </row>
    <row r="61" spans="1:37" x14ac:dyDescent="0.3">
      <c r="A61" s="2" t="s">
        <v>159</v>
      </c>
      <c r="B61" s="2" t="s">
        <v>160</v>
      </c>
      <c r="C61" s="2">
        <v>2016</v>
      </c>
      <c r="D61" s="2">
        <v>4</v>
      </c>
      <c r="E61" s="2">
        <v>60</v>
      </c>
      <c r="F61" s="2">
        <v>60</v>
      </c>
      <c r="G61" s="3">
        <v>1723.681485929834</v>
      </c>
      <c r="H61" s="4">
        <v>7.4522176812137797</v>
      </c>
      <c r="I61" s="3">
        <v>1700.9157190921781</v>
      </c>
      <c r="J61" s="3">
        <v>1707.2822797111919</v>
      </c>
      <c r="K61" s="4">
        <v>4.0943445622221004</v>
      </c>
      <c r="L61" s="6">
        <v>68058000000</v>
      </c>
      <c r="M61" s="6">
        <v>4767600</v>
      </c>
      <c r="N61" s="3">
        <v>14275.10697206141</v>
      </c>
      <c r="O61" s="7">
        <v>1153</v>
      </c>
      <c r="P61" s="4">
        <v>1.3538594969644411</v>
      </c>
      <c r="Q61" s="3">
        <v>19326.489144308649</v>
      </c>
      <c r="R61" s="4">
        <v>9.8692319284070535</v>
      </c>
      <c r="S61" s="7">
        <v>182.39999990994329</v>
      </c>
      <c r="T61" s="8">
        <v>1.352525252525252</v>
      </c>
      <c r="U61" s="3">
        <v>246.700605938802</v>
      </c>
      <c r="V61" s="4">
        <v>5.5081754797090356</v>
      </c>
      <c r="W61" s="6">
        <v>8217823852.3190765</v>
      </c>
      <c r="X61" s="4">
        <v>22.829571272804468</v>
      </c>
      <c r="Y61" s="7">
        <v>5.3</v>
      </c>
      <c r="Z61" s="4">
        <v>5.2999999999999999E-2</v>
      </c>
      <c r="AA61" s="4">
        <v>-2.9374633654300148</v>
      </c>
      <c r="AB61" s="5">
        <v>1</v>
      </c>
      <c r="AC61" s="5">
        <v>0</v>
      </c>
      <c r="AD61" s="5">
        <v>0</v>
      </c>
      <c r="AE61" s="5">
        <v>0</v>
      </c>
      <c r="AF61" s="5">
        <v>0</v>
      </c>
      <c r="AG61" s="5">
        <v>1</v>
      </c>
      <c r="AH61" s="4">
        <v>4.0943445622221004</v>
      </c>
      <c r="AI61" s="4">
        <v>7.4389220433095238</v>
      </c>
      <c r="AJ61" s="4">
        <v>7.442658075093231</v>
      </c>
      <c r="AK61" s="4">
        <v>-3.7360317837071828E-3</v>
      </c>
    </row>
    <row r="62" spans="1:37" x14ac:dyDescent="0.3">
      <c r="A62" s="2" t="s">
        <v>161</v>
      </c>
      <c r="B62" s="2" t="s">
        <v>162</v>
      </c>
      <c r="C62" s="2">
        <v>2017</v>
      </c>
      <c r="D62" s="2">
        <v>1</v>
      </c>
      <c r="E62" s="2">
        <v>61</v>
      </c>
      <c r="F62" s="2">
        <v>61</v>
      </c>
      <c r="G62" s="3">
        <v>1698.6307856250421</v>
      </c>
      <c r="H62" s="4">
        <v>7.4375777852986138</v>
      </c>
      <c r="I62" s="3">
        <v>1723.681485929834</v>
      </c>
      <c r="J62" s="3">
        <v>1705.794990531884</v>
      </c>
      <c r="K62" s="4">
        <v>4.1108738641733114</v>
      </c>
      <c r="L62" s="6">
        <v>70034000000</v>
      </c>
      <c r="M62" s="6">
        <v>4796700</v>
      </c>
      <c r="N62" s="3">
        <v>14600.454479121059</v>
      </c>
      <c r="O62" s="7">
        <v>1169</v>
      </c>
      <c r="P62" s="4">
        <v>1.335329341317365</v>
      </c>
      <c r="Q62" s="3">
        <v>19496.4152625389</v>
      </c>
      <c r="R62" s="4">
        <v>9.8779858949622259</v>
      </c>
      <c r="S62" s="7">
        <v>189.79999996662801</v>
      </c>
      <c r="T62" s="8">
        <v>1.339</v>
      </c>
      <c r="U62" s="3">
        <v>254.14219995531491</v>
      </c>
      <c r="V62" s="4">
        <v>5.5378939527090356</v>
      </c>
      <c r="W62" s="6">
        <v>8147822289.4076385</v>
      </c>
      <c r="X62" s="4">
        <v>22.82101652474023</v>
      </c>
      <c r="Y62" s="7">
        <v>4.9000000000000004</v>
      </c>
      <c r="Z62" s="4">
        <v>4.9000000000000002E-2</v>
      </c>
      <c r="AA62" s="4">
        <v>-3.0159349808715099</v>
      </c>
      <c r="AB62" s="5">
        <v>1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4">
        <v>4.1108738641733114</v>
      </c>
      <c r="AI62" s="4">
        <v>7.4522176812137797</v>
      </c>
      <c r="AJ62" s="4">
        <v>7.4417865511541663</v>
      </c>
      <c r="AK62" s="4">
        <v>1.043113005961338E-2</v>
      </c>
    </row>
    <row r="63" spans="1:37" x14ac:dyDescent="0.3">
      <c r="A63" s="2" t="s">
        <v>163</v>
      </c>
      <c r="B63" s="2" t="s">
        <v>164</v>
      </c>
      <c r="C63" s="2">
        <v>2017</v>
      </c>
      <c r="D63" s="2">
        <v>2</v>
      </c>
      <c r="E63" s="2">
        <v>62</v>
      </c>
      <c r="F63" s="2">
        <v>62</v>
      </c>
      <c r="G63" s="3">
        <v>1698.964995884588</v>
      </c>
      <c r="H63" s="4">
        <v>7.4377745186842876</v>
      </c>
      <c r="I63" s="3">
        <v>1698.6307856250421</v>
      </c>
      <c r="J63" s="3">
        <v>1692.8710046610349</v>
      </c>
      <c r="K63" s="4">
        <v>4.1271343850450917</v>
      </c>
      <c r="L63" s="6">
        <v>70463000000</v>
      </c>
      <c r="M63" s="6">
        <v>4813600</v>
      </c>
      <c r="N63" s="3">
        <v>14638.31643676251</v>
      </c>
      <c r="O63" s="7">
        <v>1164</v>
      </c>
      <c r="P63" s="4">
        <v>1.3410652920962201</v>
      </c>
      <c r="Q63" s="3">
        <v>19630.938108063801</v>
      </c>
      <c r="R63" s="4">
        <v>9.8848620756377326</v>
      </c>
      <c r="S63" s="7">
        <v>186.100000065469</v>
      </c>
      <c r="T63" s="8">
        <v>1.339</v>
      </c>
      <c r="U63" s="3">
        <v>249.187900087663</v>
      </c>
      <c r="V63" s="4">
        <v>5.5182072307090353</v>
      </c>
      <c r="W63" s="6">
        <v>8178137904.1900511</v>
      </c>
      <c r="X63" s="4">
        <v>22.82473032157257</v>
      </c>
      <c r="Y63" s="7">
        <v>4.9000000000000004</v>
      </c>
      <c r="Z63" s="4">
        <v>4.9000000000000002E-2</v>
      </c>
      <c r="AA63" s="4">
        <v>-3.0159349808715099</v>
      </c>
      <c r="AB63" s="5">
        <v>1</v>
      </c>
      <c r="AC63" s="5">
        <v>0</v>
      </c>
      <c r="AD63" s="5">
        <v>0</v>
      </c>
      <c r="AE63" s="5">
        <v>1</v>
      </c>
      <c r="AF63" s="5">
        <v>0</v>
      </c>
      <c r="AG63" s="5">
        <v>0</v>
      </c>
      <c r="AH63" s="4">
        <v>4.1271343850450917</v>
      </c>
      <c r="AI63" s="4">
        <v>7.4375777852986138</v>
      </c>
      <c r="AJ63" s="4">
        <v>7.4341811858818012</v>
      </c>
      <c r="AK63" s="4">
        <v>3.396599416812585E-3</v>
      </c>
    </row>
    <row r="64" spans="1:37" x14ac:dyDescent="0.3">
      <c r="A64" s="2" t="s">
        <v>165</v>
      </c>
      <c r="B64" s="2" t="s">
        <v>166</v>
      </c>
      <c r="C64" s="2">
        <v>2017</v>
      </c>
      <c r="D64" s="2">
        <v>3</v>
      </c>
      <c r="E64" s="2">
        <v>63</v>
      </c>
      <c r="F64" s="2">
        <v>63</v>
      </c>
      <c r="G64" s="3">
        <v>1705.0527201927171</v>
      </c>
      <c r="H64" s="4">
        <v>7.4413513101737196</v>
      </c>
      <c r="I64" s="3">
        <v>1698.964995884588</v>
      </c>
      <c r="J64" s="3">
        <v>1700.9157190921781</v>
      </c>
      <c r="K64" s="4">
        <v>4.1431347263915326</v>
      </c>
      <c r="L64" s="6">
        <v>72079000000</v>
      </c>
      <c r="M64" s="6">
        <v>4836300</v>
      </c>
      <c r="N64" s="3">
        <v>14903.748733535969</v>
      </c>
      <c r="O64" s="7">
        <v>1178</v>
      </c>
      <c r="P64" s="4">
        <v>1.325127334465195</v>
      </c>
      <c r="Q64" s="3">
        <v>19749.364832809551</v>
      </c>
      <c r="R64" s="4">
        <v>9.8908766094480391</v>
      </c>
      <c r="S64" s="7">
        <v>183.20000004964891</v>
      </c>
      <c r="T64" s="8">
        <v>1.332338308457711</v>
      </c>
      <c r="U64" s="3">
        <v>244.08437817560181</v>
      </c>
      <c r="V64" s="4">
        <v>5.4975139777090352</v>
      </c>
      <c r="W64" s="6">
        <v>8246146470.6680384</v>
      </c>
      <c r="X64" s="4">
        <v>22.833011833705921</v>
      </c>
      <c r="Y64" s="7">
        <v>4.7</v>
      </c>
      <c r="Z64" s="4">
        <v>4.7E-2</v>
      </c>
      <c r="AA64" s="4">
        <v>-3.0576076772720779</v>
      </c>
      <c r="AB64" s="5">
        <v>1</v>
      </c>
      <c r="AC64" s="5">
        <v>0</v>
      </c>
      <c r="AD64" s="5">
        <v>0</v>
      </c>
      <c r="AE64" s="5">
        <v>0</v>
      </c>
      <c r="AF64" s="5">
        <v>1</v>
      </c>
      <c r="AG64" s="5">
        <v>0</v>
      </c>
      <c r="AH64" s="4">
        <v>4.1431347263915326</v>
      </c>
      <c r="AI64" s="4">
        <v>7.4377745186842876</v>
      </c>
      <c r="AJ64" s="4">
        <v>7.4389220433095238</v>
      </c>
      <c r="AK64" s="4">
        <v>-1.1475246252361519E-3</v>
      </c>
    </row>
    <row r="65" spans="1:37" x14ac:dyDescent="0.3">
      <c r="A65" s="2" t="s">
        <v>167</v>
      </c>
      <c r="B65" s="2" t="s">
        <v>168</v>
      </c>
      <c r="C65" s="2">
        <v>2017</v>
      </c>
      <c r="D65" s="2">
        <v>4</v>
      </c>
      <c r="E65" s="2">
        <v>64</v>
      </c>
      <c r="F65" s="2">
        <v>64</v>
      </c>
      <c r="G65" s="3">
        <v>1723.526899255977</v>
      </c>
      <c r="H65" s="4">
        <v>7.4521279931783102</v>
      </c>
      <c r="I65" s="3">
        <v>1705.0527201927171</v>
      </c>
      <c r="J65" s="3">
        <v>1723.681485929834</v>
      </c>
      <c r="K65" s="4">
        <v>4.1588830833596706</v>
      </c>
      <c r="L65" s="6">
        <v>73799000000</v>
      </c>
      <c r="M65" s="6">
        <v>4859500</v>
      </c>
      <c r="N65" s="3">
        <v>15186.541825290669</v>
      </c>
      <c r="O65" s="7">
        <v>1191</v>
      </c>
      <c r="P65" s="4">
        <v>1.310663308144417</v>
      </c>
      <c r="Q65" s="3">
        <v>19904.44314800901</v>
      </c>
      <c r="R65" s="4">
        <v>9.8986982595600033</v>
      </c>
      <c r="S65" s="7">
        <v>194.30000005715391</v>
      </c>
      <c r="T65" s="8">
        <v>1.331013916500994</v>
      </c>
      <c r="U65" s="3">
        <v>258.61600405221583</v>
      </c>
      <c r="V65" s="4">
        <v>5.5553443517090351</v>
      </c>
      <c r="W65" s="6">
        <v>8375478966.9344206</v>
      </c>
      <c r="X65" s="4">
        <v>22.848574103103971</v>
      </c>
      <c r="Y65" s="7">
        <v>4.5</v>
      </c>
      <c r="Z65" s="4">
        <v>4.4999999999999998E-2</v>
      </c>
      <c r="AA65" s="4">
        <v>-3.1010927892118172</v>
      </c>
      <c r="AB65" s="5">
        <v>1</v>
      </c>
      <c r="AC65" s="5">
        <v>0</v>
      </c>
      <c r="AD65" s="5">
        <v>0</v>
      </c>
      <c r="AE65" s="5">
        <v>0</v>
      </c>
      <c r="AF65" s="5">
        <v>0</v>
      </c>
      <c r="AG65" s="5">
        <v>1</v>
      </c>
      <c r="AH65" s="4">
        <v>4.1588830833596706</v>
      </c>
      <c r="AI65" s="4">
        <v>7.4413513101737196</v>
      </c>
      <c r="AJ65" s="4">
        <v>7.4522176812137797</v>
      </c>
      <c r="AK65" s="4">
        <v>-1.086637104006005E-2</v>
      </c>
    </row>
    <row r="66" spans="1:37" x14ac:dyDescent="0.3">
      <c r="A66" s="2" t="s">
        <v>169</v>
      </c>
      <c r="B66" s="2" t="s">
        <v>170</v>
      </c>
      <c r="C66" s="2">
        <v>2018</v>
      </c>
      <c r="D66" s="2">
        <v>1</v>
      </c>
      <c r="E66" s="2">
        <v>65</v>
      </c>
      <c r="F66" s="2">
        <v>65</v>
      </c>
      <c r="G66" s="3">
        <v>1694.3477081425301</v>
      </c>
      <c r="H66" s="4">
        <v>7.4350531127930868</v>
      </c>
      <c r="I66" s="3">
        <v>1723.526899255977</v>
      </c>
      <c r="J66" s="3">
        <v>1698.6307856250421</v>
      </c>
      <c r="K66" s="4">
        <v>4.1743872698956368</v>
      </c>
      <c r="L66" s="6">
        <v>74376000000</v>
      </c>
      <c r="M66" s="6">
        <v>4886100</v>
      </c>
      <c r="N66" s="3">
        <v>15221.95616135568</v>
      </c>
      <c r="O66" s="7">
        <v>1187</v>
      </c>
      <c r="P66" s="4">
        <v>1.315080033698399</v>
      </c>
      <c r="Q66" s="3">
        <v>20018.090621631189</v>
      </c>
      <c r="R66" s="4">
        <v>9.9043916747759706</v>
      </c>
      <c r="S66" s="7">
        <v>200.0000000980595</v>
      </c>
      <c r="T66" s="8">
        <v>1.324431256181998</v>
      </c>
      <c r="U66" s="3">
        <v>264.88625136627269</v>
      </c>
      <c r="V66" s="4">
        <v>5.5793004937090354</v>
      </c>
      <c r="W66" s="6">
        <v>8278752336.7552166</v>
      </c>
      <c r="X66" s="4">
        <v>22.836958110022849</v>
      </c>
      <c r="Y66" s="7">
        <v>4.4000000000000004</v>
      </c>
      <c r="Z66" s="4">
        <v>4.3999999999999997E-2</v>
      </c>
      <c r="AA66" s="4">
        <v>-3.1235656450638758</v>
      </c>
      <c r="AB66" s="5">
        <v>1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4">
        <v>4.1743872698956368</v>
      </c>
      <c r="AI66" s="4">
        <v>7.4521279931783102</v>
      </c>
      <c r="AJ66" s="4">
        <v>7.4375777852986138</v>
      </c>
      <c r="AK66" s="4">
        <v>1.455020787969641E-2</v>
      </c>
    </row>
    <row r="67" spans="1:37" x14ac:dyDescent="0.3">
      <c r="A67" s="2" t="s">
        <v>171</v>
      </c>
      <c r="B67" s="2" t="s">
        <v>172</v>
      </c>
      <c r="C67" s="2">
        <v>2018</v>
      </c>
      <c r="D67" s="2">
        <v>2</v>
      </c>
      <c r="E67" s="2">
        <v>66</v>
      </c>
      <c r="F67" s="2">
        <v>66</v>
      </c>
      <c r="G67" s="3">
        <v>1688.7039559909049</v>
      </c>
      <c r="H67" s="4">
        <v>7.4317166237603862</v>
      </c>
      <c r="I67" s="3">
        <v>1694.3477081425301</v>
      </c>
      <c r="J67" s="3">
        <v>1698.964995884588</v>
      </c>
      <c r="K67" s="4">
        <v>4.1896547420264252</v>
      </c>
      <c r="L67" s="6">
        <v>75236000000</v>
      </c>
      <c r="M67" s="6">
        <v>4900600</v>
      </c>
      <c r="N67" s="3">
        <v>15352.40582785781</v>
      </c>
      <c r="O67" s="7">
        <v>1191</v>
      </c>
      <c r="P67" s="4">
        <v>1.310663308144417</v>
      </c>
      <c r="Q67" s="3">
        <v>20121.835010315739</v>
      </c>
      <c r="R67" s="4">
        <v>9.9095608233509189</v>
      </c>
      <c r="S67" s="7">
        <v>206.0999999170113</v>
      </c>
      <c r="T67" s="8">
        <v>1.3192118226600991</v>
      </c>
      <c r="U67" s="3">
        <v>271.88955654076659</v>
      </c>
      <c r="V67" s="4">
        <v>5.6053959417090358</v>
      </c>
      <c r="W67" s="6">
        <v>8275662606.7290287</v>
      </c>
      <c r="X67" s="4">
        <v>22.836584828324568</v>
      </c>
      <c r="Y67" s="7">
        <v>4.5999999999999996</v>
      </c>
      <c r="Z67" s="4">
        <v>4.5999999999999999E-2</v>
      </c>
      <c r="AA67" s="4">
        <v>-3.0791138824930422</v>
      </c>
      <c r="AB67" s="5">
        <v>1</v>
      </c>
      <c r="AC67" s="5">
        <v>0</v>
      </c>
      <c r="AD67" s="5">
        <v>0</v>
      </c>
      <c r="AE67" s="5">
        <v>1</v>
      </c>
      <c r="AF67" s="5">
        <v>0</v>
      </c>
      <c r="AG67" s="5">
        <v>0</v>
      </c>
      <c r="AH67" s="4">
        <v>4.1896547420264252</v>
      </c>
      <c r="AI67" s="4">
        <v>7.4350531127930868</v>
      </c>
      <c r="AJ67" s="4">
        <v>7.4377745186842876</v>
      </c>
      <c r="AK67" s="4">
        <v>-2.721405891200845E-3</v>
      </c>
    </row>
    <row r="68" spans="1:37" x14ac:dyDescent="0.3">
      <c r="A68" s="2" t="s">
        <v>173</v>
      </c>
      <c r="B68" s="2" t="s">
        <v>174</v>
      </c>
      <c r="C68" s="2">
        <v>2018</v>
      </c>
      <c r="D68" s="2">
        <v>3</v>
      </c>
      <c r="E68" s="2">
        <v>67</v>
      </c>
      <c r="F68" s="2">
        <v>67</v>
      </c>
      <c r="G68" s="3">
        <v>1690.809020794082</v>
      </c>
      <c r="H68" s="4">
        <v>7.4329624039008309</v>
      </c>
      <c r="I68" s="3">
        <v>1688.7039559909049</v>
      </c>
      <c r="J68" s="3">
        <v>1705.0527201927171</v>
      </c>
      <c r="K68" s="4">
        <v>4.2046926193909657</v>
      </c>
      <c r="L68" s="6">
        <v>75785000000</v>
      </c>
      <c r="M68" s="6">
        <v>4919100</v>
      </c>
      <c r="N68" s="3">
        <v>15406.27350531601</v>
      </c>
      <c r="O68" s="7">
        <v>1199</v>
      </c>
      <c r="P68" s="4">
        <v>1.3019182652210179</v>
      </c>
      <c r="Q68" s="3">
        <v>20057.708875561551</v>
      </c>
      <c r="R68" s="4">
        <v>9.9063688414118793</v>
      </c>
      <c r="S68" s="7">
        <v>217.8000000257997</v>
      </c>
      <c r="T68" s="8">
        <v>1.3076171875</v>
      </c>
      <c r="U68" s="3">
        <v>284.79902347123613</v>
      </c>
      <c r="V68" s="4">
        <v>5.6517837507090354</v>
      </c>
      <c r="W68" s="6">
        <v>8317258654.1881685</v>
      </c>
      <c r="X68" s="4">
        <v>22.8415985488069</v>
      </c>
      <c r="Y68" s="7">
        <v>4</v>
      </c>
      <c r="Z68" s="4">
        <v>0.04</v>
      </c>
      <c r="AA68" s="4">
        <v>-3.218875824868201</v>
      </c>
      <c r="AB68" s="5">
        <v>1</v>
      </c>
      <c r="AC68" s="5">
        <v>0</v>
      </c>
      <c r="AD68" s="5">
        <v>0</v>
      </c>
      <c r="AE68" s="5">
        <v>0</v>
      </c>
      <c r="AF68" s="5">
        <v>1</v>
      </c>
      <c r="AG68" s="5">
        <v>0</v>
      </c>
      <c r="AH68" s="4">
        <v>4.2046926193909657</v>
      </c>
      <c r="AI68" s="4">
        <v>7.4317166237603862</v>
      </c>
      <c r="AJ68" s="4">
        <v>7.4413513101737196</v>
      </c>
      <c r="AK68" s="4">
        <v>-9.6346864133334265E-3</v>
      </c>
    </row>
    <row r="69" spans="1:37" x14ac:dyDescent="0.3">
      <c r="A69" s="2" t="s">
        <v>175</v>
      </c>
      <c r="B69" s="2" t="s">
        <v>176</v>
      </c>
      <c r="C69" s="2">
        <v>2018</v>
      </c>
      <c r="D69" s="2">
        <v>4</v>
      </c>
      <c r="E69" s="2">
        <v>68</v>
      </c>
      <c r="F69" s="2">
        <v>68</v>
      </c>
      <c r="G69" s="3">
        <v>1702.5580537077531</v>
      </c>
      <c r="H69" s="4">
        <v>7.4398871365364343</v>
      </c>
      <c r="I69" s="3">
        <v>1690.809020794082</v>
      </c>
      <c r="J69" s="3">
        <v>1723.526899255977</v>
      </c>
      <c r="K69" s="4">
        <v>4.219507705176107</v>
      </c>
      <c r="L69" s="6">
        <v>76787000000</v>
      </c>
      <c r="M69" s="6">
        <v>4936700</v>
      </c>
      <c r="N69" s="3">
        <v>15554.3176615958</v>
      </c>
      <c r="O69" s="7">
        <v>1195</v>
      </c>
      <c r="P69" s="4">
        <v>1.306276150627615</v>
      </c>
      <c r="Q69" s="3">
        <v>20318.234200628489</v>
      </c>
      <c r="R69" s="4">
        <v>9.9192739983410618</v>
      </c>
      <c r="S69" s="7">
        <v>216.60000000508609</v>
      </c>
      <c r="T69" s="8">
        <v>1.306341463414634</v>
      </c>
      <c r="U69" s="3">
        <v>282.95356098225398</v>
      </c>
      <c r="V69" s="4">
        <v>5.6452827887090358</v>
      </c>
      <c r="W69" s="6">
        <v>8405018343.7390623</v>
      </c>
      <c r="X69" s="4">
        <v>22.852094786283971</v>
      </c>
      <c r="Y69" s="7">
        <v>4.3</v>
      </c>
      <c r="Z69" s="4">
        <v>4.2999999999999997E-2</v>
      </c>
      <c r="AA69" s="4">
        <v>-3.1465551632885749</v>
      </c>
      <c r="AB69" s="5">
        <v>1</v>
      </c>
      <c r="AC69" s="5">
        <v>0</v>
      </c>
      <c r="AD69" s="5">
        <v>0</v>
      </c>
      <c r="AE69" s="5">
        <v>0</v>
      </c>
      <c r="AF69" s="5">
        <v>0</v>
      </c>
      <c r="AG69" s="5">
        <v>1</v>
      </c>
      <c r="AH69" s="4">
        <v>4.219507705176107</v>
      </c>
      <c r="AI69" s="4">
        <v>7.4329624039008309</v>
      </c>
      <c r="AJ69" s="4">
        <v>7.4521279931783102</v>
      </c>
      <c r="AK69" s="4">
        <v>-1.9165589277479359E-2</v>
      </c>
    </row>
    <row r="70" spans="1:37" x14ac:dyDescent="0.3">
      <c r="A70" s="2" t="s">
        <v>177</v>
      </c>
      <c r="B70" s="2" t="s">
        <v>178</v>
      </c>
      <c r="C70" s="2">
        <v>2019</v>
      </c>
      <c r="D70" s="2">
        <v>1</v>
      </c>
      <c r="E70" s="2">
        <v>69</v>
      </c>
      <c r="F70" s="2">
        <v>69</v>
      </c>
      <c r="G70" s="3">
        <v>1664.9907275407779</v>
      </c>
      <c r="H70" s="4">
        <v>7.4175748333544593</v>
      </c>
      <c r="I70" s="3">
        <v>1702.5580537077531</v>
      </c>
      <c r="J70" s="3">
        <v>1694.3477081425301</v>
      </c>
      <c r="K70" s="4">
        <v>4.2341065045972597</v>
      </c>
      <c r="L70" s="6">
        <v>78271000000</v>
      </c>
      <c r="M70" s="6">
        <v>4958700</v>
      </c>
      <c r="N70" s="3">
        <v>15784.580636053801</v>
      </c>
      <c r="O70" s="7">
        <v>1203</v>
      </c>
      <c r="P70" s="4">
        <v>1.2975893599335</v>
      </c>
      <c r="Q70" s="3">
        <v>20481.903884355768</v>
      </c>
      <c r="R70" s="4">
        <v>9.9272970379359524</v>
      </c>
      <c r="S70" s="7">
        <v>201.19999990402641</v>
      </c>
      <c r="T70" s="8">
        <v>1.3050682261208579</v>
      </c>
      <c r="U70" s="3">
        <v>262.5797269702644</v>
      </c>
      <c r="V70" s="4">
        <v>5.5705547577090364</v>
      </c>
      <c r="W70" s="6">
        <v>8256189520.6564569</v>
      </c>
      <c r="X70" s="4">
        <v>22.834229000928019</v>
      </c>
      <c r="Y70" s="7">
        <v>4.2</v>
      </c>
      <c r="Z70" s="4">
        <v>4.2000000000000003E-2</v>
      </c>
      <c r="AA70" s="4">
        <v>-3.1700856606987688</v>
      </c>
      <c r="AB70" s="5">
        <v>1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4">
        <v>4.2341065045972597</v>
      </c>
      <c r="AI70" s="4">
        <v>7.4398871365364343</v>
      </c>
      <c r="AJ70" s="4">
        <v>7.4350531127930868</v>
      </c>
      <c r="AK70" s="4">
        <v>4.8340237433475153E-3</v>
      </c>
    </row>
    <row r="71" spans="1:37" x14ac:dyDescent="0.3">
      <c r="A71" s="2" t="s">
        <v>179</v>
      </c>
      <c r="B71" s="2" t="s">
        <v>180</v>
      </c>
      <c r="C71" s="2">
        <v>2019</v>
      </c>
      <c r="D71" s="2">
        <v>2</v>
      </c>
      <c r="E71" s="2">
        <v>70</v>
      </c>
      <c r="F71" s="2">
        <v>70</v>
      </c>
      <c r="G71" s="3">
        <v>1644.748296930127</v>
      </c>
      <c r="H71" s="4">
        <v>7.4053426405073726</v>
      </c>
      <c r="I71" s="3">
        <v>1664.9907275407779</v>
      </c>
      <c r="J71" s="3">
        <v>1688.7039559909049</v>
      </c>
      <c r="K71" s="4">
        <v>4.2484952420493594</v>
      </c>
      <c r="L71" s="6">
        <v>79331000000</v>
      </c>
      <c r="M71" s="6">
        <v>4970300</v>
      </c>
      <c r="N71" s="3">
        <v>15961.008389835621</v>
      </c>
      <c r="O71" s="7">
        <v>1220</v>
      </c>
      <c r="P71" s="4">
        <v>1.279508196721312</v>
      </c>
      <c r="Q71" s="3">
        <v>20422.241062732301</v>
      </c>
      <c r="R71" s="4">
        <v>9.9243798341165395</v>
      </c>
      <c r="S71" s="7">
        <v>213.09999999036771</v>
      </c>
      <c r="T71" s="8">
        <v>1.2974806201550391</v>
      </c>
      <c r="U71" s="3">
        <v>276.49312014254099</v>
      </c>
      <c r="V71" s="4">
        <v>5.6221859387090349</v>
      </c>
      <c r="W71" s="6">
        <v>8174892460.2318115</v>
      </c>
      <c r="X71" s="4">
        <v>22.8243333989315</v>
      </c>
      <c r="Y71" s="7">
        <v>4.0999999999999996</v>
      </c>
      <c r="Z71" s="4">
        <v>4.0999999999999988E-2</v>
      </c>
      <c r="AA71" s="4">
        <v>-3.1941832122778289</v>
      </c>
      <c r="AB71" s="5">
        <v>1</v>
      </c>
      <c r="AC71" s="5">
        <v>0</v>
      </c>
      <c r="AD71" s="5">
        <v>0</v>
      </c>
      <c r="AE71" s="5">
        <v>1</v>
      </c>
      <c r="AF71" s="5">
        <v>0</v>
      </c>
      <c r="AG71" s="5">
        <v>0</v>
      </c>
      <c r="AH71" s="4">
        <v>4.2484952420493594</v>
      </c>
      <c r="AI71" s="4">
        <v>7.4175748333544593</v>
      </c>
      <c r="AJ71" s="4">
        <v>7.4317166237603862</v>
      </c>
      <c r="AK71" s="4">
        <v>-1.4141790405926891E-2</v>
      </c>
    </row>
    <row r="72" spans="1:37" x14ac:dyDescent="0.3">
      <c r="A72" s="2" t="s">
        <v>181</v>
      </c>
      <c r="B72" s="2" t="s">
        <v>182</v>
      </c>
      <c r="C72" s="2">
        <v>2019</v>
      </c>
      <c r="D72" s="2">
        <v>3</v>
      </c>
      <c r="E72" s="2">
        <v>71</v>
      </c>
      <c r="F72" s="2">
        <v>71</v>
      </c>
      <c r="G72" s="3">
        <v>1616.2718490221559</v>
      </c>
      <c r="H72" s="4">
        <v>7.3878774483378704</v>
      </c>
      <c r="I72" s="3">
        <v>1644.748296930127</v>
      </c>
      <c r="J72" s="3">
        <v>1690.809020794082</v>
      </c>
      <c r="K72" s="4">
        <v>4.2626798770413146</v>
      </c>
      <c r="L72" s="6">
        <v>80380000000</v>
      </c>
      <c r="M72" s="6">
        <v>4995800</v>
      </c>
      <c r="N72" s="3">
        <v>16089.515192761921</v>
      </c>
      <c r="O72" s="7">
        <v>1226</v>
      </c>
      <c r="P72" s="4">
        <v>1.273246329526917</v>
      </c>
      <c r="Q72" s="3">
        <v>20485.916163051679</v>
      </c>
      <c r="R72" s="4">
        <v>9.9274929125860591</v>
      </c>
      <c r="S72" s="7">
        <v>211.20000006018859</v>
      </c>
      <c r="T72" s="8">
        <v>1.28873917228104</v>
      </c>
      <c r="U72" s="3">
        <v>272.18171326332299</v>
      </c>
      <c r="V72" s="4">
        <v>5.6064699067090364</v>
      </c>
      <c r="W72" s="6">
        <v>8074570903.3448868</v>
      </c>
      <c r="X72" s="4">
        <v>22.811985565738549</v>
      </c>
      <c r="Y72" s="7">
        <v>4.0999999999999996</v>
      </c>
      <c r="Z72" s="4">
        <v>4.0999999999999988E-2</v>
      </c>
      <c r="AA72" s="4">
        <v>-3.1941832122778289</v>
      </c>
      <c r="AB72" s="5">
        <v>1</v>
      </c>
      <c r="AC72" s="5">
        <v>0</v>
      </c>
      <c r="AD72" s="5">
        <v>0</v>
      </c>
      <c r="AE72" s="5">
        <v>0</v>
      </c>
      <c r="AF72" s="5">
        <v>1</v>
      </c>
      <c r="AG72" s="5">
        <v>0</v>
      </c>
      <c r="AH72" s="4">
        <v>4.2626798770413146</v>
      </c>
      <c r="AI72" s="4">
        <v>7.4053426405073726</v>
      </c>
      <c r="AJ72" s="4">
        <v>7.4329624039008309</v>
      </c>
      <c r="AK72" s="4">
        <v>-2.7619763393458289E-2</v>
      </c>
    </row>
    <row r="73" spans="1:37" x14ac:dyDescent="0.3">
      <c r="A73" s="2" t="s">
        <v>183</v>
      </c>
      <c r="B73" s="2" t="s">
        <v>184</v>
      </c>
      <c r="C73" s="2">
        <v>2019</v>
      </c>
      <c r="D73" s="2">
        <v>4</v>
      </c>
      <c r="E73" s="2">
        <v>72</v>
      </c>
      <c r="F73" s="2">
        <v>72</v>
      </c>
      <c r="G73" s="3">
        <v>1578.78226519695</v>
      </c>
      <c r="H73" s="4">
        <v>7.3644091106352469</v>
      </c>
      <c r="I73" s="3">
        <v>1616.2718490221559</v>
      </c>
      <c r="J73" s="3">
        <v>1702.5580537077531</v>
      </c>
      <c r="K73" s="4">
        <v>4.2766661190160553</v>
      </c>
      <c r="L73" s="6">
        <v>81861000000</v>
      </c>
      <c r="M73" s="6">
        <v>5027100</v>
      </c>
      <c r="N73" s="3">
        <v>16283.94103956555</v>
      </c>
      <c r="O73" s="7">
        <v>1240</v>
      </c>
      <c r="P73" s="4">
        <v>1.258870967741935</v>
      </c>
      <c r="Q73" s="3">
        <v>20499.380615130511</v>
      </c>
      <c r="R73" s="4">
        <v>9.9281499507739781</v>
      </c>
      <c r="S73" s="7">
        <v>214.00000009385951</v>
      </c>
      <c r="T73" s="8">
        <v>1.2825670498084289</v>
      </c>
      <c r="U73" s="3">
        <v>274.46934877938492</v>
      </c>
      <c r="V73" s="4">
        <v>5.6148395927090364</v>
      </c>
      <c r="W73" s="6">
        <v>7936696325.3715849</v>
      </c>
      <c r="X73" s="4">
        <v>22.79476294569217</v>
      </c>
      <c r="Y73" s="7">
        <v>4.0999999999999996</v>
      </c>
      <c r="Z73" s="4">
        <v>4.0999999999999988E-2</v>
      </c>
      <c r="AA73" s="4">
        <v>-3.1941832122778289</v>
      </c>
      <c r="AB73" s="5">
        <v>1</v>
      </c>
      <c r="AC73" s="5">
        <v>0</v>
      </c>
      <c r="AD73" s="5">
        <v>0</v>
      </c>
      <c r="AE73" s="5">
        <v>0</v>
      </c>
      <c r="AF73" s="5">
        <v>0</v>
      </c>
      <c r="AG73" s="5">
        <v>1</v>
      </c>
      <c r="AH73" s="4">
        <v>4.2766661190160553</v>
      </c>
      <c r="AI73" s="4">
        <v>7.3878774483378704</v>
      </c>
      <c r="AJ73" s="4">
        <v>7.4398871365364343</v>
      </c>
      <c r="AK73" s="4">
        <v>-5.2009688198564767E-2</v>
      </c>
    </row>
    <row r="74" spans="1:37" x14ac:dyDescent="0.3">
      <c r="A74" s="2" t="s">
        <v>185</v>
      </c>
      <c r="B74" s="2" t="s">
        <v>186</v>
      </c>
      <c r="C74" s="2">
        <v>2020</v>
      </c>
      <c r="D74" s="2">
        <v>1</v>
      </c>
      <c r="E74" s="2">
        <v>73</v>
      </c>
      <c r="F74" s="2">
        <v>73</v>
      </c>
      <c r="G74" s="3">
        <v>1506.7858332566741</v>
      </c>
      <c r="H74" s="4">
        <v>7.317734073899965</v>
      </c>
      <c r="I74" s="3">
        <v>1578.78226519695</v>
      </c>
      <c r="J74" s="3">
        <v>1664.9907275407779</v>
      </c>
      <c r="K74" s="4">
        <v>4.290459441148391</v>
      </c>
      <c r="L74" s="6">
        <v>81939000000</v>
      </c>
      <c r="M74" s="6">
        <v>5067300</v>
      </c>
      <c r="N74" s="3">
        <v>16170.14978390859</v>
      </c>
      <c r="O74" s="7">
        <v>1251</v>
      </c>
      <c r="P74" s="4">
        <v>1.247801758593126</v>
      </c>
      <c r="Q74" s="3">
        <v>20177.141337075391</v>
      </c>
      <c r="R74" s="4">
        <v>9.9123056256508963</v>
      </c>
      <c r="S74" s="7">
        <v>208.89999994840119</v>
      </c>
      <c r="T74" s="8">
        <v>1.272813688212928</v>
      </c>
      <c r="U74" s="3">
        <v>265.89077940200502</v>
      </c>
      <c r="V74" s="4">
        <v>5.5830856207090349</v>
      </c>
      <c r="W74" s="6">
        <v>7635335852.8615437</v>
      </c>
      <c r="X74" s="4">
        <v>22.756052763236511</v>
      </c>
      <c r="Y74" s="7">
        <v>4.2</v>
      </c>
      <c r="Z74" s="4">
        <v>4.2000000000000003E-2</v>
      </c>
      <c r="AA74" s="4">
        <v>-3.1700856606987688</v>
      </c>
      <c r="AB74" s="5">
        <v>1</v>
      </c>
      <c r="AC74" s="5">
        <v>1</v>
      </c>
      <c r="AD74" s="5">
        <v>0</v>
      </c>
      <c r="AE74" s="5">
        <v>0</v>
      </c>
      <c r="AF74" s="5">
        <v>0</v>
      </c>
      <c r="AG74" s="5">
        <v>0</v>
      </c>
      <c r="AH74" s="4">
        <v>4.290459441148391</v>
      </c>
      <c r="AI74" s="4">
        <v>7.3644091106352469</v>
      </c>
      <c r="AJ74" s="4">
        <v>7.4175748333544593</v>
      </c>
      <c r="AK74" s="4">
        <v>-5.3165722719212383E-2</v>
      </c>
    </row>
    <row r="75" spans="1:37" x14ac:dyDescent="0.3">
      <c r="A75" s="2" t="s">
        <v>187</v>
      </c>
      <c r="B75" s="2" t="s">
        <v>188</v>
      </c>
      <c r="C75" s="2">
        <v>2020</v>
      </c>
      <c r="D75" s="2">
        <v>2</v>
      </c>
      <c r="E75" s="2">
        <v>74</v>
      </c>
      <c r="F75" s="2">
        <v>74</v>
      </c>
      <c r="G75" s="3">
        <v>1476.973152804705</v>
      </c>
      <c r="H75" s="4">
        <v>7.2977501055244094</v>
      </c>
      <c r="I75" s="3">
        <v>1506.7858332566741</v>
      </c>
      <c r="J75" s="3">
        <v>1644.748296930127</v>
      </c>
      <c r="K75" s="4">
        <v>4.3040650932041702</v>
      </c>
      <c r="L75" s="6">
        <v>73696000000</v>
      </c>
      <c r="M75" s="6">
        <v>5072400</v>
      </c>
      <c r="N75" s="3">
        <v>14528.82264805615</v>
      </c>
      <c r="O75" s="7">
        <v>1250</v>
      </c>
      <c r="P75" s="4">
        <v>1.2487999999999999</v>
      </c>
      <c r="Q75" s="3">
        <v>18143.593722892521</v>
      </c>
      <c r="R75" s="4">
        <v>9.8060728144608902</v>
      </c>
      <c r="S75" s="7">
        <v>183.00000000859711</v>
      </c>
      <c r="T75" s="8">
        <v>1.2788920725883479</v>
      </c>
      <c r="U75" s="3">
        <v>234.0372492946623</v>
      </c>
      <c r="V75" s="4">
        <v>5.4554802877090349</v>
      </c>
      <c r="W75" s="6">
        <v>7491798620.2865839</v>
      </c>
      <c r="X75" s="4">
        <v>22.737074741867289</v>
      </c>
      <c r="Y75" s="7">
        <v>4.0999999999999996</v>
      </c>
      <c r="Z75" s="4">
        <v>4.0999999999999988E-2</v>
      </c>
      <c r="AA75" s="4">
        <v>-3.1941832122778289</v>
      </c>
      <c r="AB75" s="5">
        <v>1</v>
      </c>
      <c r="AC75" s="5">
        <v>1</v>
      </c>
      <c r="AD75" s="5">
        <v>0</v>
      </c>
      <c r="AE75" s="5">
        <v>1</v>
      </c>
      <c r="AF75" s="5">
        <v>0</v>
      </c>
      <c r="AG75" s="5">
        <v>0</v>
      </c>
      <c r="AH75" s="4">
        <v>4.3040650932041702</v>
      </c>
      <c r="AI75" s="4">
        <v>7.317734073899965</v>
      </c>
      <c r="AJ75" s="4">
        <v>7.4053426405073726</v>
      </c>
      <c r="AK75" s="4">
        <v>-8.7608566607407568E-2</v>
      </c>
    </row>
    <row r="76" spans="1:37" x14ac:dyDescent="0.3">
      <c r="A76" s="2" t="s">
        <v>189</v>
      </c>
      <c r="B76" s="2" t="s">
        <v>190</v>
      </c>
      <c r="C76" s="2">
        <v>2020</v>
      </c>
      <c r="D76" s="2">
        <v>3</v>
      </c>
      <c r="E76" s="2">
        <v>75</v>
      </c>
      <c r="F76" s="2">
        <v>75</v>
      </c>
      <c r="G76" s="3">
        <v>1518.7948311969801</v>
      </c>
      <c r="H76" s="4">
        <v>7.3256724251368048</v>
      </c>
      <c r="I76" s="3">
        <v>1476.973152804705</v>
      </c>
      <c r="J76" s="3">
        <v>1616.2718490221559</v>
      </c>
      <c r="K76" s="4">
        <v>4.3174881135363101</v>
      </c>
      <c r="L76" s="6">
        <v>84045000000</v>
      </c>
      <c r="M76" s="6">
        <v>5078700</v>
      </c>
      <c r="N76" s="3">
        <v>16548.526197649</v>
      </c>
      <c r="O76" s="7">
        <v>1250</v>
      </c>
      <c r="P76" s="4">
        <v>1.2487999999999999</v>
      </c>
      <c r="Q76" s="3">
        <v>20665.79951562408</v>
      </c>
      <c r="R76" s="4">
        <v>9.9362354155574035</v>
      </c>
      <c r="S76" s="7">
        <v>186.39999997533559</v>
      </c>
      <c r="T76" s="8">
        <v>1.2703984819734351</v>
      </c>
      <c r="U76" s="3">
        <v>236.80227700851461</v>
      </c>
      <c r="V76" s="4">
        <v>5.4672255187090357</v>
      </c>
      <c r="W76" s="6">
        <v>7713503309.2001009</v>
      </c>
      <c r="X76" s="4">
        <v>22.76623830643026</v>
      </c>
      <c r="Y76" s="7">
        <v>5.2</v>
      </c>
      <c r="Z76" s="4">
        <v>5.1999999999999998E-2</v>
      </c>
      <c r="AA76" s="4">
        <v>-2.9565115604007102</v>
      </c>
      <c r="AB76" s="5">
        <v>1</v>
      </c>
      <c r="AC76" s="5">
        <v>1</v>
      </c>
      <c r="AD76" s="5">
        <v>0</v>
      </c>
      <c r="AE76" s="5">
        <v>0</v>
      </c>
      <c r="AF76" s="5">
        <v>1</v>
      </c>
      <c r="AG76" s="5">
        <v>0</v>
      </c>
      <c r="AH76" s="4">
        <v>4.3174881135363101</v>
      </c>
      <c r="AI76" s="4">
        <v>7.2977501055244094</v>
      </c>
      <c r="AJ76" s="4">
        <v>7.3878774483378704</v>
      </c>
      <c r="AK76" s="4">
        <v>-9.012734281346102E-2</v>
      </c>
    </row>
    <row r="77" spans="1:37" x14ac:dyDescent="0.3">
      <c r="A77" s="2" t="s">
        <v>191</v>
      </c>
      <c r="B77" s="2" t="s">
        <v>192</v>
      </c>
      <c r="C77" s="2">
        <v>2020</v>
      </c>
      <c r="D77" s="2">
        <v>4</v>
      </c>
      <c r="E77" s="2">
        <v>76</v>
      </c>
      <c r="F77" s="2">
        <v>76</v>
      </c>
      <c r="G77" s="3">
        <v>1541.7142427336289</v>
      </c>
      <c r="H77" s="4">
        <v>7.3406502209537949</v>
      </c>
      <c r="I77" s="3">
        <v>1518.7948311969801</v>
      </c>
      <c r="J77" s="3">
        <v>1578.78226519695</v>
      </c>
      <c r="K77" s="4">
        <v>4.3307333402863311</v>
      </c>
      <c r="L77" s="6">
        <v>84539000000</v>
      </c>
      <c r="M77" s="6">
        <v>5081400</v>
      </c>
      <c r="N77" s="3">
        <v>16636.950446727282</v>
      </c>
      <c r="O77" s="7">
        <v>1252</v>
      </c>
      <c r="P77" s="4">
        <v>1.2468051118210861</v>
      </c>
      <c r="Q77" s="3">
        <v>20743.034862093678</v>
      </c>
      <c r="R77" s="4">
        <v>9.9399658000126063</v>
      </c>
      <c r="S77" s="7">
        <v>186.79999996722159</v>
      </c>
      <c r="T77" s="8">
        <v>1.2644003777148249</v>
      </c>
      <c r="U77" s="3">
        <v>236.1899905156844</v>
      </c>
      <c r="V77" s="4">
        <v>5.464636525709035</v>
      </c>
      <c r="W77" s="6">
        <v>7834066753.0266638</v>
      </c>
      <c r="X77" s="4">
        <v>22.781747593091541</v>
      </c>
      <c r="Y77" s="7">
        <v>4.9000000000000004</v>
      </c>
      <c r="Z77" s="4">
        <v>4.9000000000000002E-2</v>
      </c>
      <c r="AA77" s="4">
        <v>-3.0159349808715099</v>
      </c>
      <c r="AB77" s="5">
        <v>1</v>
      </c>
      <c r="AC77" s="5">
        <v>1</v>
      </c>
      <c r="AD77" s="5">
        <v>0</v>
      </c>
      <c r="AE77" s="5">
        <v>0</v>
      </c>
      <c r="AF77" s="5">
        <v>0</v>
      </c>
      <c r="AG77" s="5">
        <v>1</v>
      </c>
      <c r="AH77" s="4">
        <v>4.3307333402863311</v>
      </c>
      <c r="AI77" s="4">
        <v>7.3256724251368048</v>
      </c>
      <c r="AJ77" s="4">
        <v>7.3644091106352469</v>
      </c>
      <c r="AK77" s="4">
        <v>-3.8736685498442107E-2</v>
      </c>
    </row>
    <row r="78" spans="1:37" x14ac:dyDescent="0.3">
      <c r="A78" s="2" t="s">
        <v>193</v>
      </c>
      <c r="B78" s="2" t="s">
        <v>194</v>
      </c>
      <c r="C78" s="2">
        <v>2021</v>
      </c>
      <c r="D78" s="2">
        <v>1</v>
      </c>
      <c r="E78" s="2">
        <v>77</v>
      </c>
      <c r="F78" s="2">
        <v>77</v>
      </c>
      <c r="G78" s="3">
        <v>1517.525141584026</v>
      </c>
      <c r="H78" s="4">
        <v>7.3248360905618304</v>
      </c>
      <c r="I78" s="3">
        <v>1541.7142427336289</v>
      </c>
      <c r="J78" s="3">
        <v>1506.7858332566741</v>
      </c>
      <c r="K78" s="4">
        <v>4.3438054218536841</v>
      </c>
      <c r="L78" s="6">
        <v>86716000000</v>
      </c>
      <c r="M78" s="6">
        <v>5083400</v>
      </c>
      <c r="N78" s="3">
        <v>17058.661525750482</v>
      </c>
      <c r="O78" s="7">
        <v>1258</v>
      </c>
      <c r="P78" s="4">
        <v>1.2408585055643879</v>
      </c>
      <c r="Q78" s="3">
        <v>21167.385247771461</v>
      </c>
      <c r="R78" s="4">
        <v>9.9602168443500414</v>
      </c>
      <c r="S78" s="7">
        <v>200.29999997320601</v>
      </c>
      <c r="T78" s="8">
        <v>1.2537453183520599</v>
      </c>
      <c r="U78" s="3">
        <v>251.12518723232469</v>
      </c>
      <c r="V78" s="4">
        <v>5.5259515687090346</v>
      </c>
      <c r="W78" s="6">
        <v>7714187304.7282372</v>
      </c>
      <c r="X78" s="4">
        <v>22.766326977579521</v>
      </c>
      <c r="Y78" s="7">
        <v>4.5999999999999996</v>
      </c>
      <c r="Z78" s="4">
        <v>4.5999999999999999E-2</v>
      </c>
      <c r="AA78" s="4">
        <v>-3.0791138824930422</v>
      </c>
      <c r="AB78" s="5">
        <v>1</v>
      </c>
      <c r="AC78" s="5">
        <v>0</v>
      </c>
      <c r="AD78" s="5">
        <v>1</v>
      </c>
      <c r="AE78" s="5">
        <v>0</v>
      </c>
      <c r="AF78" s="5">
        <v>0</v>
      </c>
      <c r="AG78" s="5">
        <v>0</v>
      </c>
      <c r="AH78" s="4">
        <v>4.3438054218536841</v>
      </c>
      <c r="AI78" s="4">
        <v>7.3406502209537949</v>
      </c>
      <c r="AJ78" s="4">
        <v>7.317734073899965</v>
      </c>
      <c r="AK78" s="4">
        <v>2.2916147053829938E-2</v>
      </c>
    </row>
    <row r="79" spans="1:37" x14ac:dyDescent="0.3">
      <c r="A79" s="2" t="s">
        <v>195</v>
      </c>
      <c r="B79" s="2" t="s">
        <v>196</v>
      </c>
      <c r="C79" s="2">
        <v>2021</v>
      </c>
      <c r="D79" s="2">
        <v>2</v>
      </c>
      <c r="E79" s="2">
        <v>78</v>
      </c>
      <c r="F79" s="2">
        <v>78</v>
      </c>
      <c r="G79" s="3">
        <v>1521.0163063402231</v>
      </c>
      <c r="H79" s="4">
        <v>7.3271340130040761</v>
      </c>
      <c r="I79" s="3">
        <v>1517.525141584026</v>
      </c>
      <c r="J79" s="3">
        <v>1476.973152804705</v>
      </c>
      <c r="K79" s="4">
        <v>4.3567088266895917</v>
      </c>
      <c r="L79" s="6">
        <v>88442000000</v>
      </c>
      <c r="M79" s="6">
        <v>5084600</v>
      </c>
      <c r="N79" s="3">
        <v>17394.091963969629</v>
      </c>
      <c r="O79" s="7">
        <v>1273</v>
      </c>
      <c r="P79" s="4">
        <v>1.22623723487824</v>
      </c>
      <c r="Q79" s="3">
        <v>21329.283233115941</v>
      </c>
      <c r="R79" s="4">
        <v>9.9678362072025113</v>
      </c>
      <c r="S79" s="7">
        <v>212.89999989884191</v>
      </c>
      <c r="T79" s="8">
        <v>1.2375231053604441</v>
      </c>
      <c r="U79" s="3">
        <v>263.46866900605289</v>
      </c>
      <c r="V79" s="4">
        <v>5.5739344577090364</v>
      </c>
      <c r="W79" s="6">
        <v>7733759511.2174978</v>
      </c>
      <c r="X79" s="4">
        <v>22.768860934641271</v>
      </c>
      <c r="Y79" s="7">
        <v>4</v>
      </c>
      <c r="Z79" s="4">
        <v>0.04</v>
      </c>
      <c r="AA79" s="4">
        <v>-3.218875824868201</v>
      </c>
      <c r="AB79" s="5">
        <v>1</v>
      </c>
      <c r="AC79" s="5">
        <v>0</v>
      </c>
      <c r="AD79" s="5">
        <v>1</v>
      </c>
      <c r="AE79" s="5">
        <v>1</v>
      </c>
      <c r="AF79" s="5">
        <v>0</v>
      </c>
      <c r="AG79" s="5">
        <v>0</v>
      </c>
      <c r="AH79" s="4">
        <v>4.3567088266895917</v>
      </c>
      <c r="AI79" s="4">
        <v>7.3248360905618304</v>
      </c>
      <c r="AJ79" s="4">
        <v>7.2977501055244094</v>
      </c>
      <c r="AK79" s="4">
        <v>2.7085985037421881E-2</v>
      </c>
    </row>
    <row r="80" spans="1:37" x14ac:dyDescent="0.3">
      <c r="A80" s="2" t="s">
        <v>197</v>
      </c>
      <c r="B80" s="2" t="s">
        <v>198</v>
      </c>
      <c r="C80" s="2">
        <v>2021</v>
      </c>
      <c r="D80" s="2">
        <v>3</v>
      </c>
      <c r="E80" s="2">
        <v>79</v>
      </c>
      <c r="F80" s="2">
        <v>79</v>
      </c>
      <c r="G80" s="3">
        <v>1489.1106467848219</v>
      </c>
      <c r="H80" s="4">
        <v>7.3059343393824472</v>
      </c>
      <c r="I80" s="3">
        <v>1521.0163063402231</v>
      </c>
      <c r="J80" s="3">
        <v>1518.7948311969801</v>
      </c>
      <c r="K80" s="4">
        <v>4.3694478524670206</v>
      </c>
      <c r="L80" s="6">
        <v>86465000000</v>
      </c>
      <c r="M80" s="6">
        <v>5086100</v>
      </c>
      <c r="N80" s="3">
        <v>17000.255598592241</v>
      </c>
      <c r="O80" s="7">
        <v>1302</v>
      </c>
      <c r="P80" s="4">
        <v>1.198924731182796</v>
      </c>
      <c r="Q80" s="3">
        <v>20382.02687358102</v>
      </c>
      <c r="R80" s="4">
        <v>9.9224087558835521</v>
      </c>
      <c r="S80" s="7">
        <v>227.3999999508151</v>
      </c>
      <c r="T80" s="8">
        <v>1.210669077757685</v>
      </c>
      <c r="U80" s="3">
        <v>275.30614822255097</v>
      </c>
      <c r="V80" s="4">
        <v>5.6178837447090357</v>
      </c>
      <c r="W80" s="6">
        <v>7573765660.6122837</v>
      </c>
      <c r="X80" s="4">
        <v>22.74795622597011</v>
      </c>
      <c r="Y80" s="7">
        <v>3.3</v>
      </c>
      <c r="Z80" s="4">
        <v>3.3000000000000002E-2</v>
      </c>
      <c r="AA80" s="4">
        <v>-3.411247717515657</v>
      </c>
      <c r="AB80" s="5">
        <v>1</v>
      </c>
      <c r="AC80" s="5">
        <v>0</v>
      </c>
      <c r="AD80" s="5">
        <v>1</v>
      </c>
      <c r="AE80" s="5">
        <v>0</v>
      </c>
      <c r="AF80" s="5">
        <v>1</v>
      </c>
      <c r="AG80" s="5">
        <v>0</v>
      </c>
      <c r="AH80" s="4">
        <v>4.3694478524670206</v>
      </c>
      <c r="AI80" s="4">
        <v>7.3271340130040761</v>
      </c>
      <c r="AJ80" s="4">
        <v>7.3256724251368048</v>
      </c>
      <c r="AK80" s="4">
        <v>1.461587867271241E-3</v>
      </c>
    </row>
    <row r="81" spans="1:37" x14ac:dyDescent="0.3">
      <c r="A81" s="2" t="s">
        <v>199</v>
      </c>
      <c r="B81" s="2" t="s">
        <v>200</v>
      </c>
      <c r="C81" s="2">
        <v>2021</v>
      </c>
      <c r="D81" s="2">
        <v>4</v>
      </c>
      <c r="E81" s="2">
        <v>80</v>
      </c>
      <c r="F81" s="2">
        <v>80</v>
      </c>
      <c r="G81" s="3">
        <v>1475.7690225316269</v>
      </c>
      <c r="H81" s="4">
        <v>7.2969345041150584</v>
      </c>
      <c r="I81" s="3">
        <v>1489.1106467848219</v>
      </c>
      <c r="J81" s="3">
        <v>1541.7142427336289</v>
      </c>
      <c r="K81" s="4">
        <v>4.3820266346738812</v>
      </c>
      <c r="L81" s="6">
        <v>91173000000</v>
      </c>
      <c r="M81" s="6">
        <v>5085400</v>
      </c>
      <c r="N81" s="3">
        <v>17928.38321469304</v>
      </c>
      <c r="O81" s="7">
        <v>1320</v>
      </c>
      <c r="P81" s="4">
        <v>1.1825757575757581</v>
      </c>
      <c r="Q81" s="3">
        <v>21201.671362224119</v>
      </c>
      <c r="R81" s="4">
        <v>9.9618352953933247</v>
      </c>
      <c r="S81" s="7">
        <v>245.3999999567344</v>
      </c>
      <c r="T81" s="8">
        <v>1.1934046345811049</v>
      </c>
      <c r="U81" s="3">
        <v>292.86149727456979</v>
      </c>
      <c r="V81" s="4">
        <v>5.6796997917090346</v>
      </c>
      <c r="W81" s="6">
        <v>7504875787.1823368</v>
      </c>
      <c r="X81" s="4">
        <v>22.738818751219629</v>
      </c>
      <c r="Y81" s="7">
        <v>3.2</v>
      </c>
      <c r="Z81" s="4">
        <v>3.2000000000000001E-2</v>
      </c>
      <c r="AA81" s="4">
        <v>-3.4420193761824098</v>
      </c>
      <c r="AB81" s="5">
        <v>1</v>
      </c>
      <c r="AC81" s="5">
        <v>0</v>
      </c>
      <c r="AD81" s="5">
        <v>1</v>
      </c>
      <c r="AE81" s="5">
        <v>0</v>
      </c>
      <c r="AF81" s="5">
        <v>0</v>
      </c>
      <c r="AG81" s="5">
        <v>1</v>
      </c>
      <c r="AH81" s="4">
        <v>4.3820266346738812</v>
      </c>
      <c r="AI81" s="4">
        <v>7.3059343393824472</v>
      </c>
      <c r="AJ81" s="4">
        <v>7.3406502209537949</v>
      </c>
      <c r="AK81" s="4">
        <v>-3.4715881571347751E-2</v>
      </c>
    </row>
    <row r="82" spans="1:37" x14ac:dyDescent="0.3">
      <c r="A82" s="2" t="s">
        <v>201</v>
      </c>
      <c r="B82" s="2" t="s">
        <v>202</v>
      </c>
      <c r="C82" s="2">
        <v>2022</v>
      </c>
      <c r="D82" s="2">
        <v>1</v>
      </c>
      <c r="E82" s="2">
        <v>81</v>
      </c>
      <c r="F82" s="2">
        <v>81</v>
      </c>
      <c r="G82" s="3">
        <v>1455.9408190336769</v>
      </c>
      <c r="H82" s="4">
        <v>7.2834075816624706</v>
      </c>
      <c r="I82" s="3">
        <v>1475.7690225316269</v>
      </c>
      <c r="J82" s="3">
        <v>1517.525141584026</v>
      </c>
      <c r="K82" s="4">
        <v>4.3944491546724391</v>
      </c>
      <c r="L82" s="6">
        <v>92559000000</v>
      </c>
      <c r="M82" s="6">
        <v>5081800</v>
      </c>
      <c r="N82" s="3">
        <v>18213.821874139081</v>
      </c>
      <c r="O82" s="7">
        <v>1339</v>
      </c>
      <c r="P82" s="4">
        <v>1.165795369678865</v>
      </c>
      <c r="Q82" s="3">
        <v>21233.589205026969</v>
      </c>
      <c r="R82" s="4">
        <v>9.9633396032917663</v>
      </c>
      <c r="S82" s="7">
        <v>266.80000005131899</v>
      </c>
      <c r="T82" s="8">
        <v>1.172504378283713</v>
      </c>
      <c r="U82" s="3">
        <v>312.82416818626632</v>
      </c>
      <c r="V82" s="4">
        <v>5.7456412697090364</v>
      </c>
      <c r="W82" s="6">
        <v>7398800054.1653404</v>
      </c>
      <c r="X82" s="4">
        <v>22.724583669165501</v>
      </c>
      <c r="Y82" s="7">
        <v>3.3</v>
      </c>
      <c r="Z82" s="4">
        <v>3.3000000000000002E-2</v>
      </c>
      <c r="AA82" s="4">
        <v>-3.411247717515657</v>
      </c>
      <c r="AB82" s="5">
        <v>1</v>
      </c>
      <c r="AC82" s="5">
        <v>0</v>
      </c>
      <c r="AD82" s="5">
        <v>1</v>
      </c>
      <c r="AE82" s="5">
        <v>0</v>
      </c>
      <c r="AF82" s="5">
        <v>0</v>
      </c>
      <c r="AG82" s="5">
        <v>0</v>
      </c>
      <c r="AH82" s="4">
        <v>4.3944491546724391</v>
      </c>
      <c r="AI82" s="4">
        <v>7.2969345041150584</v>
      </c>
      <c r="AJ82" s="4">
        <v>7.3248360905618304</v>
      </c>
      <c r="AK82" s="4">
        <v>-2.7901586446772871E-2</v>
      </c>
    </row>
    <row r="83" spans="1:37" x14ac:dyDescent="0.3">
      <c r="A83" s="2" t="s">
        <v>203</v>
      </c>
      <c r="B83" s="2" t="s">
        <v>204</v>
      </c>
      <c r="C83" s="2">
        <v>2022</v>
      </c>
      <c r="D83" s="2">
        <v>2</v>
      </c>
      <c r="E83" s="2">
        <v>82</v>
      </c>
      <c r="F83" s="2">
        <v>82</v>
      </c>
      <c r="G83" s="3">
        <v>1488.8600080881081</v>
      </c>
      <c r="H83" s="4">
        <v>7.3057660108618849</v>
      </c>
      <c r="I83" s="3">
        <v>1455.9408190336769</v>
      </c>
      <c r="J83" s="3">
        <v>1521.0163063402231</v>
      </c>
      <c r="K83" s="4">
        <v>4.4067192472642533</v>
      </c>
      <c r="L83" s="6">
        <v>95107000000</v>
      </c>
      <c r="M83" s="6">
        <v>5081700</v>
      </c>
      <c r="N83" s="3">
        <v>18715.587303461441</v>
      </c>
      <c r="O83" s="7">
        <v>1358</v>
      </c>
      <c r="P83" s="4">
        <v>1.1494845360824739</v>
      </c>
      <c r="Q83" s="3">
        <v>21513.27818903041</v>
      </c>
      <c r="R83" s="4">
        <v>9.9764256136728786</v>
      </c>
      <c r="S83" s="7">
        <v>283.6999999718991</v>
      </c>
      <c r="T83" s="8">
        <v>1.153316106804479</v>
      </c>
      <c r="U83" s="3">
        <v>327.19577946802139</v>
      </c>
      <c r="V83" s="4">
        <v>5.7905587057090351</v>
      </c>
      <c r="W83" s="6">
        <v>7565939903.1013393</v>
      </c>
      <c r="X83" s="4">
        <v>22.746922420104472</v>
      </c>
      <c r="Y83" s="7">
        <v>3.3</v>
      </c>
      <c r="Z83" s="4">
        <v>3.3000000000000002E-2</v>
      </c>
      <c r="AA83" s="4">
        <v>-3.411247717515657</v>
      </c>
      <c r="AB83" s="5">
        <v>1</v>
      </c>
      <c r="AC83" s="5">
        <v>0</v>
      </c>
      <c r="AD83" s="5">
        <v>1</v>
      </c>
      <c r="AE83" s="5">
        <v>1</v>
      </c>
      <c r="AF83" s="5">
        <v>0</v>
      </c>
      <c r="AG83" s="5">
        <v>0</v>
      </c>
      <c r="AH83" s="4">
        <v>4.4067192472642533</v>
      </c>
      <c r="AI83" s="4">
        <v>7.2834075816624706</v>
      </c>
      <c r="AJ83" s="4">
        <v>7.3271340130040761</v>
      </c>
      <c r="AK83" s="4">
        <v>-4.3726431341605483E-2</v>
      </c>
    </row>
    <row r="84" spans="1:37" x14ac:dyDescent="0.3">
      <c r="A84" s="2" t="s">
        <v>205</v>
      </c>
      <c r="B84" s="2" t="s">
        <v>206</v>
      </c>
      <c r="C84" s="2">
        <v>2022</v>
      </c>
      <c r="D84" s="2">
        <v>3</v>
      </c>
      <c r="E84" s="2">
        <v>83</v>
      </c>
      <c r="F84" s="2">
        <v>83</v>
      </c>
      <c r="G84" s="3">
        <v>1524.75059819788</v>
      </c>
      <c r="H84" s="4">
        <v>7.3295861335017092</v>
      </c>
      <c r="I84" s="3">
        <v>1488.8600080881081</v>
      </c>
      <c r="J84" s="3">
        <v>1489.1106467848219</v>
      </c>
      <c r="K84" s="4">
        <v>4.4188406077965983</v>
      </c>
      <c r="L84" s="6">
        <v>97704000000</v>
      </c>
      <c r="M84" s="6">
        <v>5093700</v>
      </c>
      <c r="N84" s="3">
        <v>19181.341657341422</v>
      </c>
      <c r="O84" s="7">
        <v>1364</v>
      </c>
      <c r="P84" s="4">
        <v>1.1444281524926689</v>
      </c>
      <c r="Q84" s="3">
        <v>21951.667395241911</v>
      </c>
      <c r="R84" s="4">
        <v>9.9965983789550101</v>
      </c>
      <c r="S84" s="7">
        <v>271.89999998289989</v>
      </c>
      <c r="T84" s="8">
        <v>1.1290050590219221</v>
      </c>
      <c r="U84" s="3">
        <v>306.97647552875469</v>
      </c>
      <c r="V84" s="4">
        <v>5.7267711177090357</v>
      </c>
      <c r="W84" s="6">
        <v>7766622122.0405397</v>
      </c>
      <c r="X84" s="4">
        <v>22.773101173473918</v>
      </c>
      <c r="Y84" s="7">
        <v>3.3</v>
      </c>
      <c r="Z84" s="4">
        <v>3.3000000000000002E-2</v>
      </c>
      <c r="AA84" s="4">
        <v>-3.411247717515657</v>
      </c>
      <c r="AB84" s="5">
        <v>1</v>
      </c>
      <c r="AC84" s="5">
        <v>0</v>
      </c>
      <c r="AD84" s="5">
        <v>1</v>
      </c>
      <c r="AE84" s="5">
        <v>0</v>
      </c>
      <c r="AF84" s="5">
        <v>1</v>
      </c>
      <c r="AG84" s="5">
        <v>0</v>
      </c>
      <c r="AH84" s="4">
        <v>4.4188406077965983</v>
      </c>
      <c r="AI84" s="4">
        <v>7.3057660108618849</v>
      </c>
      <c r="AJ84" s="4">
        <v>7.3059343393824472</v>
      </c>
      <c r="AK84" s="4">
        <v>-1.6832852056225531E-4</v>
      </c>
    </row>
    <row r="85" spans="1:37" x14ac:dyDescent="0.3">
      <c r="A85" s="2" t="s">
        <v>207</v>
      </c>
      <c r="B85" s="2" t="s">
        <v>208</v>
      </c>
      <c r="C85" s="2">
        <v>2022</v>
      </c>
      <c r="D85" s="2">
        <v>4</v>
      </c>
      <c r="E85" s="2">
        <v>84</v>
      </c>
      <c r="F85" s="2">
        <v>84</v>
      </c>
      <c r="G85" s="3">
        <v>1549.0269452327709</v>
      </c>
      <c r="H85" s="4">
        <v>7.3453822355094536</v>
      </c>
      <c r="I85" s="3">
        <v>1524.75059819788</v>
      </c>
      <c r="J85" s="3">
        <v>1475.7690225316269</v>
      </c>
      <c r="K85" s="4">
        <v>4.4308167988433134</v>
      </c>
      <c r="L85" s="6">
        <v>99981000000</v>
      </c>
      <c r="M85" s="6">
        <v>5120700</v>
      </c>
      <c r="N85" s="3">
        <v>19524.869646727991</v>
      </c>
      <c r="O85" s="7">
        <v>1392</v>
      </c>
      <c r="P85" s="4">
        <v>1.121408045977011</v>
      </c>
      <c r="Q85" s="3">
        <v>21895.345918493091</v>
      </c>
      <c r="R85" s="4">
        <v>9.9940293780827485</v>
      </c>
      <c r="S85" s="7">
        <v>252.09999994924411</v>
      </c>
      <c r="T85" s="8">
        <v>1.113050706566916</v>
      </c>
      <c r="U85" s="3">
        <v>280.60008306902557</v>
      </c>
      <c r="V85" s="4">
        <v>5.6369304637090352</v>
      </c>
      <c r="W85" s="6">
        <v>7932102278.4534521</v>
      </c>
      <c r="X85" s="4">
        <v>22.79418394192999</v>
      </c>
      <c r="Y85" s="7">
        <v>3.4</v>
      </c>
      <c r="Z85" s="4">
        <v>3.4000000000000002E-2</v>
      </c>
      <c r="AA85" s="4">
        <v>-3.3813947543659761</v>
      </c>
      <c r="AB85" s="5">
        <v>1</v>
      </c>
      <c r="AC85" s="5">
        <v>0</v>
      </c>
      <c r="AD85" s="5">
        <v>1</v>
      </c>
      <c r="AE85" s="5">
        <v>0</v>
      </c>
      <c r="AF85" s="5">
        <v>0</v>
      </c>
      <c r="AG85" s="5">
        <v>1</v>
      </c>
      <c r="AH85" s="4">
        <v>4.4308167988433134</v>
      </c>
      <c r="AI85" s="4">
        <v>7.3295861335017092</v>
      </c>
      <c r="AJ85" s="4">
        <v>7.2969345041150584</v>
      </c>
      <c r="AK85" s="4">
        <v>3.265162938665167E-2</v>
      </c>
    </row>
    <row r="86" spans="1:37" x14ac:dyDescent="0.3">
      <c r="A86" s="2" t="s">
        <v>209</v>
      </c>
      <c r="B86" s="2" t="s">
        <v>210</v>
      </c>
      <c r="C86" s="2">
        <v>2023</v>
      </c>
      <c r="D86" s="2">
        <v>1</v>
      </c>
      <c r="E86" s="2">
        <v>85</v>
      </c>
      <c r="F86" s="2">
        <v>85</v>
      </c>
      <c r="G86" s="3">
        <v>1521.7618781648689</v>
      </c>
      <c r="H86" s="4">
        <v>7.3276240729390159</v>
      </c>
      <c r="I86" s="3">
        <v>1549.0269452327709</v>
      </c>
      <c r="J86" s="3">
        <v>1455.9408190336769</v>
      </c>
      <c r="K86" s="4">
        <v>4.4426512564903167</v>
      </c>
      <c r="L86" s="6">
        <v>100996000000</v>
      </c>
      <c r="M86" s="6">
        <v>5165900</v>
      </c>
      <c r="N86" s="3">
        <v>19550.51394723088</v>
      </c>
      <c r="O86" s="7">
        <v>1409</v>
      </c>
      <c r="P86" s="4">
        <v>1.1078779276082329</v>
      </c>
      <c r="Q86" s="3">
        <v>21659.582875534001</v>
      </c>
      <c r="R86" s="4">
        <v>9.9832032625456328</v>
      </c>
      <c r="S86" s="7">
        <v>245.09999993961691</v>
      </c>
      <c r="T86" s="8">
        <v>1.0993431855500819</v>
      </c>
      <c r="U86" s="3">
        <v>269.44901471194328</v>
      </c>
      <c r="V86" s="4">
        <v>5.5963791877090356</v>
      </c>
      <c r="W86" s="6">
        <v>7861269686.4118986</v>
      </c>
      <c r="X86" s="4">
        <v>22.785213968053149</v>
      </c>
      <c r="Y86" s="7">
        <v>3.5</v>
      </c>
      <c r="Z86" s="4">
        <v>3.5000000000000003E-2</v>
      </c>
      <c r="AA86" s="4">
        <v>-3.3524072174927229</v>
      </c>
      <c r="AB86" s="5">
        <v>1</v>
      </c>
      <c r="AC86" s="5">
        <v>0</v>
      </c>
      <c r="AD86" s="5">
        <v>1</v>
      </c>
      <c r="AE86" s="5">
        <v>0</v>
      </c>
      <c r="AF86" s="5">
        <v>0</v>
      </c>
      <c r="AG86" s="5">
        <v>0</v>
      </c>
      <c r="AH86" s="4">
        <v>4.4426512564903167</v>
      </c>
      <c r="AI86" s="4">
        <v>7.3453822355094536</v>
      </c>
      <c r="AJ86" s="4">
        <v>7.2834075816624706</v>
      </c>
      <c r="AK86" s="4">
        <v>6.1974653846982967E-2</v>
      </c>
    </row>
    <row r="87" spans="1:37" x14ac:dyDescent="0.3">
      <c r="A87" s="2" t="s">
        <v>211</v>
      </c>
      <c r="B87" s="2" t="s">
        <v>212</v>
      </c>
      <c r="C87" s="2">
        <v>2023</v>
      </c>
      <c r="D87" s="2">
        <v>2</v>
      </c>
      <c r="E87" s="2">
        <v>86</v>
      </c>
      <c r="F87" s="2">
        <v>86</v>
      </c>
      <c r="G87" s="3">
        <v>1532.8575398021369</v>
      </c>
      <c r="H87" s="4">
        <v>7.3348889455269886</v>
      </c>
      <c r="I87" s="3">
        <v>1521.7618781648689</v>
      </c>
      <c r="J87" s="3">
        <v>1488.8600080881081</v>
      </c>
      <c r="K87" s="4">
        <v>4.4543472962535073</v>
      </c>
      <c r="L87" s="6">
        <v>103162000000</v>
      </c>
      <c r="M87" s="6">
        <v>5200000</v>
      </c>
      <c r="N87" s="3">
        <v>19838.846153846149</v>
      </c>
      <c r="O87" s="7">
        <v>1429</v>
      </c>
      <c r="P87" s="4">
        <v>1.0923722883135061</v>
      </c>
      <c r="Q87" s="3">
        <v>21671.405770576519</v>
      </c>
      <c r="R87" s="4">
        <v>9.9837489641649739</v>
      </c>
      <c r="S87" s="7">
        <v>241.89999989993439</v>
      </c>
      <c r="T87" s="8">
        <v>1.087733549959383</v>
      </c>
      <c r="U87" s="3">
        <v>263.12274562633002</v>
      </c>
      <c r="V87" s="4">
        <v>5.5726206367090354</v>
      </c>
      <c r="W87" s="6">
        <v>7970859206.9711103</v>
      </c>
      <c r="X87" s="4">
        <v>22.799058129078649</v>
      </c>
      <c r="Y87" s="7">
        <v>3.7</v>
      </c>
      <c r="Z87" s="4">
        <v>3.7000000000000012E-2</v>
      </c>
      <c r="AA87" s="4">
        <v>-3.296837366337912</v>
      </c>
      <c r="AB87" s="5">
        <v>1</v>
      </c>
      <c r="AC87" s="5">
        <v>0</v>
      </c>
      <c r="AD87" s="5">
        <v>1</v>
      </c>
      <c r="AE87" s="5">
        <v>1</v>
      </c>
      <c r="AF87" s="5">
        <v>0</v>
      </c>
      <c r="AG87" s="5">
        <v>0</v>
      </c>
      <c r="AH87" s="4">
        <v>4.4543472962535073</v>
      </c>
      <c r="AI87" s="4">
        <v>7.3276240729390159</v>
      </c>
      <c r="AJ87" s="4">
        <v>7.3057660108618849</v>
      </c>
      <c r="AK87" s="4">
        <v>2.1858062077130921E-2</v>
      </c>
    </row>
    <row r="88" spans="1:37" x14ac:dyDescent="0.3">
      <c r="A88" s="2" t="s">
        <v>213</v>
      </c>
      <c r="B88" s="2" t="s">
        <v>214</v>
      </c>
      <c r="C88" s="2">
        <v>2023</v>
      </c>
      <c r="D88" s="2">
        <v>3</v>
      </c>
      <c r="E88" s="2">
        <v>87</v>
      </c>
      <c r="F88" s="2">
        <v>87</v>
      </c>
      <c r="G88" s="3">
        <v>1531.4092323893381</v>
      </c>
      <c r="H88" s="4">
        <v>7.3339436573857677</v>
      </c>
      <c r="I88" s="3">
        <v>1532.8575398021369</v>
      </c>
      <c r="J88" s="3">
        <v>1524.75059819788</v>
      </c>
      <c r="K88" s="4">
        <v>4.4659081186545837</v>
      </c>
      <c r="L88" s="6">
        <v>104531000000</v>
      </c>
      <c r="M88" s="6">
        <v>5238700</v>
      </c>
      <c r="N88" s="3">
        <v>19953.614446332111</v>
      </c>
      <c r="O88" s="7">
        <v>1448</v>
      </c>
      <c r="P88" s="4">
        <v>1.0780386740331489</v>
      </c>
      <c r="Q88" s="3">
        <v>21510.768059892551</v>
      </c>
      <c r="R88" s="4">
        <v>9.9763089287322675</v>
      </c>
      <c r="S88" s="7">
        <v>282.79999996932003</v>
      </c>
      <c r="T88" s="8">
        <v>1.0686352753391859</v>
      </c>
      <c r="U88" s="3">
        <v>302.2100558331361</v>
      </c>
      <c r="V88" s="4">
        <v>5.7111223247090352</v>
      </c>
      <c r="W88" s="6">
        <v>8022593545.7180262</v>
      </c>
      <c r="X88" s="4">
        <v>22.80552759130013</v>
      </c>
      <c r="Y88" s="7">
        <v>4</v>
      </c>
      <c r="Z88" s="4">
        <v>0.04</v>
      </c>
      <c r="AA88" s="4">
        <v>-3.218875824868201</v>
      </c>
      <c r="AB88" s="5">
        <v>1</v>
      </c>
      <c r="AC88" s="5">
        <v>0</v>
      </c>
      <c r="AD88" s="5">
        <v>1</v>
      </c>
      <c r="AE88" s="5">
        <v>0</v>
      </c>
      <c r="AF88" s="5">
        <v>1</v>
      </c>
      <c r="AG88" s="5">
        <v>0</v>
      </c>
      <c r="AH88" s="4">
        <v>4.4659081186545837</v>
      </c>
      <c r="AI88" s="4">
        <v>7.3348889455269886</v>
      </c>
      <c r="AJ88" s="4">
        <v>7.3295861335017092</v>
      </c>
      <c r="AK88" s="4">
        <v>5.3028120252793798E-3</v>
      </c>
    </row>
    <row r="89" spans="1:37" x14ac:dyDescent="0.3">
      <c r="A89" s="2" t="s">
        <v>215</v>
      </c>
      <c r="B89" s="2" t="s">
        <v>216</v>
      </c>
      <c r="C89" s="2">
        <v>2023</v>
      </c>
      <c r="D89" s="2">
        <v>4</v>
      </c>
      <c r="E89" s="2">
        <v>88</v>
      </c>
      <c r="F89" s="2">
        <v>88</v>
      </c>
      <c r="G89" s="3">
        <v>1537.9692201421401</v>
      </c>
      <c r="H89" s="4">
        <v>7.3382181369538459</v>
      </c>
      <c r="I89" s="3">
        <v>1531.4092323893381</v>
      </c>
      <c r="J89" s="3">
        <v>1549.0269452327709</v>
      </c>
      <c r="K89" s="4">
        <v>4.4773368144782069</v>
      </c>
      <c r="L89" s="6">
        <v>103942000000</v>
      </c>
      <c r="M89" s="6">
        <v>5263100</v>
      </c>
      <c r="N89" s="3">
        <v>19749.197241169652</v>
      </c>
      <c r="O89" s="7">
        <v>1435</v>
      </c>
      <c r="P89" s="4">
        <v>1.087804878048781</v>
      </c>
      <c r="Q89" s="3">
        <v>21483.27309649187</v>
      </c>
      <c r="R89" s="4">
        <v>9.9750299158081805</v>
      </c>
      <c r="S89" s="7">
        <v>280.99999992369862</v>
      </c>
      <c r="T89" s="8">
        <v>1.063542494042891</v>
      </c>
      <c r="U89" s="3">
        <v>298.85544074490258</v>
      </c>
      <c r="V89" s="4">
        <v>5.6999599807090364</v>
      </c>
      <c r="W89" s="6">
        <v>8094485802.5300961</v>
      </c>
      <c r="X89" s="4">
        <v>22.81444890167927</v>
      </c>
      <c r="Y89" s="7">
        <v>4</v>
      </c>
      <c r="Z89" s="4">
        <v>0.04</v>
      </c>
      <c r="AA89" s="4">
        <v>-3.218875824868201</v>
      </c>
      <c r="AB89" s="5">
        <v>1</v>
      </c>
      <c r="AC89" s="5">
        <v>0</v>
      </c>
      <c r="AD89" s="5">
        <v>1</v>
      </c>
      <c r="AE89" s="5">
        <v>0</v>
      </c>
      <c r="AF89" s="5">
        <v>0</v>
      </c>
      <c r="AG89" s="5">
        <v>1</v>
      </c>
      <c r="AH89" s="4">
        <v>4.4773368144782069</v>
      </c>
      <c r="AI89" s="4">
        <v>7.3339436573857677</v>
      </c>
      <c r="AJ89" s="4">
        <v>7.3453822355094536</v>
      </c>
      <c r="AK89" s="4">
        <v>-1.143857812368587E-2</v>
      </c>
    </row>
    <row r="90" spans="1:37" x14ac:dyDescent="0.3">
      <c r="A90" s="2" t="s">
        <v>217</v>
      </c>
      <c r="B90" s="2" t="s">
        <v>218</v>
      </c>
      <c r="C90" s="2">
        <v>2024</v>
      </c>
      <c r="D90" s="2">
        <v>1</v>
      </c>
      <c r="E90" s="2">
        <v>89</v>
      </c>
      <c r="F90" s="2">
        <v>89</v>
      </c>
      <c r="G90" s="3">
        <v>1520.2757620778641</v>
      </c>
      <c r="H90" s="4">
        <v>7.3266470198049127</v>
      </c>
      <c r="I90" s="3">
        <v>1537.9692201421401</v>
      </c>
      <c r="J90" s="3">
        <v>1521.7618781648689</v>
      </c>
      <c r="K90" s="4">
        <v>4.4886363697321396</v>
      </c>
      <c r="L90" s="6">
        <v>105841000000</v>
      </c>
      <c r="M90" s="6">
        <v>5283100</v>
      </c>
      <c r="N90" s="3">
        <v>20033.88162253223</v>
      </c>
      <c r="O90" s="7">
        <v>1460</v>
      </c>
      <c r="P90" s="4">
        <v>1.0691780821917809</v>
      </c>
      <c r="Q90" s="3">
        <v>21419.78713203617</v>
      </c>
      <c r="R90" s="4">
        <v>9.972070406138922</v>
      </c>
      <c r="S90" s="7">
        <v>274.50000010689479</v>
      </c>
      <c r="T90" s="8">
        <v>1.056827150749803</v>
      </c>
      <c r="U90" s="3">
        <v>290.09905299379022</v>
      </c>
      <c r="V90" s="4">
        <v>5.6702224267090351</v>
      </c>
      <c r="W90" s="6">
        <v>8031768878.6335649</v>
      </c>
      <c r="X90" s="4">
        <v>22.80667062441125</v>
      </c>
      <c r="Y90" s="7">
        <v>4.4000000000000004</v>
      </c>
      <c r="Z90" s="4">
        <v>4.3999999999999997E-2</v>
      </c>
      <c r="AA90" s="4">
        <v>-3.1235656450638758</v>
      </c>
      <c r="AB90" s="5">
        <v>1</v>
      </c>
      <c r="AC90" s="5">
        <v>0</v>
      </c>
      <c r="AD90" s="5">
        <v>1</v>
      </c>
      <c r="AE90" s="5">
        <v>0</v>
      </c>
      <c r="AF90" s="5">
        <v>0</v>
      </c>
      <c r="AG90" s="5">
        <v>0</v>
      </c>
      <c r="AH90" s="4">
        <v>4.4886363697321396</v>
      </c>
      <c r="AI90" s="4">
        <v>7.3382181369538459</v>
      </c>
      <c r="AJ90" s="4">
        <v>7.3276240729390159</v>
      </c>
      <c r="AK90" s="4">
        <v>1.0594064014830099E-2</v>
      </c>
    </row>
    <row r="91" spans="1:37" x14ac:dyDescent="0.3">
      <c r="A91" s="2" t="s">
        <v>219</v>
      </c>
      <c r="B91" s="2" t="s">
        <v>220</v>
      </c>
      <c r="C91" s="2">
        <v>2024</v>
      </c>
      <c r="D91" s="2">
        <v>2</v>
      </c>
      <c r="E91" s="2">
        <v>90</v>
      </c>
      <c r="F91" s="2">
        <v>90</v>
      </c>
      <c r="G91" s="3">
        <v>1507.4384642146949</v>
      </c>
      <c r="H91" s="4">
        <v>7.3181671080101118</v>
      </c>
      <c r="I91" s="3">
        <v>1520.2757620778641</v>
      </c>
      <c r="J91" s="3">
        <v>1532.8575398021369</v>
      </c>
      <c r="K91" s="4">
        <v>4.499809670330265</v>
      </c>
      <c r="L91" s="6">
        <v>106539000000</v>
      </c>
      <c r="M91" s="6">
        <v>5289900</v>
      </c>
      <c r="N91" s="3">
        <v>20140.078262349001</v>
      </c>
      <c r="O91" s="7">
        <v>1475</v>
      </c>
      <c r="P91" s="4">
        <v>1.0583050847457629</v>
      </c>
      <c r="Q91" s="3">
        <v>21314.34723222156</v>
      </c>
      <c r="R91" s="4">
        <v>9.967135703922553</v>
      </c>
      <c r="S91" s="7">
        <v>276.40000000674848</v>
      </c>
      <c r="T91" s="8">
        <v>1.0526729559748429</v>
      </c>
      <c r="U91" s="3">
        <v>290.95880503855051</v>
      </c>
      <c r="V91" s="4">
        <v>5.6731816937090356</v>
      </c>
      <c r="W91" s="6">
        <v>7974198731.8493137</v>
      </c>
      <c r="X91" s="4">
        <v>22.799477008074241</v>
      </c>
      <c r="Y91" s="7">
        <v>4.7</v>
      </c>
      <c r="Z91" s="4">
        <v>4.7E-2</v>
      </c>
      <c r="AA91" s="4">
        <v>-3.0576076772720779</v>
      </c>
      <c r="AB91" s="5">
        <v>1</v>
      </c>
      <c r="AC91" s="5">
        <v>0</v>
      </c>
      <c r="AD91" s="5">
        <v>1</v>
      </c>
      <c r="AE91" s="5">
        <v>1</v>
      </c>
      <c r="AF91" s="5">
        <v>0</v>
      </c>
      <c r="AG91" s="5">
        <v>0</v>
      </c>
      <c r="AH91" s="4">
        <v>4.499809670330265</v>
      </c>
      <c r="AI91" s="4">
        <v>7.3266470198049127</v>
      </c>
      <c r="AJ91" s="4">
        <v>7.3348889455269886</v>
      </c>
      <c r="AK91" s="4">
        <v>-8.2419257220758269E-3</v>
      </c>
    </row>
    <row r="92" spans="1:37" x14ac:dyDescent="0.3">
      <c r="A92" s="2" t="s">
        <v>221</v>
      </c>
      <c r="B92" s="2" t="s">
        <v>222</v>
      </c>
      <c r="C92" s="2">
        <v>2024</v>
      </c>
      <c r="D92" s="2">
        <v>3</v>
      </c>
      <c r="E92" s="2">
        <v>91</v>
      </c>
      <c r="F92" s="2">
        <v>91</v>
      </c>
      <c r="G92" s="3">
        <v>1490.92437073784</v>
      </c>
      <c r="H92" s="4">
        <v>7.3071515896270256</v>
      </c>
      <c r="I92" s="3">
        <v>1507.4384642146949</v>
      </c>
      <c r="J92" s="3">
        <v>1531.4092323893381</v>
      </c>
      <c r="K92" s="4">
        <v>4.5108595065168497</v>
      </c>
      <c r="L92" s="6">
        <v>106858000000</v>
      </c>
      <c r="M92" s="6">
        <v>5301000</v>
      </c>
      <c r="N92" s="3">
        <v>20158.083380494241</v>
      </c>
      <c r="O92" s="7">
        <v>1497</v>
      </c>
      <c r="P92" s="4">
        <v>1.042752171008684</v>
      </c>
      <c r="Q92" s="3">
        <v>21019.88520838445</v>
      </c>
      <c r="R92" s="4">
        <v>9.9532241833496382</v>
      </c>
      <c r="S92" s="7">
        <v>258.29999995601958</v>
      </c>
      <c r="T92" s="8">
        <v>1.04609375</v>
      </c>
      <c r="U92" s="3">
        <v>270.20601557899238</v>
      </c>
      <c r="V92" s="4">
        <v>5.5991846887090357</v>
      </c>
      <c r="W92" s="6">
        <v>7903390089.2812929</v>
      </c>
      <c r="X92" s="4">
        <v>22.790557629596972</v>
      </c>
      <c r="Y92" s="7">
        <v>4.9000000000000004</v>
      </c>
      <c r="Z92" s="4">
        <v>4.9000000000000002E-2</v>
      </c>
      <c r="AA92" s="4">
        <v>-3.0159349808715099</v>
      </c>
      <c r="AB92" s="5">
        <v>1</v>
      </c>
      <c r="AC92" s="5">
        <v>0</v>
      </c>
      <c r="AD92" s="5">
        <v>1</v>
      </c>
      <c r="AE92" s="5">
        <v>0</v>
      </c>
      <c r="AF92" s="5">
        <v>1</v>
      </c>
      <c r="AG92" s="5">
        <v>0</v>
      </c>
      <c r="AH92" s="4">
        <v>4.5108595065168497</v>
      </c>
      <c r="AI92" s="4">
        <v>7.3181671080101118</v>
      </c>
      <c r="AJ92" s="4">
        <v>7.3339436573857677</v>
      </c>
      <c r="AK92" s="4">
        <v>-1.5776549375655868E-2</v>
      </c>
    </row>
    <row r="93" spans="1:37" x14ac:dyDescent="0.3">
      <c r="A93" s="2" t="s">
        <v>223</v>
      </c>
      <c r="B93" s="2" t="s">
        <v>224</v>
      </c>
      <c r="C93" s="2">
        <v>2024</v>
      </c>
      <c r="D93" s="2">
        <v>4</v>
      </c>
      <c r="E93" s="2">
        <v>92</v>
      </c>
      <c r="F93" s="2">
        <v>92</v>
      </c>
      <c r="G93" s="3">
        <v>1502.018274346533</v>
      </c>
      <c r="H93" s="4">
        <v>7.3145649989255208</v>
      </c>
      <c r="I93" s="3">
        <v>1490.92437073784</v>
      </c>
      <c r="J93" s="3">
        <v>1537.9692201421401</v>
      </c>
      <c r="K93" s="4">
        <v>4.5217885770490396</v>
      </c>
      <c r="L93" s="6">
        <v>108067000000</v>
      </c>
      <c r="M93" s="6">
        <v>5307800</v>
      </c>
      <c r="N93" s="3">
        <v>20360.036173179091</v>
      </c>
      <c r="O93" s="7">
        <v>1512</v>
      </c>
      <c r="P93" s="4">
        <v>1.032407407407407</v>
      </c>
      <c r="Q93" s="3">
        <v>21019.852160272862</v>
      </c>
      <c r="R93" s="4">
        <v>9.9532226111175728</v>
      </c>
      <c r="S93" s="7">
        <v>254.69999990539881</v>
      </c>
      <c r="T93" s="8">
        <v>1.04040404040404</v>
      </c>
      <c r="U93" s="3">
        <v>264.99090899248557</v>
      </c>
      <c r="V93" s="4">
        <v>5.579695519709035</v>
      </c>
      <c r="W93" s="6">
        <v>7972412596.5765257</v>
      </c>
      <c r="X93" s="4">
        <v>22.799252993674749</v>
      </c>
      <c r="Y93" s="7">
        <v>5.0999999999999996</v>
      </c>
      <c r="Z93" s="4">
        <v>5.0999999999999997E-2</v>
      </c>
      <c r="AA93" s="4">
        <v>-2.975929646257812</v>
      </c>
      <c r="AB93" s="5">
        <v>1</v>
      </c>
      <c r="AC93" s="5">
        <v>0</v>
      </c>
      <c r="AD93" s="5">
        <v>1</v>
      </c>
      <c r="AE93" s="5">
        <v>0</v>
      </c>
      <c r="AF93" s="5">
        <v>0</v>
      </c>
      <c r="AG93" s="5">
        <v>1</v>
      </c>
      <c r="AH93" s="4">
        <v>4.5217885770490396</v>
      </c>
      <c r="AI93" s="4">
        <v>7.3071515896270256</v>
      </c>
      <c r="AJ93" s="4">
        <v>7.3382181369538459</v>
      </c>
      <c r="AK93" s="4">
        <v>-3.106654732681946E-2</v>
      </c>
    </row>
    <row r="94" spans="1:37" x14ac:dyDescent="0.3">
      <c r="A94" s="2" t="s">
        <v>225</v>
      </c>
      <c r="B94" s="2" t="s">
        <v>226</v>
      </c>
      <c r="C94" s="2">
        <v>2025</v>
      </c>
      <c r="D94" s="2">
        <v>1</v>
      </c>
      <c r="E94" s="2">
        <v>93</v>
      </c>
      <c r="F94" s="2">
        <v>93</v>
      </c>
      <c r="G94" s="3">
        <v>1499.78577995301</v>
      </c>
      <c r="H94" s="4">
        <v>7.3130775635268419</v>
      </c>
      <c r="I94" s="3">
        <v>1502.018274346533</v>
      </c>
      <c r="J94" s="3">
        <v>1520.2757620778641</v>
      </c>
      <c r="K94" s="4">
        <v>4.5325994931532563</v>
      </c>
      <c r="L94" s="6">
        <v>109906000000</v>
      </c>
      <c r="M94" s="6">
        <v>5317200</v>
      </c>
      <c r="N94" s="3">
        <v>20669.901451891968</v>
      </c>
      <c r="O94" s="7">
        <v>1521</v>
      </c>
      <c r="P94" s="4">
        <v>1.026298487836949</v>
      </c>
      <c r="Q94" s="3">
        <v>21213.488603815498</v>
      </c>
      <c r="R94" s="4">
        <v>9.9623925132327305</v>
      </c>
      <c r="S94" s="7">
        <v>266.69999986678158</v>
      </c>
      <c r="T94" s="8">
        <v>1.030792917628945</v>
      </c>
      <c r="U94" s="3">
        <v>274.91247099431922</v>
      </c>
      <c r="V94" s="4">
        <v>5.616452759709035</v>
      </c>
      <c r="W94" s="6">
        <v>7974660949.1661444</v>
      </c>
      <c r="X94" s="4">
        <v>22.799534970502421</v>
      </c>
      <c r="Y94" s="7">
        <v>5.0999999999999996</v>
      </c>
      <c r="Z94" s="4">
        <v>5.0999999999999997E-2</v>
      </c>
      <c r="AA94" s="4">
        <v>-2.975929646257812</v>
      </c>
      <c r="AB94" s="5">
        <v>1</v>
      </c>
      <c r="AC94" s="5">
        <v>0</v>
      </c>
      <c r="AD94" s="5">
        <v>1</v>
      </c>
      <c r="AE94" s="5">
        <v>0</v>
      </c>
      <c r="AF94" s="5">
        <v>0</v>
      </c>
      <c r="AG94" s="5">
        <v>0</v>
      </c>
      <c r="AH94" s="4">
        <v>4.5325994931532563</v>
      </c>
      <c r="AI94" s="4">
        <v>7.3145649989255208</v>
      </c>
      <c r="AJ94" s="4">
        <v>7.3266470198049127</v>
      </c>
      <c r="AK94" s="4">
        <v>-1.2082020879391919E-2</v>
      </c>
    </row>
    <row r="95" spans="1:37" x14ac:dyDescent="0.3">
      <c r="A95" s="2" t="s">
        <v>227</v>
      </c>
      <c r="B95" s="2" t="s">
        <v>228</v>
      </c>
      <c r="C95" s="2">
        <v>2025</v>
      </c>
      <c r="D95" s="2">
        <v>2</v>
      </c>
      <c r="E95" s="2">
        <v>94</v>
      </c>
      <c r="F95" s="2">
        <v>94</v>
      </c>
      <c r="G95" s="3">
        <v>1476.293186220508</v>
      </c>
      <c r="H95" s="4">
        <v>7.2972896210857199</v>
      </c>
      <c r="I95" s="3">
        <v>1499.78577995301</v>
      </c>
      <c r="J95" s="3">
        <v>1507.4384642146949</v>
      </c>
      <c r="K95" s="4">
        <v>4.5432947822700038</v>
      </c>
      <c r="L95" s="6">
        <v>110143000000</v>
      </c>
      <c r="M95" s="6">
        <v>5320600</v>
      </c>
      <c r="N95" s="3">
        <v>20701.236702627521</v>
      </c>
      <c r="O95" s="7">
        <v>1535</v>
      </c>
      <c r="P95" s="4">
        <v>1.0169381107491859</v>
      </c>
      <c r="Q95" s="3">
        <v>21051.87654254174</v>
      </c>
      <c r="R95" s="4">
        <v>9.9547449820512739</v>
      </c>
      <c r="S95" s="7">
        <v>253.60000007384031</v>
      </c>
      <c r="T95" s="8">
        <v>1.025267993874426</v>
      </c>
      <c r="U95" s="3">
        <v>260.00796332226048</v>
      </c>
      <c r="V95" s="4">
        <v>5.5607122587090352</v>
      </c>
      <c r="W95" s="6">
        <v>7854765526.6048365</v>
      </c>
      <c r="X95" s="4">
        <v>22.784386257999031</v>
      </c>
      <c r="Y95" s="7">
        <v>5.2</v>
      </c>
      <c r="Z95" s="4">
        <v>5.1999999999999998E-2</v>
      </c>
      <c r="AA95" s="4">
        <v>-2.9565115604007102</v>
      </c>
      <c r="AB95" s="5">
        <v>1</v>
      </c>
      <c r="AC95" s="5">
        <v>0</v>
      </c>
      <c r="AD95" s="5">
        <v>1</v>
      </c>
      <c r="AE95" s="5">
        <v>1</v>
      </c>
      <c r="AF95" s="5">
        <v>0</v>
      </c>
      <c r="AG95" s="5">
        <v>0</v>
      </c>
      <c r="AH95" s="4">
        <v>4.5432947822700038</v>
      </c>
      <c r="AI95" s="4">
        <v>7.3130775635268419</v>
      </c>
      <c r="AJ95" s="4">
        <v>7.3181671080101118</v>
      </c>
      <c r="AK95" s="4">
        <v>-5.0895444832699246E-3</v>
      </c>
    </row>
    <row r="96" spans="1:37" x14ac:dyDescent="0.3">
      <c r="A96" s="2" t="s">
        <v>229</v>
      </c>
      <c r="B96" s="2" t="s">
        <v>230</v>
      </c>
      <c r="C96" s="2">
        <v>2025</v>
      </c>
      <c r="D96" s="2">
        <v>3</v>
      </c>
      <c r="E96" s="2">
        <v>95</v>
      </c>
      <c r="F96" s="2">
        <v>95</v>
      </c>
      <c r="G96" s="3">
        <v>1544.6797387351801</v>
      </c>
      <c r="H96" s="4">
        <v>7.3425718790000003</v>
      </c>
      <c r="I96" s="3">
        <v>1476.293186220508</v>
      </c>
      <c r="J96" s="3">
        <v>1490.92437073784</v>
      </c>
      <c r="K96" s="4">
        <v>4.5538768916005408</v>
      </c>
      <c r="L96" s="6">
        <v>111669000000</v>
      </c>
      <c r="M96" s="6">
        <v>5331100</v>
      </c>
      <c r="N96" s="3">
        <v>20946.70893436627</v>
      </c>
      <c r="O96" s="7">
        <v>1542</v>
      </c>
      <c r="P96" s="4">
        <v>1.0123216601815821</v>
      </c>
      <c r="Q96" s="3">
        <v>21204.807163778041</v>
      </c>
      <c r="R96" s="4">
        <v>9.9619831879639236</v>
      </c>
      <c r="S96" s="7">
        <v>253.99999992802671</v>
      </c>
      <c r="T96" s="8">
        <v>1.01516300227445</v>
      </c>
      <c r="U96" s="3">
        <v>257.85140250464582</v>
      </c>
      <c r="V96" s="4">
        <v>5.5523834597090351</v>
      </c>
      <c r="W96" s="6">
        <v>8234842155.1711197</v>
      </c>
      <c r="X96" s="4">
        <v>22.831640032835679</v>
      </c>
      <c r="Y96" s="7">
        <v>5.3</v>
      </c>
      <c r="Z96" s="4">
        <v>5.2999999999999999E-2</v>
      </c>
      <c r="AA96" s="4">
        <v>-2.9374633654300148</v>
      </c>
      <c r="AB96" s="5">
        <v>1</v>
      </c>
      <c r="AC96" s="5">
        <v>0</v>
      </c>
      <c r="AD96" s="5">
        <v>1</v>
      </c>
      <c r="AE96" s="5">
        <v>0</v>
      </c>
      <c r="AF96" s="5">
        <v>1</v>
      </c>
      <c r="AG96" s="5">
        <v>0</v>
      </c>
      <c r="AH96" s="4">
        <v>4.5538768916005408</v>
      </c>
      <c r="AI96" s="4">
        <v>7.2972896210857199</v>
      </c>
      <c r="AJ96" s="4">
        <v>7.3071515896270256</v>
      </c>
      <c r="AK96" s="4">
        <v>-9.8619685413066094E-3</v>
      </c>
    </row>
    <row r="97" spans="1:37" x14ac:dyDescent="0.3">
      <c r="A97" s="2" t="s">
        <v>231</v>
      </c>
      <c r="B97" s="2" t="s">
        <v>232</v>
      </c>
      <c r="C97" s="2">
        <v>2025</v>
      </c>
      <c r="D97" s="2">
        <v>4</v>
      </c>
      <c r="E97" s="2">
        <v>96</v>
      </c>
      <c r="F97" s="2">
        <v>96</v>
      </c>
      <c r="G97" s="3">
        <v>1565.5435343949109</v>
      </c>
      <c r="H97" s="4">
        <v>7.3559883490000004</v>
      </c>
      <c r="I97" s="3">
        <v>1544.6797387351801</v>
      </c>
      <c r="J97" s="3">
        <v>1502.018274346533</v>
      </c>
      <c r="K97" s="4">
        <v>4.5643481914678361</v>
      </c>
      <c r="L97" s="6">
        <v>113094000000</v>
      </c>
      <c r="M97" s="6">
        <v>5342000</v>
      </c>
      <c r="N97" s="3">
        <v>21170.722575814299</v>
      </c>
      <c r="O97" s="7">
        <v>1561</v>
      </c>
      <c r="P97" s="4">
        <v>1</v>
      </c>
      <c r="Q97" s="3">
        <v>21170.722575814299</v>
      </c>
      <c r="R97" s="4">
        <v>9.960374495611342</v>
      </c>
      <c r="S97" s="7">
        <v>260.60000000000002</v>
      </c>
      <c r="T97" s="8">
        <v>1.0090429540316499</v>
      </c>
      <c r="U97" s="3">
        <v>262.9565938206481</v>
      </c>
      <c r="V97" s="4">
        <v>5.5719889760497097</v>
      </c>
      <c r="W97" s="6">
        <v>8363133560.7376165</v>
      </c>
      <c r="X97" s="4">
        <v>22.847099021652038</v>
      </c>
      <c r="Y97" s="7">
        <v>5.4</v>
      </c>
      <c r="Z97" s="4">
        <v>5.4000000000000013E-2</v>
      </c>
      <c r="AA97" s="4">
        <v>-2.9187712324178632</v>
      </c>
      <c r="AB97" s="5">
        <v>1</v>
      </c>
      <c r="AC97" s="5">
        <v>0</v>
      </c>
      <c r="AD97" s="5">
        <v>1</v>
      </c>
      <c r="AE97" s="5">
        <v>0</v>
      </c>
      <c r="AF97" s="5">
        <v>0</v>
      </c>
      <c r="AG97" s="5">
        <v>1</v>
      </c>
      <c r="AH97" s="4">
        <v>4.5643481914678361</v>
      </c>
      <c r="AI97" s="4">
        <v>7.3425718790000003</v>
      </c>
      <c r="AJ97" s="4">
        <v>7.3145649989255208</v>
      </c>
      <c r="AK97" s="4">
        <v>2.800688007447949E-2</v>
      </c>
    </row>
    <row r="98" spans="1:37" ht="33.6" customHeight="1" x14ac:dyDescent="0.3">
      <c r="A98" s="11" t="s">
        <v>234</v>
      </c>
      <c r="B98" s="11" t="s">
        <v>235</v>
      </c>
      <c r="C98" s="11">
        <v>2026</v>
      </c>
      <c r="D98" s="11">
        <v>1</v>
      </c>
      <c r="E98" s="11">
        <v>97</v>
      </c>
      <c r="F98" s="11">
        <v>97</v>
      </c>
      <c r="G98" s="20">
        <v>1355.8193183068997</v>
      </c>
      <c r="H98" s="13">
        <v>7.2121612135359356</v>
      </c>
      <c r="I98" s="19">
        <v>1565.5435343949109</v>
      </c>
      <c r="J98" s="19">
        <v>1499.78577995301</v>
      </c>
      <c r="K98" s="13">
        <v>4.5747109785033828</v>
      </c>
      <c r="L98" s="16">
        <v>114677316000</v>
      </c>
      <c r="M98" s="16">
        <v>5361300</v>
      </c>
      <c r="N98" s="12">
        <v>21389.833808964242</v>
      </c>
      <c r="O98" s="17">
        <v>1567.1821782178217</v>
      </c>
      <c r="P98" s="13">
        <v>0.99605522682445757</v>
      </c>
      <c r="Q98" s="12">
        <v>21305.455766325333</v>
      </c>
      <c r="R98" s="13">
        <v>9.9667184581635553</v>
      </c>
      <c r="S98" s="17">
        <v>269.8</v>
      </c>
      <c r="T98" s="14">
        <v>1</v>
      </c>
      <c r="U98" s="12">
        <v>269.8</v>
      </c>
      <c r="V98" s="13">
        <v>5.5976809437736552</v>
      </c>
      <c r="W98" s="21">
        <v>7268954111.2387819</v>
      </c>
      <c r="X98" s="13">
        <v>22.706878254488934</v>
      </c>
      <c r="Y98" s="17">
        <v>5.3</v>
      </c>
      <c r="Z98" s="13">
        <v>5.2999999999999999E-2</v>
      </c>
      <c r="AA98" s="13">
        <v>-2.9374633654300153</v>
      </c>
      <c r="AB98" s="15">
        <v>1</v>
      </c>
      <c r="AC98" s="15">
        <v>0</v>
      </c>
      <c r="AD98" s="15">
        <v>1</v>
      </c>
      <c r="AE98" s="15">
        <v>0</v>
      </c>
      <c r="AF98" s="15">
        <v>0</v>
      </c>
      <c r="AG98" s="15">
        <v>0</v>
      </c>
      <c r="AH98" s="13">
        <v>4.5747109785033828</v>
      </c>
      <c r="AI98" s="18">
        <v>7.3559883490000004</v>
      </c>
      <c r="AJ98" s="18">
        <v>7.3130775635268419</v>
      </c>
      <c r="AK98" s="13">
        <v>4.2910785473158519E-2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98"/>
  <sheetViews>
    <sheetView topLeftCell="D61" workbookViewId="0">
      <selection activeCell="Q98" sqref="Q98"/>
    </sheetView>
  </sheetViews>
  <sheetFormatPr defaultRowHeight="14.4" x14ac:dyDescent="0.3"/>
  <cols>
    <col min="1" max="11" width="14" customWidth="1"/>
    <col min="12" max="12" width="20" customWidth="1"/>
    <col min="13" max="13" width="17" customWidth="1"/>
    <col min="14" max="14" width="21" customWidth="1"/>
    <col min="15" max="15" width="17" customWidth="1"/>
    <col min="16" max="16" width="14" customWidth="1"/>
    <col min="17" max="17" width="30" customWidth="1"/>
    <col min="18" max="18" width="21" customWidth="1"/>
    <col min="19" max="19" width="30" customWidth="1"/>
    <col min="20" max="21" width="23" customWidth="1"/>
    <col min="22" max="23" width="30" customWidth="1"/>
    <col min="24" max="24" width="26" customWidth="1"/>
    <col min="25" max="26" width="30" customWidth="1"/>
    <col min="27" max="29" width="14" customWidth="1"/>
    <col min="30" max="30" width="17" customWidth="1"/>
    <col min="31" max="32" width="14" customWidth="1"/>
    <col min="33" max="34" width="18" customWidth="1"/>
    <col min="35" max="35" width="29" customWidth="1"/>
    <col min="36" max="36" width="20" customWidth="1"/>
    <col min="37" max="38" width="16" customWidth="1"/>
    <col min="39" max="39" width="19" customWidth="1"/>
    <col min="40" max="40" width="14" customWidth="1"/>
    <col min="41" max="41" width="29" customWidth="1"/>
    <col min="42" max="43" width="28" customWidth="1"/>
    <col min="44" max="46" width="30" customWidth="1"/>
    <col min="47" max="47" width="20" customWidth="1"/>
    <col min="48" max="49" width="19" customWidth="1"/>
  </cols>
  <sheetData>
    <row r="1" spans="1:4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238</v>
      </c>
      <c r="P1" s="1" t="s">
        <v>239</v>
      </c>
      <c r="Q1" s="1" t="s">
        <v>240</v>
      </c>
      <c r="R1" s="1" t="s">
        <v>19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246</v>
      </c>
      <c r="Y1" s="1" t="s">
        <v>247</v>
      </c>
      <c r="Z1" s="1" t="s">
        <v>248</v>
      </c>
      <c r="AA1" s="1" t="s">
        <v>30</v>
      </c>
      <c r="AB1" s="1" t="s">
        <v>31</v>
      </c>
      <c r="AC1" s="1" t="s">
        <v>32</v>
      </c>
      <c r="AD1" s="1" t="s">
        <v>29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258</v>
      </c>
      <c r="AT1" s="1" t="s">
        <v>259</v>
      </c>
      <c r="AU1" s="1" t="s">
        <v>260</v>
      </c>
      <c r="AV1" s="1" t="s">
        <v>261</v>
      </c>
      <c r="AW1" s="1" t="s">
        <v>262</v>
      </c>
    </row>
    <row r="2" spans="1:49" x14ac:dyDescent="0.3">
      <c r="A2" s="2" t="s">
        <v>39</v>
      </c>
      <c r="B2" s="2" t="s">
        <v>40</v>
      </c>
      <c r="C2" s="2">
        <v>2002</v>
      </c>
      <c r="D2" s="2">
        <v>1</v>
      </c>
      <c r="E2" s="2">
        <v>1</v>
      </c>
      <c r="F2" s="2">
        <v>1</v>
      </c>
      <c r="G2" s="6">
        <v>0</v>
      </c>
      <c r="H2" s="5"/>
      <c r="I2" s="5"/>
      <c r="J2" s="5"/>
      <c r="K2" s="4">
        <v>0</v>
      </c>
      <c r="L2" s="6">
        <v>32976000000</v>
      </c>
      <c r="M2" s="7">
        <v>835</v>
      </c>
      <c r="N2" s="4">
        <v>1.869461077844311</v>
      </c>
      <c r="O2" s="10">
        <v>61647348502.994019</v>
      </c>
      <c r="P2" s="4">
        <v>24.844696056759091</v>
      </c>
      <c r="Q2" s="7">
        <v>61.452198322581232</v>
      </c>
      <c r="R2" s="8">
        <v>1.8418156808803301</v>
      </c>
      <c r="S2" s="3">
        <v>113.18362249509801</v>
      </c>
      <c r="T2" s="4">
        <v>4.729011477697127</v>
      </c>
      <c r="U2" s="6">
        <v>0</v>
      </c>
      <c r="V2" s="3">
        <v>0</v>
      </c>
      <c r="W2" s="3">
        <v>0</v>
      </c>
      <c r="X2" s="4">
        <v>0</v>
      </c>
      <c r="Y2" s="3">
        <v>0</v>
      </c>
      <c r="Z2" s="4">
        <v>0</v>
      </c>
      <c r="AA2" s="5">
        <v>0</v>
      </c>
      <c r="AB2" s="5">
        <v>0</v>
      </c>
      <c r="AC2" s="5">
        <v>0</v>
      </c>
      <c r="AD2" s="5">
        <v>0</v>
      </c>
      <c r="AE2" s="9" t="s">
        <v>41</v>
      </c>
      <c r="AF2" s="9" t="s">
        <v>42</v>
      </c>
      <c r="AG2" s="5"/>
      <c r="AH2" s="5"/>
      <c r="AI2" s="5"/>
      <c r="AJ2" s="4">
        <v>0</v>
      </c>
      <c r="AK2" s="4">
        <v>0</v>
      </c>
      <c r="AL2" s="4">
        <v>0</v>
      </c>
      <c r="AM2" s="4">
        <v>0</v>
      </c>
      <c r="AN2" s="5">
        <v>1</v>
      </c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3">
      <c r="A3" s="2" t="s">
        <v>43</v>
      </c>
      <c r="B3" s="2" t="s">
        <v>44</v>
      </c>
      <c r="C3" s="2">
        <v>2002</v>
      </c>
      <c r="D3" s="2">
        <v>2</v>
      </c>
      <c r="E3" s="2">
        <v>2</v>
      </c>
      <c r="F3" s="2">
        <v>2</v>
      </c>
      <c r="G3" s="6">
        <v>0</v>
      </c>
      <c r="H3" s="5"/>
      <c r="I3" s="10">
        <v>0</v>
      </c>
      <c r="J3" s="5"/>
      <c r="K3" s="4">
        <v>0.69314718055994529</v>
      </c>
      <c r="L3" s="6">
        <v>32897000000</v>
      </c>
      <c r="M3" s="7">
        <v>825</v>
      </c>
      <c r="N3" s="4">
        <v>1.8921212121212121</v>
      </c>
      <c r="O3" s="10">
        <v>62245111515.151512</v>
      </c>
      <c r="P3" s="4">
        <v>24.854345839330509</v>
      </c>
      <c r="Q3" s="7">
        <v>65.599999978379984</v>
      </c>
      <c r="R3" s="8">
        <v>1.8242506811989101</v>
      </c>
      <c r="S3" s="3">
        <v>119.6708446472082</v>
      </c>
      <c r="T3" s="4">
        <v>4.7847450126971269</v>
      </c>
      <c r="U3" s="6">
        <v>0</v>
      </c>
      <c r="V3" s="3">
        <v>0</v>
      </c>
      <c r="W3" s="3">
        <v>0</v>
      </c>
      <c r="X3" s="4">
        <v>0</v>
      </c>
      <c r="Y3" s="3">
        <v>0</v>
      </c>
      <c r="Z3" s="4">
        <v>0</v>
      </c>
      <c r="AA3" s="5">
        <v>1</v>
      </c>
      <c r="AB3" s="5">
        <v>0</v>
      </c>
      <c r="AC3" s="5">
        <v>0</v>
      </c>
      <c r="AD3" s="5">
        <v>0</v>
      </c>
      <c r="AE3" s="9" t="s">
        <v>41</v>
      </c>
      <c r="AF3" s="9" t="s">
        <v>42</v>
      </c>
      <c r="AG3" s="5"/>
      <c r="AH3" s="5"/>
      <c r="AI3" s="5"/>
      <c r="AJ3" s="4">
        <v>0</v>
      </c>
      <c r="AK3" s="4">
        <v>0</v>
      </c>
      <c r="AL3" s="4">
        <v>0</v>
      </c>
      <c r="AM3" s="4">
        <v>0</v>
      </c>
      <c r="AN3" s="5">
        <v>2</v>
      </c>
      <c r="AO3" s="4">
        <v>5.573353499999989E-2</v>
      </c>
      <c r="AP3" s="4">
        <v>4.729011477697127</v>
      </c>
      <c r="AQ3" s="5"/>
      <c r="AR3" s="4">
        <v>0</v>
      </c>
      <c r="AS3" s="4">
        <v>0</v>
      </c>
      <c r="AT3" s="5"/>
      <c r="AU3" s="4">
        <v>9.6497825714223495E-3</v>
      </c>
      <c r="AV3" s="4">
        <v>24.844696056759091</v>
      </c>
      <c r="AW3" s="5"/>
    </row>
    <row r="4" spans="1:49" x14ac:dyDescent="0.3">
      <c r="A4" s="2" t="s">
        <v>45</v>
      </c>
      <c r="B4" s="2" t="s">
        <v>46</v>
      </c>
      <c r="C4" s="2">
        <v>2002</v>
      </c>
      <c r="D4" s="2">
        <v>3</v>
      </c>
      <c r="E4" s="2">
        <v>3</v>
      </c>
      <c r="F4" s="2">
        <v>3</v>
      </c>
      <c r="G4" s="6">
        <v>0</v>
      </c>
      <c r="H4" s="5"/>
      <c r="I4" s="10">
        <v>0</v>
      </c>
      <c r="J4" s="5"/>
      <c r="K4" s="4">
        <v>1.09861228866811</v>
      </c>
      <c r="L4" s="6">
        <v>33866000000</v>
      </c>
      <c r="M4" s="7">
        <v>832</v>
      </c>
      <c r="N4" s="4">
        <v>1.8762019230769229</v>
      </c>
      <c r="O4" s="10">
        <v>63539454326.92308</v>
      </c>
      <c r="P4" s="4">
        <v>24.87492687788378</v>
      </c>
      <c r="Q4" s="7">
        <v>64.499999987403186</v>
      </c>
      <c r="R4" s="8">
        <v>1.814363143631436</v>
      </c>
      <c r="S4" s="3">
        <v>117.0264227413724</v>
      </c>
      <c r="T4" s="4">
        <v>4.7623997446971273</v>
      </c>
      <c r="U4" s="6">
        <v>0</v>
      </c>
      <c r="V4" s="3">
        <v>0</v>
      </c>
      <c r="W4" s="3">
        <v>0</v>
      </c>
      <c r="X4" s="4">
        <v>0</v>
      </c>
      <c r="Y4" s="3">
        <v>0</v>
      </c>
      <c r="Z4" s="4">
        <v>0</v>
      </c>
      <c r="AA4" s="5">
        <v>0</v>
      </c>
      <c r="AB4" s="5">
        <v>1</v>
      </c>
      <c r="AC4" s="5">
        <v>0</v>
      </c>
      <c r="AD4" s="5">
        <v>0</v>
      </c>
      <c r="AE4" s="9" t="s">
        <v>41</v>
      </c>
      <c r="AF4" s="9" t="s">
        <v>42</v>
      </c>
      <c r="AG4" s="5"/>
      <c r="AH4" s="5"/>
      <c r="AI4" s="5"/>
      <c r="AJ4" s="4">
        <v>0</v>
      </c>
      <c r="AK4" s="4">
        <v>0</v>
      </c>
      <c r="AL4" s="4">
        <v>0</v>
      </c>
      <c r="AM4" s="4">
        <v>0</v>
      </c>
      <c r="AN4" s="5">
        <v>3</v>
      </c>
      <c r="AO4" s="4">
        <v>-2.2345267999999589E-2</v>
      </c>
      <c r="AP4" s="4">
        <v>4.7847450126971269</v>
      </c>
      <c r="AQ4" s="5"/>
      <c r="AR4" s="4">
        <v>0</v>
      </c>
      <c r="AS4" s="4">
        <v>0</v>
      </c>
      <c r="AT4" s="5"/>
      <c r="AU4" s="4">
        <v>2.0581038553270758E-2</v>
      </c>
      <c r="AV4" s="4">
        <v>24.854345839330509</v>
      </c>
      <c r="AW4" s="5"/>
    </row>
    <row r="5" spans="1:49" x14ac:dyDescent="0.3">
      <c r="A5" s="2" t="s">
        <v>47</v>
      </c>
      <c r="B5" s="2" t="s">
        <v>48</v>
      </c>
      <c r="C5" s="2">
        <v>2002</v>
      </c>
      <c r="D5" s="2">
        <v>4</v>
      </c>
      <c r="E5" s="2">
        <v>4</v>
      </c>
      <c r="F5" s="2">
        <v>4</v>
      </c>
      <c r="G5" s="6">
        <v>0</v>
      </c>
      <c r="H5" s="5"/>
      <c r="I5" s="10">
        <v>0</v>
      </c>
      <c r="J5" s="5"/>
      <c r="K5" s="4">
        <v>1.386294361119891</v>
      </c>
      <c r="L5" s="6">
        <v>33950000000</v>
      </c>
      <c r="M5" s="7">
        <v>820</v>
      </c>
      <c r="N5" s="4">
        <v>1.903658536585366</v>
      </c>
      <c r="O5" s="10">
        <v>64629207317.073174</v>
      </c>
      <c r="P5" s="4">
        <v>24.891932271208251</v>
      </c>
      <c r="Q5" s="7">
        <v>65.399999981045895</v>
      </c>
      <c r="R5" s="8">
        <v>1.8045822102425879</v>
      </c>
      <c r="S5" s="3">
        <v>118.019676515661</v>
      </c>
      <c r="T5" s="4">
        <v>4.7708513606971268</v>
      </c>
      <c r="U5" s="6">
        <v>0</v>
      </c>
      <c r="V5" s="3">
        <v>0</v>
      </c>
      <c r="W5" s="3">
        <v>0</v>
      </c>
      <c r="X5" s="4">
        <v>0</v>
      </c>
      <c r="Y5" s="3">
        <v>0</v>
      </c>
      <c r="Z5" s="4">
        <v>0</v>
      </c>
      <c r="AA5" s="5">
        <v>0</v>
      </c>
      <c r="AB5" s="5">
        <v>0</v>
      </c>
      <c r="AC5" s="5">
        <v>1</v>
      </c>
      <c r="AD5" s="5">
        <v>0</v>
      </c>
      <c r="AE5" s="9" t="s">
        <v>41</v>
      </c>
      <c r="AF5" s="9" t="s">
        <v>42</v>
      </c>
      <c r="AG5" s="5"/>
      <c r="AH5" s="5"/>
      <c r="AI5" s="5"/>
      <c r="AJ5" s="4">
        <v>0</v>
      </c>
      <c r="AK5" s="4">
        <v>0</v>
      </c>
      <c r="AL5" s="4">
        <v>0</v>
      </c>
      <c r="AM5" s="4">
        <v>0</v>
      </c>
      <c r="AN5" s="5">
        <v>4</v>
      </c>
      <c r="AO5" s="4">
        <v>8.45161599999944E-3</v>
      </c>
      <c r="AP5" s="4">
        <v>4.7623997446971273</v>
      </c>
      <c r="AQ5" s="5"/>
      <c r="AR5" s="4">
        <v>0</v>
      </c>
      <c r="AS5" s="4">
        <v>0</v>
      </c>
      <c r="AT5" s="5"/>
      <c r="AU5" s="4">
        <v>1.7005393324467381E-2</v>
      </c>
      <c r="AV5" s="4">
        <v>24.87492687788378</v>
      </c>
      <c r="AW5" s="5"/>
    </row>
    <row r="6" spans="1:49" x14ac:dyDescent="0.3">
      <c r="A6" s="2" t="s">
        <v>49</v>
      </c>
      <c r="B6" s="2" t="s">
        <v>50</v>
      </c>
      <c r="C6" s="2">
        <v>2003</v>
      </c>
      <c r="D6" s="2">
        <v>1</v>
      </c>
      <c r="E6" s="2">
        <v>5</v>
      </c>
      <c r="F6" s="2">
        <v>5</v>
      </c>
      <c r="G6" s="6">
        <v>0</v>
      </c>
      <c r="H6" s="5"/>
      <c r="I6" s="10">
        <v>0</v>
      </c>
      <c r="J6" s="10">
        <v>0</v>
      </c>
      <c r="K6" s="4">
        <v>1.6094379124341001</v>
      </c>
      <c r="L6" s="6">
        <v>34462000000</v>
      </c>
      <c r="M6" s="7">
        <v>828</v>
      </c>
      <c r="N6" s="4">
        <v>1.8852657004830919</v>
      </c>
      <c r="O6" s="10">
        <v>64970026570.048309</v>
      </c>
      <c r="P6" s="4">
        <v>24.897191870797489</v>
      </c>
      <c r="Q6" s="7">
        <v>70.799999977757452</v>
      </c>
      <c r="R6" s="8">
        <v>1.7973154362416111</v>
      </c>
      <c r="S6" s="3">
        <v>127.24993284592919</v>
      </c>
      <c r="T6" s="4">
        <v>4.8461531276971268</v>
      </c>
      <c r="U6" s="6">
        <v>0</v>
      </c>
      <c r="V6" s="3">
        <v>0</v>
      </c>
      <c r="W6" s="3">
        <v>0</v>
      </c>
      <c r="X6" s="4">
        <v>0</v>
      </c>
      <c r="Y6" s="3">
        <v>0</v>
      </c>
      <c r="Z6" s="4">
        <v>0</v>
      </c>
      <c r="AA6" s="5">
        <v>0</v>
      </c>
      <c r="AB6" s="5">
        <v>0</v>
      </c>
      <c r="AC6" s="5">
        <v>0</v>
      </c>
      <c r="AD6" s="5">
        <v>0</v>
      </c>
      <c r="AE6" s="9" t="s">
        <v>41</v>
      </c>
      <c r="AF6" s="9" t="s">
        <v>42</v>
      </c>
      <c r="AG6" s="5"/>
      <c r="AH6" s="5"/>
      <c r="AI6" s="5"/>
      <c r="AJ6" s="4">
        <v>0</v>
      </c>
      <c r="AK6" s="4">
        <v>0</v>
      </c>
      <c r="AL6" s="4">
        <v>0</v>
      </c>
      <c r="AM6" s="4">
        <v>0</v>
      </c>
      <c r="AN6" s="5">
        <v>5</v>
      </c>
      <c r="AO6" s="4">
        <v>7.5301767000000019E-2</v>
      </c>
      <c r="AP6" s="4">
        <v>4.7708513606971268</v>
      </c>
      <c r="AQ6" s="4">
        <v>4.729011477697127</v>
      </c>
      <c r="AR6" s="4">
        <v>0</v>
      </c>
      <c r="AS6" s="4">
        <v>0</v>
      </c>
      <c r="AT6" s="4">
        <v>0</v>
      </c>
      <c r="AU6" s="4">
        <v>5.2595995892410494E-3</v>
      </c>
      <c r="AV6" s="4">
        <v>24.891932271208251</v>
      </c>
      <c r="AW6" s="4">
        <v>24.844696056759091</v>
      </c>
    </row>
    <row r="7" spans="1:49" x14ac:dyDescent="0.3">
      <c r="A7" s="2" t="s">
        <v>51</v>
      </c>
      <c r="B7" s="2" t="s">
        <v>52</v>
      </c>
      <c r="C7" s="2">
        <v>2003</v>
      </c>
      <c r="D7" s="2">
        <v>2</v>
      </c>
      <c r="E7" s="2">
        <v>6</v>
      </c>
      <c r="F7" s="2">
        <v>6</v>
      </c>
      <c r="G7" s="6">
        <v>0</v>
      </c>
      <c r="H7" s="5"/>
      <c r="I7" s="10">
        <v>0</v>
      </c>
      <c r="J7" s="10">
        <v>0</v>
      </c>
      <c r="K7" s="4">
        <v>1.791759469228055</v>
      </c>
      <c r="L7" s="6">
        <v>34938000000</v>
      </c>
      <c r="M7" s="7">
        <v>836</v>
      </c>
      <c r="N7" s="4">
        <v>1.8672248803827749</v>
      </c>
      <c r="O7" s="10">
        <v>65237102870.8134</v>
      </c>
      <c r="P7" s="4">
        <v>24.901294206460179</v>
      </c>
      <c r="Q7" s="7">
        <v>59.300000022642791</v>
      </c>
      <c r="R7" s="8">
        <v>1.7973154362416111</v>
      </c>
      <c r="S7" s="3">
        <v>106.5808054098238</v>
      </c>
      <c r="T7" s="4">
        <v>4.6689034336971273</v>
      </c>
      <c r="U7" s="6">
        <v>0</v>
      </c>
      <c r="V7" s="3">
        <v>0</v>
      </c>
      <c r="W7" s="3">
        <v>0</v>
      </c>
      <c r="X7" s="4">
        <v>0</v>
      </c>
      <c r="Y7" s="3">
        <v>0</v>
      </c>
      <c r="Z7" s="4">
        <v>0</v>
      </c>
      <c r="AA7" s="5">
        <v>1</v>
      </c>
      <c r="AB7" s="5">
        <v>0</v>
      </c>
      <c r="AC7" s="5">
        <v>0</v>
      </c>
      <c r="AD7" s="5">
        <v>0</v>
      </c>
      <c r="AE7" s="9" t="s">
        <v>41</v>
      </c>
      <c r="AF7" s="9" t="s">
        <v>42</v>
      </c>
      <c r="AG7" s="5"/>
      <c r="AH7" s="5"/>
      <c r="AI7" s="5"/>
      <c r="AJ7" s="4">
        <v>0</v>
      </c>
      <c r="AK7" s="4">
        <v>0</v>
      </c>
      <c r="AL7" s="4">
        <v>0</v>
      </c>
      <c r="AM7" s="4">
        <v>0</v>
      </c>
      <c r="AN7" s="5">
        <v>6</v>
      </c>
      <c r="AO7" s="4">
        <v>-0.17724969399999951</v>
      </c>
      <c r="AP7" s="4">
        <v>4.8461531276971268</v>
      </c>
      <c r="AQ7" s="4">
        <v>4.7847450126971269</v>
      </c>
      <c r="AR7" s="4">
        <v>0</v>
      </c>
      <c r="AS7" s="4">
        <v>0</v>
      </c>
      <c r="AT7" s="4">
        <v>0</v>
      </c>
      <c r="AU7" s="4">
        <v>4.1023356626865848E-3</v>
      </c>
      <c r="AV7" s="4">
        <v>24.897191870797489</v>
      </c>
      <c r="AW7" s="4">
        <v>24.854345839330509</v>
      </c>
    </row>
    <row r="8" spans="1:49" x14ac:dyDescent="0.3">
      <c r="A8" s="2" t="s">
        <v>53</v>
      </c>
      <c r="B8" s="2" t="s">
        <v>54</v>
      </c>
      <c r="C8" s="2">
        <v>2003</v>
      </c>
      <c r="D8" s="2">
        <v>3</v>
      </c>
      <c r="E8" s="2">
        <v>7</v>
      </c>
      <c r="F8" s="2">
        <v>7</v>
      </c>
      <c r="G8" s="6">
        <v>0</v>
      </c>
      <c r="H8" s="5"/>
      <c r="I8" s="10">
        <v>0</v>
      </c>
      <c r="J8" s="10">
        <v>0</v>
      </c>
      <c r="K8" s="4">
        <v>1.945910149055313</v>
      </c>
      <c r="L8" s="6">
        <v>35703000000</v>
      </c>
      <c r="M8" s="7">
        <v>841</v>
      </c>
      <c r="N8" s="4">
        <v>1.8561236623067781</v>
      </c>
      <c r="O8" s="10">
        <v>66269183115.338882</v>
      </c>
      <c r="P8" s="4">
        <v>24.916990816357309</v>
      </c>
      <c r="Q8" s="7">
        <v>60.199999979872523</v>
      </c>
      <c r="R8" s="8">
        <v>1.7901069518716579</v>
      </c>
      <c r="S8" s="3">
        <v>107.7644384666435</v>
      </c>
      <c r="T8" s="4">
        <v>4.6799477196971271</v>
      </c>
      <c r="U8" s="6">
        <v>0</v>
      </c>
      <c r="V8" s="3">
        <v>0</v>
      </c>
      <c r="W8" s="3">
        <v>0</v>
      </c>
      <c r="X8" s="4">
        <v>0</v>
      </c>
      <c r="Y8" s="3">
        <v>0</v>
      </c>
      <c r="Z8" s="4">
        <v>0</v>
      </c>
      <c r="AA8" s="5">
        <v>0</v>
      </c>
      <c r="AB8" s="5">
        <v>1</v>
      </c>
      <c r="AC8" s="5">
        <v>0</v>
      </c>
      <c r="AD8" s="5">
        <v>0</v>
      </c>
      <c r="AE8" s="9" t="s">
        <v>41</v>
      </c>
      <c r="AF8" s="9" t="s">
        <v>42</v>
      </c>
      <c r="AG8" s="5"/>
      <c r="AH8" s="5"/>
      <c r="AI8" s="5"/>
      <c r="AJ8" s="4">
        <v>0</v>
      </c>
      <c r="AK8" s="4">
        <v>0</v>
      </c>
      <c r="AL8" s="4">
        <v>0</v>
      </c>
      <c r="AM8" s="4">
        <v>0</v>
      </c>
      <c r="AN8" s="5">
        <v>7</v>
      </c>
      <c r="AO8" s="4">
        <v>1.104428599999974E-2</v>
      </c>
      <c r="AP8" s="4">
        <v>4.6689034336971273</v>
      </c>
      <c r="AQ8" s="4">
        <v>4.7623997446971273</v>
      </c>
      <c r="AR8" s="4">
        <v>0</v>
      </c>
      <c r="AS8" s="4">
        <v>0</v>
      </c>
      <c r="AT8" s="4">
        <v>0</v>
      </c>
      <c r="AU8" s="4">
        <v>1.569660989713029E-2</v>
      </c>
      <c r="AV8" s="4">
        <v>24.901294206460179</v>
      </c>
      <c r="AW8" s="4">
        <v>24.87492687788378</v>
      </c>
    </row>
    <row r="9" spans="1:49" x14ac:dyDescent="0.3">
      <c r="A9" s="2" t="s">
        <v>55</v>
      </c>
      <c r="B9" s="2" t="s">
        <v>56</v>
      </c>
      <c r="C9" s="2">
        <v>2003</v>
      </c>
      <c r="D9" s="2">
        <v>4</v>
      </c>
      <c r="E9" s="2">
        <v>8</v>
      </c>
      <c r="F9" s="2">
        <v>8</v>
      </c>
      <c r="G9" s="6">
        <v>0</v>
      </c>
      <c r="H9" s="5"/>
      <c r="I9" s="10">
        <v>0</v>
      </c>
      <c r="J9" s="10">
        <v>0</v>
      </c>
      <c r="K9" s="4">
        <v>2.0794415416798362</v>
      </c>
      <c r="L9" s="6">
        <v>36381000000</v>
      </c>
      <c r="M9" s="7">
        <v>847</v>
      </c>
      <c r="N9" s="4">
        <v>1.8429752066115701</v>
      </c>
      <c r="O9" s="10">
        <v>67049280991.735542</v>
      </c>
      <c r="P9" s="4">
        <v>24.928693723152549</v>
      </c>
      <c r="Q9" s="7">
        <v>58.200000016093398</v>
      </c>
      <c r="R9" s="8">
        <v>1.7758620689655169</v>
      </c>
      <c r="S9" s="3">
        <v>103.3551724423728</v>
      </c>
      <c r="T9" s="4">
        <v>4.6381713326971266</v>
      </c>
      <c r="U9" s="6">
        <v>0</v>
      </c>
      <c r="V9" s="3">
        <v>0</v>
      </c>
      <c r="W9" s="3">
        <v>0</v>
      </c>
      <c r="X9" s="4">
        <v>0</v>
      </c>
      <c r="Y9" s="3">
        <v>0</v>
      </c>
      <c r="Z9" s="4">
        <v>0</v>
      </c>
      <c r="AA9" s="5">
        <v>0</v>
      </c>
      <c r="AB9" s="5">
        <v>0</v>
      </c>
      <c r="AC9" s="5">
        <v>1</v>
      </c>
      <c r="AD9" s="5">
        <v>0</v>
      </c>
      <c r="AE9" s="9" t="s">
        <v>41</v>
      </c>
      <c r="AF9" s="9" t="s">
        <v>42</v>
      </c>
      <c r="AG9" s="5"/>
      <c r="AH9" s="5"/>
      <c r="AI9" s="5"/>
      <c r="AJ9" s="4">
        <v>0</v>
      </c>
      <c r="AK9" s="4">
        <v>0</v>
      </c>
      <c r="AL9" s="4">
        <v>0</v>
      </c>
      <c r="AM9" s="4">
        <v>0</v>
      </c>
      <c r="AN9" s="5">
        <v>8</v>
      </c>
      <c r="AO9" s="4">
        <v>-4.1776386999999637E-2</v>
      </c>
      <c r="AP9" s="4">
        <v>4.6799477196971271</v>
      </c>
      <c r="AQ9" s="4">
        <v>4.7708513606971268</v>
      </c>
      <c r="AR9" s="4">
        <v>0</v>
      </c>
      <c r="AS9" s="4">
        <v>0</v>
      </c>
      <c r="AT9" s="4">
        <v>0</v>
      </c>
      <c r="AU9" s="4">
        <v>1.1702906795243001E-2</v>
      </c>
      <c r="AV9" s="4">
        <v>24.916990816357309</v>
      </c>
      <c r="AW9" s="4">
        <v>24.891932271208251</v>
      </c>
    </row>
    <row r="10" spans="1:49" x14ac:dyDescent="0.3">
      <c r="A10" s="2" t="s">
        <v>57</v>
      </c>
      <c r="B10" s="2" t="s">
        <v>58</v>
      </c>
      <c r="C10" s="2">
        <v>2004</v>
      </c>
      <c r="D10" s="2">
        <v>1</v>
      </c>
      <c r="E10" s="2">
        <v>9</v>
      </c>
      <c r="F10" s="2">
        <v>9</v>
      </c>
      <c r="G10" s="6">
        <v>0</v>
      </c>
      <c r="H10" s="5"/>
      <c r="I10" s="10">
        <v>0</v>
      </c>
      <c r="J10" s="10">
        <v>0</v>
      </c>
      <c r="K10" s="4">
        <v>2.19722457733622</v>
      </c>
      <c r="L10" s="6">
        <v>37466000000</v>
      </c>
      <c r="M10" s="7">
        <v>850</v>
      </c>
      <c r="N10" s="4">
        <v>1.8364705882352941</v>
      </c>
      <c r="O10" s="10">
        <v>68805207058.823532</v>
      </c>
      <c r="P10" s="4">
        <v>24.95454526301635</v>
      </c>
      <c r="Q10" s="7">
        <v>63.699999991418728</v>
      </c>
      <c r="R10" s="8">
        <v>1.768824306472919</v>
      </c>
      <c r="S10" s="3">
        <v>112.6741083071462</v>
      </c>
      <c r="T10" s="4">
        <v>4.7244996546971274</v>
      </c>
      <c r="U10" s="6">
        <v>0</v>
      </c>
      <c r="V10" s="3">
        <v>0</v>
      </c>
      <c r="W10" s="3">
        <v>0</v>
      </c>
      <c r="X10" s="4">
        <v>0</v>
      </c>
      <c r="Y10" s="3">
        <v>0</v>
      </c>
      <c r="Z10" s="4">
        <v>0</v>
      </c>
      <c r="AA10" s="5">
        <v>0</v>
      </c>
      <c r="AB10" s="5">
        <v>0</v>
      </c>
      <c r="AC10" s="5">
        <v>0</v>
      </c>
      <c r="AD10" s="5">
        <v>0</v>
      </c>
      <c r="AE10" s="9" t="s">
        <v>41</v>
      </c>
      <c r="AF10" s="9" t="s">
        <v>42</v>
      </c>
      <c r="AG10" s="5"/>
      <c r="AH10" s="5"/>
      <c r="AI10" s="5"/>
      <c r="AJ10" s="4">
        <v>0</v>
      </c>
      <c r="AK10" s="4">
        <v>0</v>
      </c>
      <c r="AL10" s="4">
        <v>0</v>
      </c>
      <c r="AM10" s="4">
        <v>0</v>
      </c>
      <c r="AN10" s="5">
        <v>9</v>
      </c>
      <c r="AO10" s="4">
        <v>8.6328321999999957E-2</v>
      </c>
      <c r="AP10" s="4">
        <v>4.6381713326971266</v>
      </c>
      <c r="AQ10" s="4">
        <v>4.8461531276971268</v>
      </c>
      <c r="AR10" s="4">
        <v>0</v>
      </c>
      <c r="AS10" s="4">
        <v>0</v>
      </c>
      <c r="AT10" s="4">
        <v>0</v>
      </c>
      <c r="AU10" s="4">
        <v>2.5851539863797509E-2</v>
      </c>
      <c r="AV10" s="4">
        <v>24.928693723152549</v>
      </c>
      <c r="AW10" s="4">
        <v>24.897191870797489</v>
      </c>
    </row>
    <row r="11" spans="1:49" x14ac:dyDescent="0.3">
      <c r="A11" s="2" t="s">
        <v>59</v>
      </c>
      <c r="B11" s="2" t="s">
        <v>60</v>
      </c>
      <c r="C11" s="2">
        <v>2004</v>
      </c>
      <c r="D11" s="2">
        <v>2</v>
      </c>
      <c r="E11" s="2">
        <v>10</v>
      </c>
      <c r="F11" s="2">
        <v>10</v>
      </c>
      <c r="G11" s="6">
        <v>0</v>
      </c>
      <c r="H11" s="5"/>
      <c r="I11" s="10">
        <v>0</v>
      </c>
      <c r="J11" s="10">
        <v>0</v>
      </c>
      <c r="K11" s="4">
        <v>2.3025850929940459</v>
      </c>
      <c r="L11" s="6">
        <v>38019000000</v>
      </c>
      <c r="M11" s="7">
        <v>862</v>
      </c>
      <c r="N11" s="4">
        <v>1.8109048723897909</v>
      </c>
      <c r="O11" s="10">
        <v>68848792343.387466</v>
      </c>
      <c r="P11" s="4">
        <v>24.955178521566189</v>
      </c>
      <c r="Q11" s="7">
        <v>71.600000023184933</v>
      </c>
      <c r="R11" s="8">
        <v>1.7549148099606811</v>
      </c>
      <c r="S11" s="3">
        <v>125.6519004338724</v>
      </c>
      <c r="T11" s="4">
        <v>4.8335153886971272</v>
      </c>
      <c r="U11" s="6">
        <v>0</v>
      </c>
      <c r="V11" s="3">
        <v>0</v>
      </c>
      <c r="W11" s="3">
        <v>0</v>
      </c>
      <c r="X11" s="4">
        <v>0</v>
      </c>
      <c r="Y11" s="3">
        <v>0</v>
      </c>
      <c r="Z11" s="4">
        <v>0</v>
      </c>
      <c r="AA11" s="5">
        <v>1</v>
      </c>
      <c r="AB11" s="5">
        <v>0</v>
      </c>
      <c r="AC11" s="5">
        <v>0</v>
      </c>
      <c r="AD11" s="5">
        <v>0</v>
      </c>
      <c r="AE11" s="9" t="s">
        <v>41</v>
      </c>
      <c r="AF11" s="9" t="s">
        <v>42</v>
      </c>
      <c r="AG11" s="5"/>
      <c r="AH11" s="5"/>
      <c r="AI11" s="5"/>
      <c r="AJ11" s="4">
        <v>0</v>
      </c>
      <c r="AK11" s="4">
        <v>0</v>
      </c>
      <c r="AL11" s="4">
        <v>0</v>
      </c>
      <c r="AM11" s="4">
        <v>0</v>
      </c>
      <c r="AN11" s="5">
        <v>10</v>
      </c>
      <c r="AO11" s="4">
        <v>0.10901573399999979</v>
      </c>
      <c r="AP11" s="4">
        <v>4.7244996546971274</v>
      </c>
      <c r="AQ11" s="4">
        <v>4.6689034336971273</v>
      </c>
      <c r="AR11" s="4">
        <v>0</v>
      </c>
      <c r="AS11" s="4">
        <v>0</v>
      </c>
      <c r="AT11" s="4">
        <v>0</v>
      </c>
      <c r="AU11" s="4">
        <v>6.3325854983631302E-4</v>
      </c>
      <c r="AV11" s="4">
        <v>24.95454526301635</v>
      </c>
      <c r="AW11" s="4">
        <v>24.901294206460179</v>
      </c>
    </row>
    <row r="12" spans="1:49" x14ac:dyDescent="0.3">
      <c r="A12" s="2" t="s">
        <v>61</v>
      </c>
      <c r="B12" s="2" t="s">
        <v>62</v>
      </c>
      <c r="C12" s="2">
        <v>2004</v>
      </c>
      <c r="D12" s="2">
        <v>3</v>
      </c>
      <c r="E12" s="2">
        <v>11</v>
      </c>
      <c r="F12" s="2">
        <v>11</v>
      </c>
      <c r="G12" s="6">
        <v>0</v>
      </c>
      <c r="H12" s="5"/>
      <c r="I12" s="10">
        <v>0</v>
      </c>
      <c r="J12" s="10">
        <v>0</v>
      </c>
      <c r="K12" s="4">
        <v>2.3978952727983711</v>
      </c>
      <c r="L12" s="6">
        <v>38645000000</v>
      </c>
      <c r="M12" s="7">
        <v>875</v>
      </c>
      <c r="N12" s="4">
        <v>1.784</v>
      </c>
      <c r="O12" s="10">
        <v>68942680000</v>
      </c>
      <c r="P12" s="4">
        <v>24.95654127166306</v>
      </c>
      <c r="Q12" s="7">
        <v>76.400000015336246</v>
      </c>
      <c r="R12" s="8">
        <v>1.745762711864407</v>
      </c>
      <c r="S12" s="3">
        <v>133.3762712132141</v>
      </c>
      <c r="T12" s="4">
        <v>4.8931742406971273</v>
      </c>
      <c r="U12" s="6">
        <v>0</v>
      </c>
      <c r="V12" s="3">
        <v>0</v>
      </c>
      <c r="W12" s="3">
        <v>0</v>
      </c>
      <c r="X12" s="4">
        <v>0</v>
      </c>
      <c r="Y12" s="3">
        <v>0</v>
      </c>
      <c r="Z12" s="4">
        <v>0</v>
      </c>
      <c r="AA12" s="5">
        <v>0</v>
      </c>
      <c r="AB12" s="5">
        <v>1</v>
      </c>
      <c r="AC12" s="5">
        <v>0</v>
      </c>
      <c r="AD12" s="5">
        <v>0</v>
      </c>
      <c r="AE12" s="9" t="s">
        <v>41</v>
      </c>
      <c r="AF12" s="9" t="s">
        <v>42</v>
      </c>
      <c r="AG12" s="5"/>
      <c r="AH12" s="5"/>
      <c r="AI12" s="5"/>
      <c r="AJ12" s="4">
        <v>0</v>
      </c>
      <c r="AK12" s="4">
        <v>0</v>
      </c>
      <c r="AL12" s="4">
        <v>0</v>
      </c>
      <c r="AM12" s="4">
        <v>0</v>
      </c>
      <c r="AN12" s="5">
        <v>11</v>
      </c>
      <c r="AO12" s="4">
        <v>5.9658852000000102E-2</v>
      </c>
      <c r="AP12" s="4">
        <v>4.8335153886971272</v>
      </c>
      <c r="AQ12" s="4">
        <v>4.6799477196971271</v>
      </c>
      <c r="AR12" s="4">
        <v>0</v>
      </c>
      <c r="AS12" s="4">
        <v>0</v>
      </c>
      <c r="AT12" s="4">
        <v>0</v>
      </c>
      <c r="AU12" s="4">
        <v>1.3627500968773629E-3</v>
      </c>
      <c r="AV12" s="4">
        <v>24.955178521566189</v>
      </c>
      <c r="AW12" s="4">
        <v>24.916990816357309</v>
      </c>
    </row>
    <row r="13" spans="1:49" x14ac:dyDescent="0.3">
      <c r="A13" s="2" t="s">
        <v>63</v>
      </c>
      <c r="B13" s="2" t="s">
        <v>64</v>
      </c>
      <c r="C13" s="2">
        <v>2004</v>
      </c>
      <c r="D13" s="2">
        <v>4</v>
      </c>
      <c r="E13" s="2">
        <v>12</v>
      </c>
      <c r="F13" s="2">
        <v>12</v>
      </c>
      <c r="G13" s="6">
        <v>0</v>
      </c>
      <c r="H13" s="5"/>
      <c r="I13" s="10">
        <v>0</v>
      </c>
      <c r="J13" s="10">
        <v>0</v>
      </c>
      <c r="K13" s="4">
        <v>2.4849066497879999</v>
      </c>
      <c r="L13" s="6">
        <v>38871000000</v>
      </c>
      <c r="M13" s="7">
        <v>879</v>
      </c>
      <c r="N13" s="4">
        <v>1.775881683731513</v>
      </c>
      <c r="O13" s="10">
        <v>69030296928.327637</v>
      </c>
      <c r="P13" s="4">
        <v>24.957811331091449</v>
      </c>
      <c r="Q13" s="7">
        <v>80.199999977801681</v>
      </c>
      <c r="R13" s="8">
        <v>1.729974160206718</v>
      </c>
      <c r="S13" s="3">
        <v>138.74392761017631</v>
      </c>
      <c r="T13" s="4">
        <v>4.932629986697127</v>
      </c>
      <c r="U13" s="6">
        <v>0</v>
      </c>
      <c r="V13" s="3">
        <v>0</v>
      </c>
      <c r="W13" s="3">
        <v>0</v>
      </c>
      <c r="X13" s="4">
        <v>0</v>
      </c>
      <c r="Y13" s="3">
        <v>0</v>
      </c>
      <c r="Z13" s="4">
        <v>0</v>
      </c>
      <c r="AA13" s="5">
        <v>0</v>
      </c>
      <c r="AB13" s="5">
        <v>0</v>
      </c>
      <c r="AC13" s="5">
        <v>1</v>
      </c>
      <c r="AD13" s="5">
        <v>0</v>
      </c>
      <c r="AE13" s="9" t="s">
        <v>41</v>
      </c>
      <c r="AF13" s="9" t="s">
        <v>42</v>
      </c>
      <c r="AG13" s="5"/>
      <c r="AH13" s="5"/>
      <c r="AI13" s="5"/>
      <c r="AJ13" s="4">
        <v>0</v>
      </c>
      <c r="AK13" s="4">
        <v>0</v>
      </c>
      <c r="AL13" s="4">
        <v>0</v>
      </c>
      <c r="AM13" s="4">
        <v>0</v>
      </c>
      <c r="AN13" s="5">
        <v>12</v>
      </c>
      <c r="AO13" s="4">
        <v>3.9455745999999792E-2</v>
      </c>
      <c r="AP13" s="4">
        <v>4.8931742406971273</v>
      </c>
      <c r="AQ13" s="4">
        <v>4.6381713326971266</v>
      </c>
      <c r="AR13" s="4">
        <v>0</v>
      </c>
      <c r="AS13" s="4">
        <v>0</v>
      </c>
      <c r="AT13" s="4">
        <v>0</v>
      </c>
      <c r="AU13" s="4">
        <v>1.2700594283856499E-3</v>
      </c>
      <c r="AV13" s="4">
        <v>24.95654127166306</v>
      </c>
      <c r="AW13" s="4">
        <v>24.928693723152549</v>
      </c>
    </row>
    <row r="14" spans="1:49" x14ac:dyDescent="0.3">
      <c r="A14" s="2" t="s">
        <v>65</v>
      </c>
      <c r="B14" s="2" t="s">
        <v>66</v>
      </c>
      <c r="C14" s="2">
        <v>2005</v>
      </c>
      <c r="D14" s="2">
        <v>1</v>
      </c>
      <c r="E14" s="2">
        <v>13</v>
      </c>
      <c r="F14" s="2">
        <v>13</v>
      </c>
      <c r="G14" s="6">
        <v>0</v>
      </c>
      <c r="H14" s="5"/>
      <c r="I14" s="10">
        <v>0</v>
      </c>
      <c r="J14" s="10">
        <v>0</v>
      </c>
      <c r="K14" s="4">
        <v>2.5649493574615372</v>
      </c>
      <c r="L14" s="6">
        <v>39022000000</v>
      </c>
      <c r="M14" s="7">
        <v>880</v>
      </c>
      <c r="N14" s="4">
        <v>1.773863636363636</v>
      </c>
      <c r="O14" s="10">
        <v>69219706818.181824</v>
      </c>
      <c r="P14" s="4">
        <v>24.9605514396373</v>
      </c>
      <c r="Q14" s="7">
        <v>78.999999977668665</v>
      </c>
      <c r="R14" s="8">
        <v>1.721079691516709</v>
      </c>
      <c r="S14" s="3">
        <v>135.96529559138611</v>
      </c>
      <c r="T14" s="4">
        <v>4.9123996736971272</v>
      </c>
      <c r="U14" s="6">
        <v>0</v>
      </c>
      <c r="V14" s="3">
        <v>0</v>
      </c>
      <c r="W14" s="3">
        <v>0</v>
      </c>
      <c r="X14" s="4">
        <v>0</v>
      </c>
      <c r="Y14" s="3">
        <v>0</v>
      </c>
      <c r="Z14" s="4">
        <v>0</v>
      </c>
      <c r="AA14" s="5">
        <v>0</v>
      </c>
      <c r="AB14" s="5">
        <v>0</v>
      </c>
      <c r="AC14" s="5">
        <v>0</v>
      </c>
      <c r="AD14" s="5">
        <v>0</v>
      </c>
      <c r="AE14" s="9" t="s">
        <v>41</v>
      </c>
      <c r="AF14" s="9" t="s">
        <v>42</v>
      </c>
      <c r="AG14" s="5"/>
      <c r="AH14" s="5"/>
      <c r="AI14" s="5"/>
      <c r="AJ14" s="4">
        <v>0</v>
      </c>
      <c r="AK14" s="4">
        <v>0</v>
      </c>
      <c r="AL14" s="4">
        <v>0</v>
      </c>
      <c r="AM14" s="4">
        <v>0</v>
      </c>
      <c r="AN14" s="5">
        <v>13</v>
      </c>
      <c r="AO14" s="4">
        <v>-2.0230312999999889E-2</v>
      </c>
      <c r="AP14" s="4">
        <v>4.932629986697127</v>
      </c>
      <c r="AQ14" s="4">
        <v>4.7244996546971274</v>
      </c>
      <c r="AR14" s="4">
        <v>0</v>
      </c>
      <c r="AS14" s="4">
        <v>0</v>
      </c>
      <c r="AT14" s="4">
        <v>0</v>
      </c>
      <c r="AU14" s="4">
        <v>2.7401085458507168E-3</v>
      </c>
      <c r="AV14" s="4">
        <v>24.957811331091449</v>
      </c>
      <c r="AW14" s="4">
        <v>24.95454526301635</v>
      </c>
    </row>
    <row r="15" spans="1:49" x14ac:dyDescent="0.3">
      <c r="A15" s="2" t="s">
        <v>67</v>
      </c>
      <c r="B15" s="2" t="s">
        <v>68</v>
      </c>
      <c r="C15" s="2">
        <v>2005</v>
      </c>
      <c r="D15" s="2">
        <v>2</v>
      </c>
      <c r="E15" s="2">
        <v>14</v>
      </c>
      <c r="F15" s="2">
        <v>14</v>
      </c>
      <c r="G15" s="6">
        <v>0</v>
      </c>
      <c r="H15" s="5"/>
      <c r="I15" s="10">
        <v>0</v>
      </c>
      <c r="J15" s="10">
        <v>0</v>
      </c>
      <c r="K15" s="4">
        <v>2.639057329615258</v>
      </c>
      <c r="L15" s="6">
        <v>40272000000</v>
      </c>
      <c r="M15" s="7">
        <v>886</v>
      </c>
      <c r="N15" s="4">
        <v>1.7618510158013549</v>
      </c>
      <c r="O15" s="10">
        <v>70953264108.352142</v>
      </c>
      <c r="P15" s="4">
        <v>24.985287245249719</v>
      </c>
      <c r="Q15" s="7">
        <v>86.199999972994831</v>
      </c>
      <c r="R15" s="8">
        <v>1.7079081632653059</v>
      </c>
      <c r="S15" s="3">
        <v>147.22168362734701</v>
      </c>
      <c r="T15" s="4">
        <v>4.9919395026971269</v>
      </c>
      <c r="U15" s="6">
        <v>0</v>
      </c>
      <c r="V15" s="3">
        <v>0</v>
      </c>
      <c r="W15" s="3">
        <v>0</v>
      </c>
      <c r="X15" s="4">
        <v>0</v>
      </c>
      <c r="Y15" s="3">
        <v>0</v>
      </c>
      <c r="Z15" s="4">
        <v>0</v>
      </c>
      <c r="AA15" s="5">
        <v>1</v>
      </c>
      <c r="AB15" s="5">
        <v>0</v>
      </c>
      <c r="AC15" s="5">
        <v>0</v>
      </c>
      <c r="AD15" s="5">
        <v>0</v>
      </c>
      <c r="AE15" s="9" t="s">
        <v>41</v>
      </c>
      <c r="AF15" s="9" t="s">
        <v>42</v>
      </c>
      <c r="AG15" s="5"/>
      <c r="AH15" s="5"/>
      <c r="AI15" s="5"/>
      <c r="AJ15" s="4">
        <v>0</v>
      </c>
      <c r="AK15" s="4">
        <v>0</v>
      </c>
      <c r="AL15" s="4">
        <v>0</v>
      </c>
      <c r="AM15" s="4">
        <v>0</v>
      </c>
      <c r="AN15" s="5">
        <v>14</v>
      </c>
      <c r="AO15" s="4">
        <v>7.9539828999999784E-2</v>
      </c>
      <c r="AP15" s="4">
        <v>4.9123996736971272</v>
      </c>
      <c r="AQ15" s="4">
        <v>4.8335153886971272</v>
      </c>
      <c r="AR15" s="4">
        <v>0</v>
      </c>
      <c r="AS15" s="4">
        <v>0</v>
      </c>
      <c r="AT15" s="4">
        <v>0</v>
      </c>
      <c r="AU15" s="4">
        <v>2.473580561242272E-2</v>
      </c>
      <c r="AV15" s="4">
        <v>24.9605514396373</v>
      </c>
      <c r="AW15" s="4">
        <v>24.955178521566189</v>
      </c>
    </row>
    <row r="16" spans="1:49" x14ac:dyDescent="0.3">
      <c r="A16" s="2" t="s">
        <v>69</v>
      </c>
      <c r="B16" s="2" t="s">
        <v>70</v>
      </c>
      <c r="C16" s="2">
        <v>2005</v>
      </c>
      <c r="D16" s="2">
        <v>3</v>
      </c>
      <c r="E16" s="2">
        <v>15</v>
      </c>
      <c r="F16" s="2">
        <v>15</v>
      </c>
      <c r="G16" s="6">
        <v>0</v>
      </c>
      <c r="H16" s="5"/>
      <c r="I16" s="10">
        <v>0</v>
      </c>
      <c r="J16" s="10">
        <v>0</v>
      </c>
      <c r="K16" s="4">
        <v>2.7080502011022101</v>
      </c>
      <c r="L16" s="6">
        <v>40823000000</v>
      </c>
      <c r="M16" s="7">
        <v>896</v>
      </c>
      <c r="N16" s="4">
        <v>1.7421875</v>
      </c>
      <c r="O16" s="10">
        <v>71121320312.5</v>
      </c>
      <c r="P16" s="4">
        <v>24.987652992553699</v>
      </c>
      <c r="Q16" s="7">
        <v>97.499999964607653</v>
      </c>
      <c r="R16" s="8">
        <v>1.688524590163935</v>
      </c>
      <c r="S16" s="3">
        <v>164.6311474812228</v>
      </c>
      <c r="T16" s="4">
        <v>5.1037075016971274</v>
      </c>
      <c r="U16" s="6">
        <v>0</v>
      </c>
      <c r="V16" s="3">
        <v>0</v>
      </c>
      <c r="W16" s="3">
        <v>0</v>
      </c>
      <c r="X16" s="4">
        <v>0</v>
      </c>
      <c r="Y16" s="3">
        <v>0</v>
      </c>
      <c r="Z16" s="4">
        <v>0</v>
      </c>
      <c r="AA16" s="5">
        <v>0</v>
      </c>
      <c r="AB16" s="5">
        <v>1</v>
      </c>
      <c r="AC16" s="5">
        <v>0</v>
      </c>
      <c r="AD16" s="5">
        <v>0</v>
      </c>
      <c r="AE16" s="9" t="s">
        <v>41</v>
      </c>
      <c r="AF16" s="9" t="s">
        <v>42</v>
      </c>
      <c r="AG16" s="5"/>
      <c r="AH16" s="5"/>
      <c r="AI16" s="5"/>
      <c r="AJ16" s="4">
        <v>0</v>
      </c>
      <c r="AK16" s="4">
        <v>0</v>
      </c>
      <c r="AL16" s="4">
        <v>0</v>
      </c>
      <c r="AM16" s="4">
        <v>0</v>
      </c>
      <c r="AN16" s="5">
        <v>15</v>
      </c>
      <c r="AO16" s="4">
        <v>0.11176799900000051</v>
      </c>
      <c r="AP16" s="4">
        <v>4.9919395026971269</v>
      </c>
      <c r="AQ16" s="4">
        <v>4.8931742406971273</v>
      </c>
      <c r="AR16" s="4">
        <v>0</v>
      </c>
      <c r="AS16" s="4">
        <v>0</v>
      </c>
      <c r="AT16" s="4">
        <v>0</v>
      </c>
      <c r="AU16" s="4">
        <v>2.3657473039762071E-3</v>
      </c>
      <c r="AV16" s="4">
        <v>24.985287245249719</v>
      </c>
      <c r="AW16" s="4">
        <v>24.95654127166306</v>
      </c>
    </row>
    <row r="17" spans="1:49" x14ac:dyDescent="0.3">
      <c r="A17" s="2" t="s">
        <v>71</v>
      </c>
      <c r="B17" s="2" t="s">
        <v>72</v>
      </c>
      <c r="C17" s="2">
        <v>2005</v>
      </c>
      <c r="D17" s="2">
        <v>4</v>
      </c>
      <c r="E17" s="2">
        <v>16</v>
      </c>
      <c r="F17" s="2">
        <v>16</v>
      </c>
      <c r="G17" s="6">
        <v>0</v>
      </c>
      <c r="H17" s="5"/>
      <c r="I17" s="10">
        <v>0</v>
      </c>
      <c r="J17" s="10">
        <v>0</v>
      </c>
      <c r="K17" s="4">
        <v>2.7725887222397811</v>
      </c>
      <c r="L17" s="6">
        <v>40680000000</v>
      </c>
      <c r="M17" s="7">
        <v>893</v>
      </c>
      <c r="N17" s="4">
        <v>1.7480403135498319</v>
      </c>
      <c r="O17" s="10">
        <v>71110279955.207169</v>
      </c>
      <c r="P17" s="4">
        <v>24.987497747765701</v>
      </c>
      <c r="Q17" s="7">
        <v>98.000000009962449</v>
      </c>
      <c r="R17" s="8">
        <v>1.6758448060075091</v>
      </c>
      <c r="S17" s="3">
        <v>164.23279100543141</v>
      </c>
      <c r="T17" s="4">
        <v>5.1012848786971272</v>
      </c>
      <c r="U17" s="6">
        <v>0</v>
      </c>
      <c r="V17" s="3">
        <v>0</v>
      </c>
      <c r="W17" s="3">
        <v>0</v>
      </c>
      <c r="X17" s="4">
        <v>0</v>
      </c>
      <c r="Y17" s="3">
        <v>0</v>
      </c>
      <c r="Z17" s="4">
        <v>0</v>
      </c>
      <c r="AA17" s="5">
        <v>0</v>
      </c>
      <c r="AB17" s="5">
        <v>0</v>
      </c>
      <c r="AC17" s="5">
        <v>1</v>
      </c>
      <c r="AD17" s="5">
        <v>0</v>
      </c>
      <c r="AE17" s="9" t="s">
        <v>41</v>
      </c>
      <c r="AF17" s="9" t="s">
        <v>42</v>
      </c>
      <c r="AG17" s="5"/>
      <c r="AH17" s="5"/>
      <c r="AI17" s="5"/>
      <c r="AJ17" s="4">
        <v>0</v>
      </c>
      <c r="AK17" s="4">
        <v>0</v>
      </c>
      <c r="AL17" s="4">
        <v>0</v>
      </c>
      <c r="AM17" s="4">
        <v>0</v>
      </c>
      <c r="AN17" s="5">
        <v>16</v>
      </c>
      <c r="AO17" s="4">
        <v>-2.4226230000001792E-3</v>
      </c>
      <c r="AP17" s="4">
        <v>5.1037075016971274</v>
      </c>
      <c r="AQ17" s="4">
        <v>4.932629986697127</v>
      </c>
      <c r="AR17" s="4">
        <v>0</v>
      </c>
      <c r="AS17" s="4">
        <v>0</v>
      </c>
      <c r="AT17" s="4">
        <v>0</v>
      </c>
      <c r="AU17" s="4">
        <v>-1.5524478799378019E-4</v>
      </c>
      <c r="AV17" s="4">
        <v>24.987652992553699</v>
      </c>
      <c r="AW17" s="4">
        <v>24.957811331091449</v>
      </c>
    </row>
    <row r="18" spans="1:49" x14ac:dyDescent="0.3">
      <c r="A18" s="2" t="s">
        <v>73</v>
      </c>
      <c r="B18" s="2" t="s">
        <v>74</v>
      </c>
      <c r="C18" s="2">
        <v>2006</v>
      </c>
      <c r="D18" s="2">
        <v>1</v>
      </c>
      <c r="E18" s="2">
        <v>17</v>
      </c>
      <c r="F18" s="2">
        <v>17</v>
      </c>
      <c r="G18" s="6">
        <v>0</v>
      </c>
      <c r="H18" s="5"/>
      <c r="I18" s="10">
        <v>0</v>
      </c>
      <c r="J18" s="10">
        <v>0</v>
      </c>
      <c r="K18" s="4">
        <v>2.8332133440562162</v>
      </c>
      <c r="L18" s="6">
        <v>41175000000</v>
      </c>
      <c r="M18" s="7">
        <v>896</v>
      </c>
      <c r="N18" s="4">
        <v>1.7421875</v>
      </c>
      <c r="O18" s="10">
        <v>71734570312.5</v>
      </c>
      <c r="P18" s="4">
        <v>24.996238620550621</v>
      </c>
      <c r="Q18" s="7">
        <v>105.99999998310879</v>
      </c>
      <c r="R18" s="8">
        <v>1.6674968866749691</v>
      </c>
      <c r="S18" s="3">
        <v>176.75466995938061</v>
      </c>
      <c r="T18" s="4">
        <v>5.1747627256971267</v>
      </c>
      <c r="U18" s="6">
        <v>0</v>
      </c>
      <c r="V18" s="3">
        <v>0</v>
      </c>
      <c r="W18" s="3">
        <v>0</v>
      </c>
      <c r="X18" s="4">
        <v>0</v>
      </c>
      <c r="Y18" s="3">
        <v>0</v>
      </c>
      <c r="Z18" s="4">
        <v>0</v>
      </c>
      <c r="AA18" s="5">
        <v>0</v>
      </c>
      <c r="AB18" s="5">
        <v>0</v>
      </c>
      <c r="AC18" s="5">
        <v>0</v>
      </c>
      <c r="AD18" s="5">
        <v>0</v>
      </c>
      <c r="AE18" s="9" t="s">
        <v>41</v>
      </c>
      <c r="AF18" s="9" t="s">
        <v>42</v>
      </c>
      <c r="AG18" s="5"/>
      <c r="AH18" s="5"/>
      <c r="AI18" s="5"/>
      <c r="AJ18" s="4">
        <v>0</v>
      </c>
      <c r="AK18" s="4">
        <v>0</v>
      </c>
      <c r="AL18" s="4">
        <v>0</v>
      </c>
      <c r="AM18" s="4">
        <v>0</v>
      </c>
      <c r="AN18" s="5">
        <v>17</v>
      </c>
      <c r="AO18" s="4">
        <v>7.3477846999999485E-2</v>
      </c>
      <c r="AP18" s="4">
        <v>5.1012848786971272</v>
      </c>
      <c r="AQ18" s="4">
        <v>4.9123996736971272</v>
      </c>
      <c r="AR18" s="4">
        <v>0</v>
      </c>
      <c r="AS18" s="4">
        <v>0</v>
      </c>
      <c r="AT18" s="4">
        <v>0</v>
      </c>
      <c r="AU18" s="4">
        <v>8.7408727849123125E-3</v>
      </c>
      <c r="AV18" s="4">
        <v>24.987497747765701</v>
      </c>
      <c r="AW18" s="4">
        <v>24.9605514396373</v>
      </c>
    </row>
    <row r="19" spans="1:49" x14ac:dyDescent="0.3">
      <c r="A19" s="2" t="s">
        <v>75</v>
      </c>
      <c r="B19" s="2" t="s">
        <v>76</v>
      </c>
      <c r="C19" s="2">
        <v>2006</v>
      </c>
      <c r="D19" s="2">
        <v>2</v>
      </c>
      <c r="E19" s="2">
        <v>18</v>
      </c>
      <c r="F19" s="2">
        <v>18</v>
      </c>
      <c r="G19" s="6">
        <v>0</v>
      </c>
      <c r="H19" s="5"/>
      <c r="I19" s="10">
        <v>0</v>
      </c>
      <c r="J19" s="10">
        <v>0</v>
      </c>
      <c r="K19" s="4">
        <v>2.890371757896165</v>
      </c>
      <c r="L19" s="6">
        <v>41785000000</v>
      </c>
      <c r="M19" s="7">
        <v>913</v>
      </c>
      <c r="N19" s="4">
        <v>1.7097480832420591</v>
      </c>
      <c r="O19" s="10">
        <v>71441823658.26944</v>
      </c>
      <c r="P19" s="4">
        <v>24.992149300320271</v>
      </c>
      <c r="Q19" s="7">
        <v>125.500000049977</v>
      </c>
      <c r="R19" s="8">
        <v>1.64093137254902</v>
      </c>
      <c r="S19" s="3">
        <v>205.93688733691079</v>
      </c>
      <c r="T19" s="4">
        <v>5.327569749697127</v>
      </c>
      <c r="U19" s="6">
        <v>0</v>
      </c>
      <c r="V19" s="3">
        <v>0</v>
      </c>
      <c r="W19" s="3">
        <v>0</v>
      </c>
      <c r="X19" s="4">
        <v>0</v>
      </c>
      <c r="Y19" s="3">
        <v>0</v>
      </c>
      <c r="Z19" s="4">
        <v>0</v>
      </c>
      <c r="AA19" s="5">
        <v>1</v>
      </c>
      <c r="AB19" s="5">
        <v>0</v>
      </c>
      <c r="AC19" s="5">
        <v>0</v>
      </c>
      <c r="AD19" s="5">
        <v>0</v>
      </c>
      <c r="AE19" s="9" t="s">
        <v>41</v>
      </c>
      <c r="AF19" s="9" t="s">
        <v>42</v>
      </c>
      <c r="AG19" s="5"/>
      <c r="AH19" s="5"/>
      <c r="AI19" s="5"/>
      <c r="AJ19" s="4">
        <v>0</v>
      </c>
      <c r="AK19" s="4">
        <v>0</v>
      </c>
      <c r="AL19" s="4">
        <v>0</v>
      </c>
      <c r="AM19" s="4">
        <v>0</v>
      </c>
      <c r="AN19" s="5">
        <v>18</v>
      </c>
      <c r="AO19" s="4">
        <v>0.15280702400000029</v>
      </c>
      <c r="AP19" s="4">
        <v>5.1747627256971267</v>
      </c>
      <c r="AQ19" s="4">
        <v>4.9919395026971269</v>
      </c>
      <c r="AR19" s="4">
        <v>0</v>
      </c>
      <c r="AS19" s="4">
        <v>0</v>
      </c>
      <c r="AT19" s="4">
        <v>0</v>
      </c>
      <c r="AU19" s="4">
        <v>-4.0893202303422527E-3</v>
      </c>
      <c r="AV19" s="4">
        <v>24.996238620550621</v>
      </c>
      <c r="AW19" s="4">
        <v>24.985287245249719</v>
      </c>
    </row>
    <row r="20" spans="1:49" x14ac:dyDescent="0.3">
      <c r="A20" s="2" t="s">
        <v>77</v>
      </c>
      <c r="B20" s="2" t="s">
        <v>78</v>
      </c>
      <c r="C20" s="2">
        <v>2006</v>
      </c>
      <c r="D20" s="2">
        <v>3</v>
      </c>
      <c r="E20" s="2">
        <v>19</v>
      </c>
      <c r="F20" s="2">
        <v>19</v>
      </c>
      <c r="G20" s="6">
        <v>0</v>
      </c>
      <c r="H20" s="5"/>
      <c r="I20" s="10">
        <v>0</v>
      </c>
      <c r="J20" s="10">
        <v>0</v>
      </c>
      <c r="K20" s="4">
        <v>2.9444389791664398</v>
      </c>
      <c r="L20" s="6">
        <v>42293000000</v>
      </c>
      <c r="M20" s="7">
        <v>908</v>
      </c>
      <c r="N20" s="4">
        <v>1.7191629955947141</v>
      </c>
      <c r="O20" s="10">
        <v>72708560572.687225</v>
      </c>
      <c r="P20" s="4">
        <v>25.009724966585122</v>
      </c>
      <c r="Q20" s="7">
        <v>121.899999996484</v>
      </c>
      <c r="R20" s="8">
        <v>1.6309378806333741</v>
      </c>
      <c r="S20" s="3">
        <v>198.81132764347399</v>
      </c>
      <c r="T20" s="4">
        <v>5.2923562726971269</v>
      </c>
      <c r="U20" s="6">
        <v>0</v>
      </c>
      <c r="V20" s="3">
        <v>0</v>
      </c>
      <c r="W20" s="3">
        <v>0</v>
      </c>
      <c r="X20" s="4">
        <v>0</v>
      </c>
      <c r="Y20" s="3">
        <v>0</v>
      </c>
      <c r="Z20" s="4">
        <v>0</v>
      </c>
      <c r="AA20" s="5">
        <v>0</v>
      </c>
      <c r="AB20" s="5">
        <v>1</v>
      </c>
      <c r="AC20" s="5">
        <v>0</v>
      </c>
      <c r="AD20" s="5">
        <v>0</v>
      </c>
      <c r="AE20" s="9" t="s">
        <v>41</v>
      </c>
      <c r="AF20" s="9" t="s">
        <v>42</v>
      </c>
      <c r="AG20" s="5"/>
      <c r="AH20" s="5"/>
      <c r="AI20" s="5"/>
      <c r="AJ20" s="4">
        <v>0</v>
      </c>
      <c r="AK20" s="4">
        <v>0</v>
      </c>
      <c r="AL20" s="4">
        <v>0</v>
      </c>
      <c r="AM20" s="4">
        <v>0</v>
      </c>
      <c r="AN20" s="5">
        <v>19</v>
      </c>
      <c r="AO20" s="4">
        <v>-3.5213477000000097E-2</v>
      </c>
      <c r="AP20" s="4">
        <v>5.327569749697127</v>
      </c>
      <c r="AQ20" s="4">
        <v>5.1037075016971274</v>
      </c>
      <c r="AR20" s="4">
        <v>0</v>
      </c>
      <c r="AS20" s="4">
        <v>0</v>
      </c>
      <c r="AT20" s="4">
        <v>0</v>
      </c>
      <c r="AU20" s="4">
        <v>1.7575666264843189E-2</v>
      </c>
      <c r="AV20" s="4">
        <v>24.992149300320271</v>
      </c>
      <c r="AW20" s="4">
        <v>24.987652992553699</v>
      </c>
    </row>
    <row r="21" spans="1:49" x14ac:dyDescent="0.3">
      <c r="A21" s="2" t="s">
        <v>79</v>
      </c>
      <c r="B21" s="2" t="s">
        <v>80</v>
      </c>
      <c r="C21" s="2">
        <v>2006</v>
      </c>
      <c r="D21" s="2">
        <v>4</v>
      </c>
      <c r="E21" s="2">
        <v>20</v>
      </c>
      <c r="F21" s="2">
        <v>20</v>
      </c>
      <c r="G21" s="6">
        <v>0</v>
      </c>
      <c r="H21" s="5"/>
      <c r="I21" s="10">
        <v>0</v>
      </c>
      <c r="J21" s="10">
        <v>0</v>
      </c>
      <c r="K21" s="4">
        <v>2.9957322735539909</v>
      </c>
      <c r="L21" s="6">
        <v>43649000000</v>
      </c>
      <c r="M21" s="7">
        <v>930</v>
      </c>
      <c r="N21" s="4">
        <v>1.678494623655914</v>
      </c>
      <c r="O21" s="10">
        <v>73264611827.956985</v>
      </c>
      <c r="P21" s="4">
        <v>25.017343543830279</v>
      </c>
      <c r="Q21" s="7">
        <v>99.799999994694204</v>
      </c>
      <c r="R21" s="8">
        <v>1.632926829268293</v>
      </c>
      <c r="S21" s="3">
        <v>162.9660975523116</v>
      </c>
      <c r="T21" s="4">
        <v>5.0935421886971266</v>
      </c>
      <c r="U21" s="6">
        <v>0</v>
      </c>
      <c r="V21" s="3">
        <v>0</v>
      </c>
      <c r="W21" s="3">
        <v>0</v>
      </c>
      <c r="X21" s="4">
        <v>0</v>
      </c>
      <c r="Y21" s="3">
        <v>0</v>
      </c>
      <c r="Z21" s="4">
        <v>0</v>
      </c>
      <c r="AA21" s="5">
        <v>0</v>
      </c>
      <c r="AB21" s="5">
        <v>0</v>
      </c>
      <c r="AC21" s="5">
        <v>1</v>
      </c>
      <c r="AD21" s="5">
        <v>0</v>
      </c>
      <c r="AE21" s="9" t="s">
        <v>41</v>
      </c>
      <c r="AF21" s="9" t="s">
        <v>42</v>
      </c>
      <c r="AG21" s="5"/>
      <c r="AH21" s="5"/>
      <c r="AI21" s="5"/>
      <c r="AJ21" s="4">
        <v>0</v>
      </c>
      <c r="AK21" s="4">
        <v>0</v>
      </c>
      <c r="AL21" s="4">
        <v>0</v>
      </c>
      <c r="AM21" s="4">
        <v>0</v>
      </c>
      <c r="AN21" s="5">
        <v>20</v>
      </c>
      <c r="AO21" s="4">
        <v>-0.19881408399999939</v>
      </c>
      <c r="AP21" s="4">
        <v>5.2923562726971269</v>
      </c>
      <c r="AQ21" s="4">
        <v>5.1012848786971272</v>
      </c>
      <c r="AR21" s="4">
        <v>0</v>
      </c>
      <c r="AS21" s="4">
        <v>0</v>
      </c>
      <c r="AT21" s="4">
        <v>0</v>
      </c>
      <c r="AU21" s="4">
        <v>7.6185772451609068E-3</v>
      </c>
      <c r="AV21" s="4">
        <v>25.009724966585122</v>
      </c>
      <c r="AW21" s="4">
        <v>24.987497747765701</v>
      </c>
    </row>
    <row r="22" spans="1:49" x14ac:dyDescent="0.3">
      <c r="A22" s="2" t="s">
        <v>81</v>
      </c>
      <c r="B22" s="2" t="s">
        <v>82</v>
      </c>
      <c r="C22" s="2">
        <v>2007</v>
      </c>
      <c r="D22" s="2">
        <v>1</v>
      </c>
      <c r="E22" s="2">
        <v>21</v>
      </c>
      <c r="F22" s="2">
        <v>21</v>
      </c>
      <c r="G22" s="6">
        <v>0</v>
      </c>
      <c r="H22" s="5"/>
      <c r="I22" s="10">
        <v>0</v>
      </c>
      <c r="J22" s="10">
        <v>0</v>
      </c>
      <c r="K22" s="4">
        <v>3.044522437723423</v>
      </c>
      <c r="L22" s="6">
        <v>44172000000</v>
      </c>
      <c r="M22" s="7">
        <v>934</v>
      </c>
      <c r="N22" s="4">
        <v>1.671306209850107</v>
      </c>
      <c r="O22" s="10">
        <v>73824937901.498932</v>
      </c>
      <c r="P22" s="4">
        <v>25.02496242341789</v>
      </c>
      <c r="Q22" s="7">
        <v>94.799999967241888</v>
      </c>
      <c r="R22" s="8">
        <v>1.625</v>
      </c>
      <c r="S22" s="3">
        <v>154.04999994676811</v>
      </c>
      <c r="T22" s="4">
        <v>5.0372772246971271</v>
      </c>
      <c r="U22" s="6">
        <v>0</v>
      </c>
      <c r="V22" s="3">
        <v>0</v>
      </c>
      <c r="W22" s="3">
        <v>0</v>
      </c>
      <c r="X22" s="4">
        <v>0</v>
      </c>
      <c r="Y22" s="3">
        <v>0</v>
      </c>
      <c r="Z22" s="4">
        <v>0</v>
      </c>
      <c r="AA22" s="5">
        <v>0</v>
      </c>
      <c r="AB22" s="5">
        <v>0</v>
      </c>
      <c r="AC22" s="5">
        <v>0</v>
      </c>
      <c r="AD22" s="5">
        <v>0</v>
      </c>
      <c r="AE22" s="9" t="s">
        <v>41</v>
      </c>
      <c r="AF22" s="9" t="s">
        <v>42</v>
      </c>
      <c r="AG22" s="5"/>
      <c r="AH22" s="5"/>
      <c r="AI22" s="5"/>
      <c r="AJ22" s="4">
        <v>0</v>
      </c>
      <c r="AK22" s="4">
        <v>0</v>
      </c>
      <c r="AL22" s="4">
        <v>0</v>
      </c>
      <c r="AM22" s="4">
        <v>0</v>
      </c>
      <c r="AN22" s="5">
        <v>21</v>
      </c>
      <c r="AO22" s="4">
        <v>-5.6264964000000361E-2</v>
      </c>
      <c r="AP22" s="4">
        <v>5.0935421886971266</v>
      </c>
      <c r="AQ22" s="4">
        <v>5.1747627256971267</v>
      </c>
      <c r="AR22" s="4">
        <v>0</v>
      </c>
      <c r="AS22" s="4">
        <v>0</v>
      </c>
      <c r="AT22" s="4">
        <v>0</v>
      </c>
      <c r="AU22" s="4">
        <v>7.6188795876070969E-3</v>
      </c>
      <c r="AV22" s="4">
        <v>25.017343543830279</v>
      </c>
      <c r="AW22" s="4">
        <v>24.996238620550621</v>
      </c>
    </row>
    <row r="23" spans="1:49" x14ac:dyDescent="0.3">
      <c r="A23" s="2" t="s">
        <v>83</v>
      </c>
      <c r="B23" s="2" t="s">
        <v>84</v>
      </c>
      <c r="C23" s="2">
        <v>2007</v>
      </c>
      <c r="D23" s="2">
        <v>2</v>
      </c>
      <c r="E23" s="2">
        <v>22</v>
      </c>
      <c r="F23" s="2">
        <v>22</v>
      </c>
      <c r="G23" s="6">
        <v>0</v>
      </c>
      <c r="H23" s="5"/>
      <c r="I23" s="10">
        <v>0</v>
      </c>
      <c r="J23" s="10">
        <v>0</v>
      </c>
      <c r="K23" s="4">
        <v>3.0910424533583161</v>
      </c>
      <c r="L23" s="6">
        <v>45244000000</v>
      </c>
      <c r="M23" s="7">
        <v>944</v>
      </c>
      <c r="N23" s="4">
        <v>1.6536016949152541</v>
      </c>
      <c r="O23" s="10">
        <v>74815555084.745773</v>
      </c>
      <c r="P23" s="4">
        <v>25.038291655985478</v>
      </c>
      <c r="Q23" s="7">
        <v>99.299999977760436</v>
      </c>
      <c r="R23" s="8">
        <v>1.609375</v>
      </c>
      <c r="S23" s="3">
        <v>159.81093746420819</v>
      </c>
      <c r="T23" s="4">
        <v>5.0739914756971274</v>
      </c>
      <c r="U23" s="6">
        <v>0</v>
      </c>
      <c r="V23" s="3">
        <v>0</v>
      </c>
      <c r="W23" s="3">
        <v>0</v>
      </c>
      <c r="X23" s="4">
        <v>0</v>
      </c>
      <c r="Y23" s="3">
        <v>0</v>
      </c>
      <c r="Z23" s="4">
        <v>0</v>
      </c>
      <c r="AA23" s="5">
        <v>1</v>
      </c>
      <c r="AB23" s="5">
        <v>0</v>
      </c>
      <c r="AC23" s="5">
        <v>0</v>
      </c>
      <c r="AD23" s="5">
        <v>0</v>
      </c>
      <c r="AE23" s="9" t="s">
        <v>41</v>
      </c>
      <c r="AF23" s="9" t="s">
        <v>42</v>
      </c>
      <c r="AG23" s="5"/>
      <c r="AH23" s="5"/>
      <c r="AI23" s="5"/>
      <c r="AJ23" s="4">
        <v>0</v>
      </c>
      <c r="AK23" s="4">
        <v>0</v>
      </c>
      <c r="AL23" s="4">
        <v>0</v>
      </c>
      <c r="AM23" s="4">
        <v>0</v>
      </c>
      <c r="AN23" s="5">
        <v>22</v>
      </c>
      <c r="AO23" s="4">
        <v>3.6714251000000253E-2</v>
      </c>
      <c r="AP23" s="4">
        <v>5.0372772246971271</v>
      </c>
      <c r="AQ23" s="4">
        <v>5.327569749697127</v>
      </c>
      <c r="AR23" s="4">
        <v>0</v>
      </c>
      <c r="AS23" s="4">
        <v>0</v>
      </c>
      <c r="AT23" s="4">
        <v>0</v>
      </c>
      <c r="AU23" s="4">
        <v>1.332923256759244E-2</v>
      </c>
      <c r="AV23" s="4">
        <v>25.02496242341789</v>
      </c>
      <c r="AW23" s="4">
        <v>24.992149300320271</v>
      </c>
    </row>
    <row r="24" spans="1:49" x14ac:dyDescent="0.3">
      <c r="A24" s="2" t="s">
        <v>85</v>
      </c>
      <c r="B24" s="2" t="s">
        <v>86</v>
      </c>
      <c r="C24" s="2">
        <v>2007</v>
      </c>
      <c r="D24" s="2">
        <v>3</v>
      </c>
      <c r="E24" s="2">
        <v>23</v>
      </c>
      <c r="F24" s="2">
        <v>23</v>
      </c>
      <c r="G24" s="6">
        <v>0</v>
      </c>
      <c r="H24" s="5"/>
      <c r="I24" s="10">
        <v>0</v>
      </c>
      <c r="J24" s="10">
        <v>0</v>
      </c>
      <c r="K24" s="4">
        <v>3.1354942159291501</v>
      </c>
      <c r="L24" s="6">
        <v>46562000000</v>
      </c>
      <c r="M24" s="7">
        <v>962</v>
      </c>
      <c r="N24" s="4">
        <v>1.6226611226611229</v>
      </c>
      <c r="O24" s="10">
        <v>75554347193.347198</v>
      </c>
      <c r="P24" s="4">
        <v>25.048118064623221</v>
      </c>
      <c r="Q24" s="7">
        <v>105.7999999647112</v>
      </c>
      <c r="R24" s="8">
        <v>1.6016746411483249</v>
      </c>
      <c r="S24" s="3">
        <v>169.4571769769716</v>
      </c>
      <c r="T24" s="4">
        <v>5.1326002516971272</v>
      </c>
      <c r="U24" s="6">
        <v>0</v>
      </c>
      <c r="V24" s="3">
        <v>0</v>
      </c>
      <c r="W24" s="3">
        <v>0</v>
      </c>
      <c r="X24" s="4">
        <v>0</v>
      </c>
      <c r="Y24" s="3">
        <v>0</v>
      </c>
      <c r="Z24" s="4">
        <v>0</v>
      </c>
      <c r="AA24" s="5">
        <v>0</v>
      </c>
      <c r="AB24" s="5">
        <v>1</v>
      </c>
      <c r="AC24" s="5">
        <v>0</v>
      </c>
      <c r="AD24" s="5">
        <v>0</v>
      </c>
      <c r="AE24" s="9" t="s">
        <v>41</v>
      </c>
      <c r="AF24" s="9" t="s">
        <v>42</v>
      </c>
      <c r="AG24" s="5"/>
      <c r="AH24" s="5"/>
      <c r="AI24" s="5"/>
      <c r="AJ24" s="4">
        <v>0</v>
      </c>
      <c r="AK24" s="4">
        <v>0</v>
      </c>
      <c r="AL24" s="4">
        <v>0</v>
      </c>
      <c r="AM24" s="4">
        <v>0</v>
      </c>
      <c r="AN24" s="5">
        <v>23</v>
      </c>
      <c r="AO24" s="4">
        <v>5.8608775999999807E-2</v>
      </c>
      <c r="AP24" s="4">
        <v>5.0739914756971274</v>
      </c>
      <c r="AQ24" s="4">
        <v>5.2923562726971269</v>
      </c>
      <c r="AR24" s="4">
        <v>0</v>
      </c>
      <c r="AS24" s="4">
        <v>0</v>
      </c>
      <c r="AT24" s="4">
        <v>0</v>
      </c>
      <c r="AU24" s="4">
        <v>9.8264086377461979E-3</v>
      </c>
      <c r="AV24" s="4">
        <v>25.038291655985478</v>
      </c>
      <c r="AW24" s="4">
        <v>25.009724966585122</v>
      </c>
    </row>
    <row r="25" spans="1:49" x14ac:dyDescent="0.3">
      <c r="A25" s="2" t="s">
        <v>87</v>
      </c>
      <c r="B25" s="2" t="s">
        <v>88</v>
      </c>
      <c r="C25" s="2">
        <v>2007</v>
      </c>
      <c r="D25" s="2">
        <v>4</v>
      </c>
      <c r="E25" s="2">
        <v>24</v>
      </c>
      <c r="F25" s="2">
        <v>24</v>
      </c>
      <c r="G25" s="6">
        <v>0</v>
      </c>
      <c r="H25" s="5"/>
      <c r="I25" s="10">
        <v>0</v>
      </c>
      <c r="J25" s="10">
        <v>0</v>
      </c>
      <c r="K25" s="4">
        <v>3.1780538303479462</v>
      </c>
      <c r="L25" s="6">
        <v>47184000000</v>
      </c>
      <c r="M25" s="7">
        <v>970</v>
      </c>
      <c r="N25" s="4">
        <v>1.609278350515464</v>
      </c>
      <c r="O25" s="10">
        <v>75932189690.721649</v>
      </c>
      <c r="P25" s="4">
        <v>25.05310653803733</v>
      </c>
      <c r="Q25" s="7">
        <v>118.50000000438359</v>
      </c>
      <c r="R25" s="8">
        <v>1.58274231678487</v>
      </c>
      <c r="S25" s="3">
        <v>187.5549645459451</v>
      </c>
      <c r="T25" s="4">
        <v>5.2340719466971271</v>
      </c>
      <c r="U25" s="6">
        <v>0</v>
      </c>
      <c r="V25" s="3">
        <v>0</v>
      </c>
      <c r="W25" s="3">
        <v>0</v>
      </c>
      <c r="X25" s="4">
        <v>0</v>
      </c>
      <c r="Y25" s="3">
        <v>0</v>
      </c>
      <c r="Z25" s="4">
        <v>0</v>
      </c>
      <c r="AA25" s="5">
        <v>0</v>
      </c>
      <c r="AB25" s="5">
        <v>0</v>
      </c>
      <c r="AC25" s="5">
        <v>1</v>
      </c>
      <c r="AD25" s="5">
        <v>0</v>
      </c>
      <c r="AE25" s="9" t="s">
        <v>41</v>
      </c>
      <c r="AF25" s="9" t="s">
        <v>42</v>
      </c>
      <c r="AG25" s="5"/>
      <c r="AH25" s="5"/>
      <c r="AI25" s="5"/>
      <c r="AJ25" s="4">
        <v>0</v>
      </c>
      <c r="AK25" s="4">
        <v>0</v>
      </c>
      <c r="AL25" s="4">
        <v>0</v>
      </c>
      <c r="AM25" s="4">
        <v>0</v>
      </c>
      <c r="AN25" s="5">
        <v>24</v>
      </c>
      <c r="AO25" s="4">
        <v>0.1014716949999999</v>
      </c>
      <c r="AP25" s="4">
        <v>5.1326002516971272</v>
      </c>
      <c r="AQ25" s="4">
        <v>5.0935421886971266</v>
      </c>
      <c r="AR25" s="4">
        <v>0</v>
      </c>
      <c r="AS25" s="4">
        <v>0</v>
      </c>
      <c r="AT25" s="4">
        <v>0</v>
      </c>
      <c r="AU25" s="4">
        <v>4.9884734141087961E-3</v>
      </c>
      <c r="AV25" s="4">
        <v>25.048118064623221</v>
      </c>
      <c r="AW25" s="4">
        <v>25.017343543830279</v>
      </c>
    </row>
    <row r="26" spans="1:49" x14ac:dyDescent="0.3">
      <c r="A26" s="2" t="s">
        <v>89</v>
      </c>
      <c r="B26" s="2" t="s">
        <v>90</v>
      </c>
      <c r="C26" s="2">
        <v>2008</v>
      </c>
      <c r="D26" s="2">
        <v>1</v>
      </c>
      <c r="E26" s="2">
        <v>25</v>
      </c>
      <c r="F26" s="2">
        <v>25</v>
      </c>
      <c r="G26" s="6">
        <v>0</v>
      </c>
      <c r="H26" s="5"/>
      <c r="I26" s="10">
        <v>0</v>
      </c>
      <c r="J26" s="10">
        <v>0</v>
      </c>
      <c r="K26" s="4">
        <v>3.218875824868201</v>
      </c>
      <c r="L26" s="6">
        <v>47595000000</v>
      </c>
      <c r="M26" s="7">
        <v>983</v>
      </c>
      <c r="N26" s="4">
        <v>1.5879959308240079</v>
      </c>
      <c r="O26" s="10">
        <v>75580666327.568665</v>
      </c>
      <c r="P26" s="4">
        <v>25.04846635101795</v>
      </c>
      <c r="Q26" s="7">
        <v>125.5000000330607</v>
      </c>
      <c r="R26" s="8">
        <v>1.571596244131455</v>
      </c>
      <c r="S26" s="3">
        <v>197.2353286904557</v>
      </c>
      <c r="T26" s="4">
        <v>5.2843975776971268</v>
      </c>
      <c r="U26" s="6">
        <v>0</v>
      </c>
      <c r="V26" s="3">
        <v>0</v>
      </c>
      <c r="W26" s="3">
        <v>0</v>
      </c>
      <c r="X26" s="4">
        <v>0</v>
      </c>
      <c r="Y26" s="3">
        <v>0</v>
      </c>
      <c r="Z26" s="4">
        <v>0</v>
      </c>
      <c r="AA26" s="5">
        <v>0</v>
      </c>
      <c r="AB26" s="5">
        <v>0</v>
      </c>
      <c r="AC26" s="5">
        <v>0</v>
      </c>
      <c r="AD26" s="5">
        <v>0</v>
      </c>
      <c r="AE26" s="9" t="s">
        <v>41</v>
      </c>
      <c r="AF26" s="9" t="s">
        <v>42</v>
      </c>
      <c r="AG26" s="5"/>
      <c r="AH26" s="5"/>
      <c r="AI26" s="5"/>
      <c r="AJ26" s="4">
        <v>0</v>
      </c>
      <c r="AK26" s="4">
        <v>0</v>
      </c>
      <c r="AL26" s="4">
        <v>0</v>
      </c>
      <c r="AM26" s="4">
        <v>0</v>
      </c>
      <c r="AN26" s="5">
        <v>25</v>
      </c>
      <c r="AO26" s="4">
        <v>5.032563099999976E-2</v>
      </c>
      <c r="AP26" s="4">
        <v>5.2340719466971271</v>
      </c>
      <c r="AQ26" s="4">
        <v>5.0372772246971271</v>
      </c>
      <c r="AR26" s="4">
        <v>0</v>
      </c>
      <c r="AS26" s="4">
        <v>0</v>
      </c>
      <c r="AT26" s="4">
        <v>0</v>
      </c>
      <c r="AU26" s="4">
        <v>-4.6401870193868433E-3</v>
      </c>
      <c r="AV26" s="4">
        <v>25.05310653803733</v>
      </c>
      <c r="AW26" s="4">
        <v>25.02496242341789</v>
      </c>
    </row>
    <row r="27" spans="1:49" x14ac:dyDescent="0.3">
      <c r="A27" s="2" t="s">
        <v>91</v>
      </c>
      <c r="B27" s="2" t="s">
        <v>92</v>
      </c>
      <c r="C27" s="2">
        <v>2008</v>
      </c>
      <c r="D27" s="2">
        <v>2</v>
      </c>
      <c r="E27" s="2">
        <v>26</v>
      </c>
      <c r="F27" s="2">
        <v>26</v>
      </c>
      <c r="G27" s="6">
        <v>0</v>
      </c>
      <c r="H27" s="5"/>
      <c r="I27" s="10">
        <v>0</v>
      </c>
      <c r="J27" s="10">
        <v>0</v>
      </c>
      <c r="K27" s="4">
        <v>3.2580965380214821</v>
      </c>
      <c r="L27" s="6">
        <v>47561000000</v>
      </c>
      <c r="M27" s="7">
        <v>996</v>
      </c>
      <c r="N27" s="4">
        <v>1.5672690763052211</v>
      </c>
      <c r="O27" s="10">
        <v>74540884538.152603</v>
      </c>
      <c r="P27" s="4">
        <v>25.034613597551111</v>
      </c>
      <c r="Q27" s="7">
        <v>161.80000005071511</v>
      </c>
      <c r="R27" s="8">
        <v>1.547976878612717</v>
      </c>
      <c r="S27" s="3">
        <v>250.4626590380434</v>
      </c>
      <c r="T27" s="4">
        <v>5.5233098436971284</v>
      </c>
      <c r="U27" s="6">
        <v>0</v>
      </c>
      <c r="V27" s="3">
        <v>0</v>
      </c>
      <c r="W27" s="3">
        <v>0</v>
      </c>
      <c r="X27" s="4">
        <v>0</v>
      </c>
      <c r="Y27" s="3">
        <v>0</v>
      </c>
      <c r="Z27" s="4">
        <v>0</v>
      </c>
      <c r="AA27" s="5">
        <v>1</v>
      </c>
      <c r="AB27" s="5">
        <v>0</v>
      </c>
      <c r="AC27" s="5">
        <v>0</v>
      </c>
      <c r="AD27" s="5">
        <v>0</v>
      </c>
      <c r="AE27" s="9" t="s">
        <v>41</v>
      </c>
      <c r="AF27" s="9" t="s">
        <v>42</v>
      </c>
      <c r="AG27" s="5"/>
      <c r="AH27" s="5"/>
      <c r="AI27" s="5"/>
      <c r="AJ27" s="4">
        <v>0</v>
      </c>
      <c r="AK27" s="4">
        <v>0</v>
      </c>
      <c r="AL27" s="4">
        <v>0</v>
      </c>
      <c r="AM27" s="4">
        <v>0</v>
      </c>
      <c r="AN27" s="5">
        <v>26</v>
      </c>
      <c r="AO27" s="4">
        <v>0.23891226600000071</v>
      </c>
      <c r="AP27" s="4">
        <v>5.2843975776971268</v>
      </c>
      <c r="AQ27" s="4">
        <v>5.0739914756971274</v>
      </c>
      <c r="AR27" s="4">
        <v>0</v>
      </c>
      <c r="AS27" s="4">
        <v>0</v>
      </c>
      <c r="AT27" s="4">
        <v>0</v>
      </c>
      <c r="AU27" s="4">
        <v>-1.3852753466835571E-2</v>
      </c>
      <c r="AV27" s="4">
        <v>25.04846635101795</v>
      </c>
      <c r="AW27" s="4">
        <v>25.038291655985478</v>
      </c>
    </row>
    <row r="28" spans="1:49" x14ac:dyDescent="0.3">
      <c r="A28" s="2" t="s">
        <v>93</v>
      </c>
      <c r="B28" s="2" t="s">
        <v>94</v>
      </c>
      <c r="C28" s="2">
        <v>2008</v>
      </c>
      <c r="D28" s="2">
        <v>3</v>
      </c>
      <c r="E28" s="2">
        <v>27</v>
      </c>
      <c r="F28" s="2">
        <v>27</v>
      </c>
      <c r="G28" s="6">
        <v>0</v>
      </c>
      <c r="H28" s="5"/>
      <c r="I28" s="10">
        <v>0</v>
      </c>
      <c r="J28" s="10">
        <v>0</v>
      </c>
      <c r="K28" s="4">
        <v>3.2958368660043291</v>
      </c>
      <c r="L28" s="6">
        <v>47007000000</v>
      </c>
      <c r="M28" s="7">
        <v>983</v>
      </c>
      <c r="N28" s="4">
        <v>1.5879959308240079</v>
      </c>
      <c r="O28" s="10">
        <v>74646924720.244156</v>
      </c>
      <c r="P28" s="4">
        <v>25.036035164105058</v>
      </c>
      <c r="Q28" s="7">
        <v>170.19999991520589</v>
      </c>
      <c r="R28" s="8">
        <v>1.525056947608201</v>
      </c>
      <c r="S28" s="3">
        <v>259.56469235359992</v>
      </c>
      <c r="T28" s="4">
        <v>5.5590059676971268</v>
      </c>
      <c r="U28" s="6">
        <v>0</v>
      </c>
      <c r="V28" s="3">
        <v>0</v>
      </c>
      <c r="W28" s="3">
        <v>0</v>
      </c>
      <c r="X28" s="4">
        <v>0</v>
      </c>
      <c r="Y28" s="3">
        <v>0</v>
      </c>
      <c r="Z28" s="4">
        <v>0</v>
      </c>
      <c r="AA28" s="5">
        <v>0</v>
      </c>
      <c r="AB28" s="5">
        <v>1</v>
      </c>
      <c r="AC28" s="5">
        <v>0</v>
      </c>
      <c r="AD28" s="5">
        <v>0</v>
      </c>
      <c r="AE28" s="9" t="s">
        <v>41</v>
      </c>
      <c r="AF28" s="9" t="s">
        <v>42</v>
      </c>
      <c r="AG28" s="5"/>
      <c r="AH28" s="5"/>
      <c r="AI28" s="5"/>
      <c r="AJ28" s="4">
        <v>0</v>
      </c>
      <c r="AK28" s="4">
        <v>0</v>
      </c>
      <c r="AL28" s="4">
        <v>0</v>
      </c>
      <c r="AM28" s="4">
        <v>0</v>
      </c>
      <c r="AN28" s="5">
        <v>27</v>
      </c>
      <c r="AO28" s="4">
        <v>3.569612399999933E-2</v>
      </c>
      <c r="AP28" s="4">
        <v>5.5233098436971284</v>
      </c>
      <c r="AQ28" s="4">
        <v>5.1326002516971272</v>
      </c>
      <c r="AR28" s="4">
        <v>0</v>
      </c>
      <c r="AS28" s="4">
        <v>0</v>
      </c>
      <c r="AT28" s="4">
        <v>0</v>
      </c>
      <c r="AU28" s="4">
        <v>1.4215665539474289E-3</v>
      </c>
      <c r="AV28" s="4">
        <v>25.034613597551111</v>
      </c>
      <c r="AW28" s="4">
        <v>25.048118064623221</v>
      </c>
    </row>
    <row r="29" spans="1:49" x14ac:dyDescent="0.3">
      <c r="A29" s="2" t="s">
        <v>95</v>
      </c>
      <c r="B29" s="2" t="s">
        <v>96</v>
      </c>
      <c r="C29" s="2">
        <v>2008</v>
      </c>
      <c r="D29" s="2">
        <v>4</v>
      </c>
      <c r="E29" s="2">
        <v>28</v>
      </c>
      <c r="F29" s="2">
        <v>28</v>
      </c>
      <c r="G29" s="6">
        <v>0</v>
      </c>
      <c r="H29" s="5"/>
      <c r="I29" s="10">
        <v>0</v>
      </c>
      <c r="J29" s="10">
        <v>0</v>
      </c>
      <c r="K29" s="4">
        <v>3.3322045101752038</v>
      </c>
      <c r="L29" s="6">
        <v>47621000000</v>
      </c>
      <c r="M29" s="7">
        <v>996</v>
      </c>
      <c r="N29" s="4">
        <v>1.5672690763052211</v>
      </c>
      <c r="O29" s="10">
        <v>74634920682.730927</v>
      </c>
      <c r="P29" s="4">
        <v>25.035874340295479</v>
      </c>
      <c r="Q29" s="7">
        <v>124.4000000443376</v>
      </c>
      <c r="R29" s="8">
        <v>1.5320366132723111</v>
      </c>
      <c r="S29" s="3">
        <v>190.58535475900231</v>
      </c>
      <c r="T29" s="4">
        <v>5.2501001506971274</v>
      </c>
      <c r="U29" s="6">
        <v>0</v>
      </c>
      <c r="V29" s="3">
        <v>0</v>
      </c>
      <c r="W29" s="3">
        <v>0</v>
      </c>
      <c r="X29" s="4">
        <v>0</v>
      </c>
      <c r="Y29" s="3">
        <v>0</v>
      </c>
      <c r="Z29" s="4">
        <v>0</v>
      </c>
      <c r="AA29" s="5">
        <v>0</v>
      </c>
      <c r="AB29" s="5">
        <v>0</v>
      </c>
      <c r="AC29" s="5">
        <v>1</v>
      </c>
      <c r="AD29" s="5">
        <v>0</v>
      </c>
      <c r="AE29" s="9" t="s">
        <v>41</v>
      </c>
      <c r="AF29" s="9" t="s">
        <v>42</v>
      </c>
      <c r="AG29" s="5"/>
      <c r="AH29" s="5"/>
      <c r="AI29" s="5"/>
      <c r="AJ29" s="4">
        <v>0</v>
      </c>
      <c r="AK29" s="4">
        <v>0</v>
      </c>
      <c r="AL29" s="4">
        <v>0</v>
      </c>
      <c r="AM29" s="4">
        <v>0</v>
      </c>
      <c r="AN29" s="5">
        <v>28</v>
      </c>
      <c r="AO29" s="4">
        <v>-0.30890581699999942</v>
      </c>
      <c r="AP29" s="4">
        <v>5.5590059676971268</v>
      </c>
      <c r="AQ29" s="4">
        <v>5.2340719466971271</v>
      </c>
      <c r="AR29" s="4">
        <v>0</v>
      </c>
      <c r="AS29" s="4">
        <v>0</v>
      </c>
      <c r="AT29" s="4">
        <v>0</v>
      </c>
      <c r="AU29" s="4">
        <v>-1.6082380957627149E-4</v>
      </c>
      <c r="AV29" s="4">
        <v>25.036035164105058</v>
      </c>
      <c r="AW29" s="4">
        <v>25.05310653803733</v>
      </c>
    </row>
    <row r="30" spans="1:49" x14ac:dyDescent="0.3">
      <c r="A30" s="2" t="s">
        <v>97</v>
      </c>
      <c r="B30" s="2" t="s">
        <v>98</v>
      </c>
      <c r="C30" s="2">
        <v>2009</v>
      </c>
      <c r="D30" s="2">
        <v>1</v>
      </c>
      <c r="E30" s="2">
        <v>29</v>
      </c>
      <c r="F30" s="2">
        <v>29</v>
      </c>
      <c r="G30" s="6">
        <v>0</v>
      </c>
      <c r="H30" s="5"/>
      <c r="I30" s="10">
        <v>0</v>
      </c>
      <c r="J30" s="10">
        <v>0</v>
      </c>
      <c r="K30" s="4">
        <v>3.3672958299864741</v>
      </c>
      <c r="L30" s="6">
        <v>47589000000</v>
      </c>
      <c r="M30" s="7">
        <v>1003</v>
      </c>
      <c r="N30" s="4">
        <v>1.556331006979063</v>
      </c>
      <c r="O30" s="10">
        <v>74064236291.126617</v>
      </c>
      <c r="P30" s="4">
        <v>25.02819861159433</v>
      </c>
      <c r="Q30" s="7">
        <v>100.4999999878403</v>
      </c>
      <c r="R30" s="8">
        <v>1.5267958950969209</v>
      </c>
      <c r="S30" s="3">
        <v>153.44298743867509</v>
      </c>
      <c r="T30" s="4">
        <v>5.0333290806971274</v>
      </c>
      <c r="U30" s="6">
        <v>0</v>
      </c>
      <c r="V30" s="3">
        <v>0</v>
      </c>
      <c r="W30" s="3">
        <v>0</v>
      </c>
      <c r="X30" s="4">
        <v>0</v>
      </c>
      <c r="Y30" s="3">
        <v>0</v>
      </c>
      <c r="Z30" s="4">
        <v>0</v>
      </c>
      <c r="AA30" s="5">
        <v>0</v>
      </c>
      <c r="AB30" s="5">
        <v>0</v>
      </c>
      <c r="AC30" s="5">
        <v>0</v>
      </c>
      <c r="AD30" s="5">
        <v>0</v>
      </c>
      <c r="AE30" s="9" t="s">
        <v>41</v>
      </c>
      <c r="AF30" s="9" t="s">
        <v>42</v>
      </c>
      <c r="AG30" s="5"/>
      <c r="AH30" s="5"/>
      <c r="AI30" s="5"/>
      <c r="AJ30" s="4">
        <v>0</v>
      </c>
      <c r="AK30" s="4">
        <v>0</v>
      </c>
      <c r="AL30" s="4">
        <v>0</v>
      </c>
      <c r="AM30" s="4">
        <v>0</v>
      </c>
      <c r="AN30" s="5">
        <v>29</v>
      </c>
      <c r="AO30" s="4">
        <v>-0.21677107000000009</v>
      </c>
      <c r="AP30" s="4">
        <v>5.2501001506971274</v>
      </c>
      <c r="AQ30" s="4">
        <v>5.2843975776971268</v>
      </c>
      <c r="AR30" s="4">
        <v>0</v>
      </c>
      <c r="AS30" s="4">
        <v>0</v>
      </c>
      <c r="AT30" s="4">
        <v>0</v>
      </c>
      <c r="AU30" s="4">
        <v>-7.6757287011481878E-3</v>
      </c>
      <c r="AV30" s="4">
        <v>25.035874340295479</v>
      </c>
      <c r="AW30" s="4">
        <v>25.04846635101795</v>
      </c>
    </row>
    <row r="31" spans="1:49" x14ac:dyDescent="0.3">
      <c r="A31" s="2" t="s">
        <v>99</v>
      </c>
      <c r="B31" s="2" t="s">
        <v>100</v>
      </c>
      <c r="C31" s="2">
        <v>2009</v>
      </c>
      <c r="D31" s="2">
        <v>2</v>
      </c>
      <c r="E31" s="2">
        <v>30</v>
      </c>
      <c r="F31" s="2">
        <v>30</v>
      </c>
      <c r="G31" s="6">
        <v>0</v>
      </c>
      <c r="H31" s="5"/>
      <c r="I31" s="10">
        <v>0</v>
      </c>
      <c r="J31" s="10">
        <v>0</v>
      </c>
      <c r="K31" s="4">
        <v>3.401197381662155</v>
      </c>
      <c r="L31" s="6">
        <v>47604000000</v>
      </c>
      <c r="M31" s="7">
        <v>991</v>
      </c>
      <c r="N31" s="4">
        <v>1.5751765893037331</v>
      </c>
      <c r="O31" s="10">
        <v>74984706357.214935</v>
      </c>
      <c r="P31" s="4">
        <v>25.040550014452052</v>
      </c>
      <c r="Q31" s="7">
        <v>99.799999969593713</v>
      </c>
      <c r="R31" s="8">
        <v>1.5181405895691611</v>
      </c>
      <c r="S31" s="3">
        <v>151.51043079284119</v>
      </c>
      <c r="T31" s="4">
        <v>5.0206544726971272</v>
      </c>
      <c r="U31" s="6">
        <v>0</v>
      </c>
      <c r="V31" s="3">
        <v>0</v>
      </c>
      <c r="W31" s="3">
        <v>0</v>
      </c>
      <c r="X31" s="4">
        <v>0</v>
      </c>
      <c r="Y31" s="3">
        <v>0</v>
      </c>
      <c r="Z31" s="4">
        <v>0</v>
      </c>
      <c r="AA31" s="5">
        <v>1</v>
      </c>
      <c r="AB31" s="5">
        <v>0</v>
      </c>
      <c r="AC31" s="5">
        <v>0</v>
      </c>
      <c r="AD31" s="5">
        <v>0</v>
      </c>
      <c r="AE31" s="9" t="s">
        <v>41</v>
      </c>
      <c r="AF31" s="9" t="s">
        <v>42</v>
      </c>
      <c r="AG31" s="5"/>
      <c r="AH31" s="5"/>
      <c r="AI31" s="5"/>
      <c r="AJ31" s="4">
        <v>0</v>
      </c>
      <c r="AK31" s="4">
        <v>0</v>
      </c>
      <c r="AL31" s="4">
        <v>0</v>
      </c>
      <c r="AM31" s="4">
        <v>0</v>
      </c>
      <c r="AN31" s="5">
        <v>30</v>
      </c>
      <c r="AO31" s="4">
        <v>-1.26746080000002E-2</v>
      </c>
      <c r="AP31" s="4">
        <v>5.0333290806971274</v>
      </c>
      <c r="AQ31" s="4">
        <v>5.5233098436971284</v>
      </c>
      <c r="AR31" s="4">
        <v>0</v>
      </c>
      <c r="AS31" s="4">
        <v>0</v>
      </c>
      <c r="AT31" s="4">
        <v>0</v>
      </c>
      <c r="AU31" s="4">
        <v>1.2351402857714079E-2</v>
      </c>
      <c r="AV31" s="4">
        <v>25.02819861159433</v>
      </c>
      <c r="AW31" s="4">
        <v>25.034613597551111</v>
      </c>
    </row>
    <row r="32" spans="1:49" x14ac:dyDescent="0.3">
      <c r="A32" s="2" t="s">
        <v>101</v>
      </c>
      <c r="B32" s="2" t="s">
        <v>102</v>
      </c>
      <c r="C32" s="2">
        <v>2009</v>
      </c>
      <c r="D32" s="2">
        <v>3</v>
      </c>
      <c r="E32" s="2">
        <v>31</v>
      </c>
      <c r="F32" s="2">
        <v>31</v>
      </c>
      <c r="G32" s="6">
        <v>2072307936</v>
      </c>
      <c r="H32" s="4">
        <v>21.451928768061741</v>
      </c>
      <c r="I32" s="10">
        <v>0</v>
      </c>
      <c r="J32" s="10">
        <v>0</v>
      </c>
      <c r="K32" s="4">
        <v>3.4339872044851458</v>
      </c>
      <c r="L32" s="6">
        <v>48369000000</v>
      </c>
      <c r="M32" s="7">
        <v>1001</v>
      </c>
      <c r="N32" s="4">
        <v>1.5594405594405589</v>
      </c>
      <c r="O32" s="10">
        <v>75428580419.580414</v>
      </c>
      <c r="P32" s="4">
        <v>25.04645209079634</v>
      </c>
      <c r="Q32" s="7">
        <v>104.10000002722531</v>
      </c>
      <c r="R32" s="8">
        <v>1.4994400895856661</v>
      </c>
      <c r="S32" s="3">
        <v>156.09171336669061</v>
      </c>
      <c r="T32" s="4">
        <v>5.0504437406971272</v>
      </c>
      <c r="U32" s="6">
        <v>79968183.290000007</v>
      </c>
      <c r="V32" s="3">
        <v>38.58894805197523</v>
      </c>
      <c r="W32" s="3">
        <v>57.861815724070361</v>
      </c>
      <c r="X32" s="4">
        <v>4.0580576803910766</v>
      </c>
      <c r="Y32" s="3">
        <v>0</v>
      </c>
      <c r="Z32" s="4">
        <v>0</v>
      </c>
      <c r="AA32" s="5">
        <v>0</v>
      </c>
      <c r="AB32" s="5">
        <v>1</v>
      </c>
      <c r="AC32" s="5">
        <v>0</v>
      </c>
      <c r="AD32" s="5">
        <v>0</v>
      </c>
      <c r="AE32" s="9" t="s">
        <v>41</v>
      </c>
      <c r="AF32" s="9" t="s">
        <v>42</v>
      </c>
      <c r="AG32" s="5"/>
      <c r="AH32" s="5"/>
      <c r="AI32" s="5"/>
      <c r="AJ32" s="4">
        <v>20.49499201131902</v>
      </c>
      <c r="AK32" s="4">
        <v>0</v>
      </c>
      <c r="AL32" s="4">
        <v>0</v>
      </c>
      <c r="AM32" s="4">
        <v>0</v>
      </c>
      <c r="AN32" s="5">
        <v>31</v>
      </c>
      <c r="AO32" s="4">
        <v>2.9789268000000039E-2</v>
      </c>
      <c r="AP32" s="4">
        <v>5.0206544726971272</v>
      </c>
      <c r="AQ32" s="4">
        <v>5.5590059676971268</v>
      </c>
      <c r="AR32" s="4">
        <v>4.0580576803910766</v>
      </c>
      <c r="AS32" s="4">
        <v>0</v>
      </c>
      <c r="AT32" s="4">
        <v>0</v>
      </c>
      <c r="AU32" s="4">
        <v>5.9020763442880764E-3</v>
      </c>
      <c r="AV32" s="4">
        <v>25.040550014452052</v>
      </c>
      <c r="AW32" s="4">
        <v>25.036035164105058</v>
      </c>
    </row>
    <row r="33" spans="1:49" x14ac:dyDescent="0.3">
      <c r="A33" s="2" t="s">
        <v>103</v>
      </c>
      <c r="B33" s="2" t="s">
        <v>104</v>
      </c>
      <c r="C33" s="2">
        <v>2009</v>
      </c>
      <c r="D33" s="2">
        <v>4</v>
      </c>
      <c r="E33" s="2">
        <v>32</v>
      </c>
      <c r="F33" s="2">
        <v>32</v>
      </c>
      <c r="G33" s="6">
        <v>1969025812</v>
      </c>
      <c r="H33" s="4">
        <v>21.400804745709959</v>
      </c>
      <c r="I33" s="10">
        <v>2072307936</v>
      </c>
      <c r="J33" s="10">
        <v>0</v>
      </c>
      <c r="K33" s="4">
        <v>3.465735902799727</v>
      </c>
      <c r="L33" s="6">
        <v>48783000000</v>
      </c>
      <c r="M33" s="7">
        <v>998</v>
      </c>
      <c r="N33" s="4">
        <v>1.5641282565130259</v>
      </c>
      <c r="O33" s="10">
        <v>76302868737.47496</v>
      </c>
      <c r="P33" s="4">
        <v>25.057976372662079</v>
      </c>
      <c r="Q33" s="7">
        <v>103.4999999876359</v>
      </c>
      <c r="R33" s="8">
        <v>1.5011210762331839</v>
      </c>
      <c r="S33" s="3">
        <v>155.36603137157451</v>
      </c>
      <c r="T33" s="4">
        <v>5.0457838256971268</v>
      </c>
      <c r="U33" s="6">
        <v>83019179.579999998</v>
      </c>
      <c r="V33" s="3">
        <v>42.162565403688063</v>
      </c>
      <c r="W33" s="3">
        <v>63.29111555553623</v>
      </c>
      <c r="X33" s="4">
        <v>4.147744964726618</v>
      </c>
      <c r="Y33" s="3">
        <v>57.861815724070361</v>
      </c>
      <c r="Z33" s="4">
        <v>4.0580576803910766</v>
      </c>
      <c r="AA33" s="5">
        <v>0</v>
      </c>
      <c r="AB33" s="5">
        <v>0</v>
      </c>
      <c r="AC33" s="5">
        <v>1</v>
      </c>
      <c r="AD33" s="5">
        <v>0</v>
      </c>
      <c r="AE33" s="9" t="s">
        <v>41</v>
      </c>
      <c r="AF33" s="9" t="s">
        <v>42</v>
      </c>
      <c r="AG33" s="4">
        <v>21.451928768061741</v>
      </c>
      <c r="AH33" s="5"/>
      <c r="AI33" s="5"/>
      <c r="AJ33" s="4">
        <v>20.928624456134269</v>
      </c>
      <c r="AK33" s="4">
        <v>0</v>
      </c>
      <c r="AL33" s="4">
        <v>0</v>
      </c>
      <c r="AM33" s="4">
        <v>0</v>
      </c>
      <c r="AN33" s="5">
        <v>32</v>
      </c>
      <c r="AO33" s="4">
        <v>-4.659915000000403E-3</v>
      </c>
      <c r="AP33" s="4">
        <v>5.0504437406971272</v>
      </c>
      <c r="AQ33" s="4">
        <v>5.2501001506971274</v>
      </c>
      <c r="AR33" s="4">
        <v>8.9687284335541406E-2</v>
      </c>
      <c r="AS33" s="4">
        <v>4.0580576803910766</v>
      </c>
      <c r="AT33" s="4">
        <v>0</v>
      </c>
      <c r="AU33" s="4">
        <v>1.152428186573928E-2</v>
      </c>
      <c r="AV33" s="4">
        <v>25.04645209079634</v>
      </c>
      <c r="AW33" s="4">
        <v>25.035874340295479</v>
      </c>
    </row>
    <row r="34" spans="1:49" x14ac:dyDescent="0.3">
      <c r="A34" s="2" t="s">
        <v>105</v>
      </c>
      <c r="B34" s="2" t="s">
        <v>106</v>
      </c>
      <c r="C34" s="2">
        <v>2010</v>
      </c>
      <c r="D34" s="2">
        <v>1</v>
      </c>
      <c r="E34" s="2">
        <v>33</v>
      </c>
      <c r="F34" s="2">
        <v>33</v>
      </c>
      <c r="G34" s="6">
        <v>1901190626</v>
      </c>
      <c r="H34" s="4">
        <v>21.36574617212181</v>
      </c>
      <c r="I34" s="10">
        <v>1969025812</v>
      </c>
      <c r="J34" s="10">
        <v>0</v>
      </c>
      <c r="K34" s="4">
        <v>3.4965075614664798</v>
      </c>
      <c r="L34" s="6">
        <v>49947000000</v>
      </c>
      <c r="M34" s="7">
        <v>1010</v>
      </c>
      <c r="N34" s="4">
        <v>1.545544554455446</v>
      </c>
      <c r="O34" s="10">
        <v>77195313861.386139</v>
      </c>
      <c r="P34" s="4">
        <v>25.069604590857359</v>
      </c>
      <c r="Q34" s="7">
        <v>110.6000000212989</v>
      </c>
      <c r="R34" s="8">
        <v>1.49608938547486</v>
      </c>
      <c r="S34" s="3">
        <v>165.46748606538449</v>
      </c>
      <c r="T34" s="4">
        <v>5.1087747166971269</v>
      </c>
      <c r="U34" s="6">
        <v>80685639.340000004</v>
      </c>
      <c r="V34" s="3">
        <v>42.439531437075367</v>
      </c>
      <c r="W34" s="3">
        <v>63.493332507535108</v>
      </c>
      <c r="X34" s="4">
        <v>4.1509349005044358</v>
      </c>
      <c r="Y34" s="3">
        <v>63.29111555553623</v>
      </c>
      <c r="Z34" s="4">
        <v>4.147744964726618</v>
      </c>
      <c r="AA34" s="5">
        <v>0</v>
      </c>
      <c r="AB34" s="5">
        <v>0</v>
      </c>
      <c r="AC34" s="5">
        <v>0</v>
      </c>
      <c r="AD34" s="5">
        <v>0</v>
      </c>
      <c r="AE34" s="9" t="s">
        <v>41</v>
      </c>
      <c r="AF34" s="9" t="s">
        <v>42</v>
      </c>
      <c r="AG34" s="4">
        <v>21.400804745709959</v>
      </c>
      <c r="AH34" s="5"/>
      <c r="AI34" s="5"/>
      <c r="AJ34" s="4">
        <v>21.206191270352761</v>
      </c>
      <c r="AK34" s="4">
        <v>0</v>
      </c>
      <c r="AL34" s="4">
        <v>0</v>
      </c>
      <c r="AM34" s="4">
        <v>0</v>
      </c>
      <c r="AN34" s="5">
        <v>33</v>
      </c>
      <c r="AO34" s="4">
        <v>6.2990891000000104E-2</v>
      </c>
      <c r="AP34" s="4">
        <v>5.0457838256971268</v>
      </c>
      <c r="AQ34" s="4">
        <v>5.0333290806971274</v>
      </c>
      <c r="AR34" s="4">
        <v>3.1899357778177868E-3</v>
      </c>
      <c r="AS34" s="4">
        <v>4.147744964726618</v>
      </c>
      <c r="AT34" s="4">
        <v>0</v>
      </c>
      <c r="AU34" s="4">
        <v>1.1628218195287591E-2</v>
      </c>
      <c r="AV34" s="4">
        <v>25.057976372662079</v>
      </c>
      <c r="AW34" s="4">
        <v>25.02819861159433</v>
      </c>
    </row>
    <row r="35" spans="1:49" x14ac:dyDescent="0.3">
      <c r="A35" s="2" t="s">
        <v>107</v>
      </c>
      <c r="B35" s="2" t="s">
        <v>108</v>
      </c>
      <c r="C35" s="2">
        <v>2010</v>
      </c>
      <c r="D35" s="2">
        <v>2</v>
      </c>
      <c r="E35" s="2">
        <v>34</v>
      </c>
      <c r="F35" s="2">
        <v>34</v>
      </c>
      <c r="G35" s="6">
        <v>1886730506</v>
      </c>
      <c r="H35" s="4">
        <v>21.358111277023401</v>
      </c>
      <c r="I35" s="10">
        <v>1901190626</v>
      </c>
      <c r="J35" s="10">
        <v>0</v>
      </c>
      <c r="K35" s="4">
        <v>3.526360524616162</v>
      </c>
      <c r="L35" s="6">
        <v>50254000000</v>
      </c>
      <c r="M35" s="7">
        <v>1010</v>
      </c>
      <c r="N35" s="4">
        <v>1.545544554455446</v>
      </c>
      <c r="O35" s="10">
        <v>77669796039.603958</v>
      </c>
      <c r="P35" s="4">
        <v>25.075732293387698</v>
      </c>
      <c r="Q35" s="7">
        <v>116.6999999636334</v>
      </c>
      <c r="R35" s="8">
        <v>1.494419642857143</v>
      </c>
      <c r="S35" s="3">
        <v>174.39877226708151</v>
      </c>
      <c r="T35" s="4">
        <v>5.1613444716971273</v>
      </c>
      <c r="U35" s="6">
        <v>80044373.709999993</v>
      </c>
      <c r="V35" s="3">
        <v>42.424910953339932</v>
      </c>
      <c r="W35" s="3">
        <v>63.400620275136347</v>
      </c>
      <c r="X35" s="4">
        <v>4.1494736449148224</v>
      </c>
      <c r="Y35" s="3">
        <v>63.493332507535108</v>
      </c>
      <c r="Z35" s="4">
        <v>4.1509349005044358</v>
      </c>
      <c r="AA35" s="5">
        <v>1</v>
      </c>
      <c r="AB35" s="5">
        <v>0</v>
      </c>
      <c r="AC35" s="5">
        <v>0</v>
      </c>
      <c r="AD35" s="5">
        <v>0</v>
      </c>
      <c r="AE35" s="9" t="s">
        <v>41</v>
      </c>
      <c r="AF35" s="9" t="s">
        <v>42</v>
      </c>
      <c r="AG35" s="4">
        <v>21.36574617212181</v>
      </c>
      <c r="AH35" s="5"/>
      <c r="AI35" s="5"/>
      <c r="AJ35" s="4">
        <v>21.416862857634051</v>
      </c>
      <c r="AK35" s="4">
        <v>0</v>
      </c>
      <c r="AL35" s="4">
        <v>0</v>
      </c>
      <c r="AM35" s="4">
        <v>0</v>
      </c>
      <c r="AN35" s="5">
        <v>34</v>
      </c>
      <c r="AO35" s="4">
        <v>5.2569755000000377E-2</v>
      </c>
      <c r="AP35" s="4">
        <v>5.1087747166971269</v>
      </c>
      <c r="AQ35" s="4">
        <v>5.0206544726971272</v>
      </c>
      <c r="AR35" s="4">
        <v>-1.4612555896134081E-3</v>
      </c>
      <c r="AS35" s="4">
        <v>4.1509349005044358</v>
      </c>
      <c r="AT35" s="4">
        <v>0</v>
      </c>
      <c r="AU35" s="4">
        <v>6.1277025303390076E-3</v>
      </c>
      <c r="AV35" s="4">
        <v>25.069604590857359</v>
      </c>
      <c r="AW35" s="4">
        <v>25.040550014452052</v>
      </c>
    </row>
    <row r="36" spans="1:49" x14ac:dyDescent="0.3">
      <c r="A36" s="2" t="s">
        <v>109</v>
      </c>
      <c r="B36" s="2" t="s">
        <v>110</v>
      </c>
      <c r="C36" s="2">
        <v>2010</v>
      </c>
      <c r="D36" s="2">
        <v>3</v>
      </c>
      <c r="E36" s="2">
        <v>35</v>
      </c>
      <c r="F36" s="2">
        <v>35</v>
      </c>
      <c r="G36" s="6">
        <v>2004551887</v>
      </c>
      <c r="H36" s="4">
        <v>21.41868637496999</v>
      </c>
      <c r="I36" s="10">
        <v>1886730506</v>
      </c>
      <c r="J36" s="10">
        <v>2072307936</v>
      </c>
      <c r="K36" s="4">
        <v>3.555348061489414</v>
      </c>
      <c r="L36" s="6">
        <v>50570000000</v>
      </c>
      <c r="M36" s="7">
        <v>1031</v>
      </c>
      <c r="N36" s="4">
        <v>1.514064015518914</v>
      </c>
      <c r="O36" s="10">
        <v>76566217264.791473</v>
      </c>
      <c r="P36" s="4">
        <v>25.06142178853678</v>
      </c>
      <c r="Q36" s="7">
        <v>116.7999999596815</v>
      </c>
      <c r="R36" s="8">
        <v>1.4779249448123619</v>
      </c>
      <c r="S36" s="3">
        <v>172.62163349449611</v>
      </c>
      <c r="T36" s="4">
        <v>5.1511021096971268</v>
      </c>
      <c r="U36" s="6">
        <v>85012947.010000005</v>
      </c>
      <c r="V36" s="3">
        <v>42.409950853020753</v>
      </c>
      <c r="W36" s="3">
        <v>62.67872427394569</v>
      </c>
      <c r="X36" s="4">
        <v>4.1380220642804666</v>
      </c>
      <c r="Y36" s="3">
        <v>63.400620275136347</v>
      </c>
      <c r="Z36" s="4">
        <v>4.1494736449148224</v>
      </c>
      <c r="AA36" s="5">
        <v>0</v>
      </c>
      <c r="AB36" s="5">
        <v>1</v>
      </c>
      <c r="AC36" s="5">
        <v>0</v>
      </c>
      <c r="AD36" s="5">
        <v>0</v>
      </c>
      <c r="AE36" s="9" t="s">
        <v>41</v>
      </c>
      <c r="AF36" s="9" t="s">
        <v>42</v>
      </c>
      <c r="AG36" s="4">
        <v>21.358111277023401</v>
      </c>
      <c r="AH36" s="4">
        <v>21.451928768061741</v>
      </c>
      <c r="AI36" s="4">
        <v>-9.3817491038336698E-2</v>
      </c>
      <c r="AJ36" s="4">
        <v>21.31537418528837</v>
      </c>
      <c r="AK36" s="4">
        <v>0</v>
      </c>
      <c r="AL36" s="4">
        <v>0</v>
      </c>
      <c r="AM36" s="4">
        <v>0</v>
      </c>
      <c r="AN36" s="5">
        <v>35</v>
      </c>
      <c r="AO36" s="4">
        <v>-1.0242362000000499E-2</v>
      </c>
      <c r="AP36" s="4">
        <v>5.1613444716971273</v>
      </c>
      <c r="AQ36" s="4">
        <v>5.0504437406971272</v>
      </c>
      <c r="AR36" s="4">
        <v>-1.145158063435581E-2</v>
      </c>
      <c r="AS36" s="4">
        <v>4.1494736449148224</v>
      </c>
      <c r="AT36" s="4">
        <v>4.0580576803910766</v>
      </c>
      <c r="AU36" s="4">
        <v>-1.431050485092555E-2</v>
      </c>
      <c r="AV36" s="4">
        <v>25.075732293387698</v>
      </c>
      <c r="AW36" s="4">
        <v>25.04645209079634</v>
      </c>
    </row>
    <row r="37" spans="1:49" x14ac:dyDescent="0.3">
      <c r="A37" s="2" t="s">
        <v>111</v>
      </c>
      <c r="B37" s="2" t="s">
        <v>112</v>
      </c>
      <c r="C37" s="2">
        <v>2010</v>
      </c>
      <c r="D37" s="2">
        <v>4</v>
      </c>
      <c r="E37" s="2">
        <v>36</v>
      </c>
      <c r="F37" s="2">
        <v>36</v>
      </c>
      <c r="G37" s="6">
        <v>2014256395</v>
      </c>
      <c r="H37" s="4">
        <v>21.42351592949553</v>
      </c>
      <c r="I37" s="10">
        <v>2004551887</v>
      </c>
      <c r="J37" s="10">
        <v>1969025812</v>
      </c>
      <c r="K37" s="4">
        <v>3.5835189384561099</v>
      </c>
      <c r="L37" s="6">
        <v>51272000000</v>
      </c>
      <c r="M37" s="7">
        <v>1058</v>
      </c>
      <c r="N37" s="4">
        <v>1.475425330812854</v>
      </c>
      <c r="O37" s="10">
        <v>75648007561.436676</v>
      </c>
      <c r="P37" s="4">
        <v>25.04935693924552</v>
      </c>
      <c r="Q37" s="7">
        <v>124.69999998576171</v>
      </c>
      <c r="R37" s="8">
        <v>1.444444444444444</v>
      </c>
      <c r="S37" s="3">
        <v>180.12222220165569</v>
      </c>
      <c r="T37" s="4">
        <v>5.1936356326971271</v>
      </c>
      <c r="U37" s="6">
        <v>95161551.590000004</v>
      </c>
      <c r="V37" s="3">
        <v>47.244011152810558</v>
      </c>
      <c r="W37" s="3">
        <v>68.241349442948589</v>
      </c>
      <c r="X37" s="4">
        <v>4.2230506779431858</v>
      </c>
      <c r="Y37" s="3">
        <v>62.67872427394569</v>
      </c>
      <c r="Z37" s="4">
        <v>4.1380220642804666</v>
      </c>
      <c r="AA37" s="5">
        <v>0</v>
      </c>
      <c r="AB37" s="5">
        <v>0</v>
      </c>
      <c r="AC37" s="5">
        <v>1</v>
      </c>
      <c r="AD37" s="5">
        <v>0</v>
      </c>
      <c r="AE37" s="9" t="s">
        <v>41</v>
      </c>
      <c r="AF37" s="9" t="s">
        <v>42</v>
      </c>
      <c r="AG37" s="4">
        <v>21.41868637496999</v>
      </c>
      <c r="AH37" s="4">
        <v>21.400804745709959</v>
      </c>
      <c r="AI37" s="4">
        <v>1.788162926002812E-2</v>
      </c>
      <c r="AJ37" s="4">
        <v>21.93298647965149</v>
      </c>
      <c r="AK37" s="4">
        <v>0</v>
      </c>
      <c r="AL37" s="4">
        <v>0</v>
      </c>
      <c r="AM37" s="4">
        <v>0</v>
      </c>
      <c r="AN37" s="5">
        <v>36</v>
      </c>
      <c r="AO37" s="4">
        <v>4.2533523000000351E-2</v>
      </c>
      <c r="AP37" s="4">
        <v>5.1511021096971268</v>
      </c>
      <c r="AQ37" s="4">
        <v>5.0457838256971268</v>
      </c>
      <c r="AR37" s="4">
        <v>8.5028613662719188E-2</v>
      </c>
      <c r="AS37" s="4">
        <v>4.1380220642804666</v>
      </c>
      <c r="AT37" s="4">
        <v>4.147744964726618</v>
      </c>
      <c r="AU37" s="4">
        <v>-1.206484929125295E-2</v>
      </c>
      <c r="AV37" s="4">
        <v>25.06142178853678</v>
      </c>
      <c r="AW37" s="4">
        <v>25.057976372662079</v>
      </c>
    </row>
    <row r="38" spans="1:49" x14ac:dyDescent="0.3">
      <c r="A38" s="2" t="s">
        <v>113</v>
      </c>
      <c r="B38" s="2" t="s">
        <v>114</v>
      </c>
      <c r="C38" s="2">
        <v>2011</v>
      </c>
      <c r="D38" s="2">
        <v>1</v>
      </c>
      <c r="E38" s="2">
        <v>37</v>
      </c>
      <c r="F38" s="2">
        <v>37</v>
      </c>
      <c r="G38" s="6">
        <v>1879399653</v>
      </c>
      <c r="H38" s="4">
        <v>21.35421822927983</v>
      </c>
      <c r="I38" s="10">
        <v>2014256395</v>
      </c>
      <c r="J38" s="10">
        <v>1901190626</v>
      </c>
      <c r="K38" s="4">
        <v>3.6109179126442239</v>
      </c>
      <c r="L38" s="6">
        <v>51700000000</v>
      </c>
      <c r="M38" s="7">
        <v>1049</v>
      </c>
      <c r="N38" s="4">
        <v>1.488083889418494</v>
      </c>
      <c r="O38" s="10">
        <v>76933937082.936127</v>
      </c>
      <c r="P38" s="4">
        <v>25.06621293057993</v>
      </c>
      <c r="Q38" s="7">
        <v>143.70000003012851</v>
      </c>
      <c r="R38" s="8">
        <v>1.432085561497326</v>
      </c>
      <c r="S38" s="3">
        <v>205.79069523031239</v>
      </c>
      <c r="T38" s="4">
        <v>5.3268596096971272</v>
      </c>
      <c r="U38" s="6">
        <v>89276806.569999993</v>
      </c>
      <c r="V38" s="3">
        <v>47.502832315357459</v>
      </c>
      <c r="W38" s="3">
        <v>68.028120289052026</v>
      </c>
      <c r="X38" s="4">
        <v>4.2199211533571566</v>
      </c>
      <c r="Y38" s="3">
        <v>68.241349442948589</v>
      </c>
      <c r="Z38" s="4">
        <v>4.2230506779431858</v>
      </c>
      <c r="AA38" s="5">
        <v>0</v>
      </c>
      <c r="AB38" s="5">
        <v>0</v>
      </c>
      <c r="AC38" s="5">
        <v>0</v>
      </c>
      <c r="AD38" s="5">
        <v>0</v>
      </c>
      <c r="AE38" s="9" t="s">
        <v>41</v>
      </c>
      <c r="AF38" s="9" t="s">
        <v>42</v>
      </c>
      <c r="AG38" s="4">
        <v>21.42351592949553</v>
      </c>
      <c r="AH38" s="4">
        <v>21.36574617212181</v>
      </c>
      <c r="AI38" s="4">
        <v>5.7769757373719699E-2</v>
      </c>
      <c r="AJ38" s="4">
        <v>22.478927547924759</v>
      </c>
      <c r="AK38" s="4">
        <v>0</v>
      </c>
      <c r="AL38" s="4">
        <v>0</v>
      </c>
      <c r="AM38" s="4">
        <v>0</v>
      </c>
      <c r="AN38" s="5">
        <v>37</v>
      </c>
      <c r="AO38" s="4">
        <v>0.1332239770000001</v>
      </c>
      <c r="AP38" s="4">
        <v>5.1936356326971271</v>
      </c>
      <c r="AQ38" s="4">
        <v>5.1087747166971269</v>
      </c>
      <c r="AR38" s="4">
        <v>-3.1295245860292198E-3</v>
      </c>
      <c r="AS38" s="4">
        <v>4.2230506779431858</v>
      </c>
      <c r="AT38" s="4">
        <v>4.1509349005044358</v>
      </c>
      <c r="AU38" s="4">
        <v>1.6855991334406181E-2</v>
      </c>
      <c r="AV38" s="4">
        <v>25.04935693924552</v>
      </c>
      <c r="AW38" s="4">
        <v>25.069604590857359</v>
      </c>
    </row>
    <row r="39" spans="1:49" x14ac:dyDescent="0.3">
      <c r="A39" s="2" t="s">
        <v>115</v>
      </c>
      <c r="B39" s="2" t="s">
        <v>116</v>
      </c>
      <c r="C39" s="2">
        <v>2011</v>
      </c>
      <c r="D39" s="2">
        <v>2</v>
      </c>
      <c r="E39" s="2">
        <v>38</v>
      </c>
      <c r="F39" s="2">
        <v>38</v>
      </c>
      <c r="G39" s="6">
        <v>1919830774</v>
      </c>
      <c r="H39" s="4">
        <v>21.37550288056001</v>
      </c>
      <c r="I39" s="10">
        <v>1879399653</v>
      </c>
      <c r="J39" s="10">
        <v>1886730506</v>
      </c>
      <c r="K39" s="4">
        <v>3.6375861597263861</v>
      </c>
      <c r="L39" s="6">
        <v>52555000000</v>
      </c>
      <c r="M39" s="7">
        <v>1057</v>
      </c>
      <c r="N39" s="4">
        <v>1.4768211920529799</v>
      </c>
      <c r="O39" s="10">
        <v>77614337748.344376</v>
      </c>
      <c r="P39" s="4">
        <v>25.07501801186692</v>
      </c>
      <c r="Q39" s="7">
        <v>155.29999999950519</v>
      </c>
      <c r="R39" s="8">
        <v>1.41843220338983</v>
      </c>
      <c r="S39" s="3">
        <v>220.2825211857388</v>
      </c>
      <c r="T39" s="4">
        <v>5.3949109096971268</v>
      </c>
      <c r="U39" s="6">
        <v>91109048.150000006</v>
      </c>
      <c r="V39" s="3">
        <v>47.456812018995173</v>
      </c>
      <c r="W39" s="3">
        <v>67.314270437960317</v>
      </c>
      <c r="X39" s="4">
        <v>4.2093722563417204</v>
      </c>
      <c r="Y39" s="3">
        <v>68.028120289052026</v>
      </c>
      <c r="Z39" s="4">
        <v>4.2199211533571566</v>
      </c>
      <c r="AA39" s="5">
        <v>1</v>
      </c>
      <c r="AB39" s="5">
        <v>0</v>
      </c>
      <c r="AC39" s="5">
        <v>0</v>
      </c>
      <c r="AD39" s="5">
        <v>0</v>
      </c>
      <c r="AE39" s="9" t="s">
        <v>41</v>
      </c>
      <c r="AF39" s="9" t="s">
        <v>42</v>
      </c>
      <c r="AG39" s="4">
        <v>21.35421822927983</v>
      </c>
      <c r="AH39" s="4">
        <v>21.358111277023401</v>
      </c>
      <c r="AI39" s="4">
        <v>-3.8930477435776818E-3</v>
      </c>
      <c r="AJ39" s="4">
        <v>22.70918830871436</v>
      </c>
      <c r="AK39" s="4">
        <v>0</v>
      </c>
      <c r="AL39" s="4">
        <v>0</v>
      </c>
      <c r="AM39" s="4">
        <v>0</v>
      </c>
      <c r="AN39" s="5">
        <v>38</v>
      </c>
      <c r="AO39" s="4">
        <v>6.8051299999999593E-2</v>
      </c>
      <c r="AP39" s="4">
        <v>5.3268596096971272</v>
      </c>
      <c r="AQ39" s="4">
        <v>5.1613444716971273</v>
      </c>
      <c r="AR39" s="4">
        <v>-1.054889701543615E-2</v>
      </c>
      <c r="AS39" s="4">
        <v>4.2199211533571566</v>
      </c>
      <c r="AT39" s="4">
        <v>4.1494736449148224</v>
      </c>
      <c r="AU39" s="4">
        <v>8.8050812869937545E-3</v>
      </c>
      <c r="AV39" s="4">
        <v>25.06621293057993</v>
      </c>
      <c r="AW39" s="4">
        <v>25.075732293387698</v>
      </c>
    </row>
    <row r="40" spans="1:49" x14ac:dyDescent="0.3">
      <c r="A40" s="2" t="s">
        <v>117</v>
      </c>
      <c r="B40" s="2" t="s">
        <v>118</v>
      </c>
      <c r="C40" s="2">
        <v>2011</v>
      </c>
      <c r="D40" s="2">
        <v>3</v>
      </c>
      <c r="E40" s="2">
        <v>39</v>
      </c>
      <c r="F40" s="2">
        <v>39</v>
      </c>
      <c r="G40" s="6">
        <v>1940412167</v>
      </c>
      <c r="H40" s="4">
        <v>21.3861662446723</v>
      </c>
      <c r="I40" s="10">
        <v>1919830774</v>
      </c>
      <c r="J40" s="10">
        <v>2004551887</v>
      </c>
      <c r="K40" s="4">
        <v>3.6635616461296459</v>
      </c>
      <c r="L40" s="6">
        <v>53351000000</v>
      </c>
      <c r="M40" s="7">
        <v>1062</v>
      </c>
      <c r="N40" s="4">
        <v>1.4698681732580039</v>
      </c>
      <c r="O40" s="10">
        <v>78418936911.487747</v>
      </c>
      <c r="P40" s="4">
        <v>25.085331277374511</v>
      </c>
      <c r="Q40" s="7">
        <v>143.30000006116771</v>
      </c>
      <c r="R40" s="8">
        <v>1.4124472573839659</v>
      </c>
      <c r="S40" s="3">
        <v>202.40369206951851</v>
      </c>
      <c r="T40" s="4">
        <v>5.3102641786971274</v>
      </c>
      <c r="U40" s="6">
        <v>92119748.579999998</v>
      </c>
      <c r="V40" s="3">
        <v>47.4743202226066</v>
      </c>
      <c r="W40" s="3">
        <v>67.054973394588856</v>
      </c>
      <c r="X40" s="4">
        <v>4.2055127813928426</v>
      </c>
      <c r="Y40" s="3">
        <v>67.314270437960317</v>
      </c>
      <c r="Z40" s="4">
        <v>4.2093722563417204</v>
      </c>
      <c r="AA40" s="5">
        <v>0</v>
      </c>
      <c r="AB40" s="5">
        <v>1</v>
      </c>
      <c r="AC40" s="5">
        <v>0</v>
      </c>
      <c r="AD40" s="5">
        <v>0</v>
      </c>
      <c r="AE40" s="9" t="s">
        <v>41</v>
      </c>
      <c r="AF40" s="9" t="s">
        <v>42</v>
      </c>
      <c r="AG40" s="4">
        <v>21.37550288056001</v>
      </c>
      <c r="AH40" s="4">
        <v>21.41868637496999</v>
      </c>
      <c r="AI40" s="4">
        <v>-4.3183494409980483E-2</v>
      </c>
      <c r="AJ40" s="4">
        <v>22.33238387608333</v>
      </c>
      <c r="AK40" s="4">
        <v>0</v>
      </c>
      <c r="AL40" s="4">
        <v>0</v>
      </c>
      <c r="AM40" s="4">
        <v>0</v>
      </c>
      <c r="AN40" s="5">
        <v>39</v>
      </c>
      <c r="AO40" s="4">
        <v>-8.464673099999942E-2</v>
      </c>
      <c r="AP40" s="4">
        <v>5.3949109096971268</v>
      </c>
      <c r="AQ40" s="4">
        <v>5.1511021096971268</v>
      </c>
      <c r="AR40" s="4">
        <v>-3.859474948877839E-3</v>
      </c>
      <c r="AS40" s="4">
        <v>4.2093722563417204</v>
      </c>
      <c r="AT40" s="4">
        <v>4.1380220642804666</v>
      </c>
      <c r="AU40" s="4">
        <v>1.031326550758394E-2</v>
      </c>
      <c r="AV40" s="4">
        <v>25.07501801186692</v>
      </c>
      <c r="AW40" s="4">
        <v>25.06142178853678</v>
      </c>
    </row>
    <row r="41" spans="1:49" x14ac:dyDescent="0.3">
      <c r="A41" s="2" t="s">
        <v>119</v>
      </c>
      <c r="B41" s="2" t="s">
        <v>120</v>
      </c>
      <c r="C41" s="2">
        <v>2011</v>
      </c>
      <c r="D41" s="2">
        <v>4</v>
      </c>
      <c r="E41" s="2">
        <v>40</v>
      </c>
      <c r="F41" s="2">
        <v>40</v>
      </c>
      <c r="G41" s="6">
        <v>2041795708</v>
      </c>
      <c r="H41" s="4">
        <v>21.437095506630179</v>
      </c>
      <c r="I41" s="10">
        <v>1940412167</v>
      </c>
      <c r="J41" s="10">
        <v>2014256395</v>
      </c>
      <c r="K41" s="4">
        <v>3.6888794541139358</v>
      </c>
      <c r="L41" s="6">
        <v>53656000000</v>
      </c>
      <c r="M41" s="7">
        <v>1059</v>
      </c>
      <c r="N41" s="4">
        <v>1.4740321057601511</v>
      </c>
      <c r="O41" s="10">
        <v>79090666666.666672</v>
      </c>
      <c r="P41" s="4">
        <v>25.093860710657871</v>
      </c>
      <c r="Q41" s="7">
        <v>151.799999929894</v>
      </c>
      <c r="R41" s="8">
        <v>1.4169312169312169</v>
      </c>
      <c r="S41" s="3">
        <v>215.09015863082331</v>
      </c>
      <c r="T41" s="4">
        <v>5.3710572826971266</v>
      </c>
      <c r="U41" s="6">
        <v>96965341.739999995</v>
      </c>
      <c r="V41" s="3">
        <v>47.490227038913922</v>
      </c>
      <c r="W41" s="3">
        <v>67.290385190588083</v>
      </c>
      <c r="X41" s="4">
        <v>4.2090173615201198</v>
      </c>
      <c r="Y41" s="3">
        <v>67.054973394588856</v>
      </c>
      <c r="Z41" s="4">
        <v>4.2055127813928426</v>
      </c>
      <c r="AA41" s="5">
        <v>0</v>
      </c>
      <c r="AB41" s="5">
        <v>0</v>
      </c>
      <c r="AC41" s="5">
        <v>1</v>
      </c>
      <c r="AD41" s="5">
        <v>0</v>
      </c>
      <c r="AE41" s="9" t="s">
        <v>41</v>
      </c>
      <c r="AF41" s="9" t="s">
        <v>42</v>
      </c>
      <c r="AG41" s="4">
        <v>21.3861662446723</v>
      </c>
      <c r="AH41" s="4">
        <v>21.42351592949553</v>
      </c>
      <c r="AI41" s="4">
        <v>-3.7349684823222873E-2</v>
      </c>
      <c r="AJ41" s="4">
        <v>22.60687335259129</v>
      </c>
      <c r="AK41" s="4">
        <v>0</v>
      </c>
      <c r="AL41" s="4">
        <v>0</v>
      </c>
      <c r="AM41" s="4">
        <v>0</v>
      </c>
      <c r="AN41" s="5">
        <v>40</v>
      </c>
      <c r="AO41" s="4">
        <v>6.0793104000000042E-2</v>
      </c>
      <c r="AP41" s="4">
        <v>5.3102641786971274</v>
      </c>
      <c r="AQ41" s="4">
        <v>5.1936356326971271</v>
      </c>
      <c r="AR41" s="4">
        <v>3.5045801272772792E-3</v>
      </c>
      <c r="AS41" s="4">
        <v>4.2055127813928426</v>
      </c>
      <c r="AT41" s="4">
        <v>4.2230506779431858</v>
      </c>
      <c r="AU41" s="4">
        <v>8.5294332833640851E-3</v>
      </c>
      <c r="AV41" s="4">
        <v>25.085331277374511</v>
      </c>
      <c r="AW41" s="4">
        <v>25.04935693924552</v>
      </c>
    </row>
    <row r="42" spans="1:49" x14ac:dyDescent="0.3">
      <c r="A42" s="2" t="s">
        <v>121</v>
      </c>
      <c r="B42" s="2" t="s">
        <v>122</v>
      </c>
      <c r="C42" s="2">
        <v>2012</v>
      </c>
      <c r="D42" s="2">
        <v>1</v>
      </c>
      <c r="E42" s="2">
        <v>41</v>
      </c>
      <c r="F42" s="2">
        <v>41</v>
      </c>
      <c r="G42" s="6">
        <v>1972821179</v>
      </c>
      <c r="H42" s="4">
        <v>21.40273042581957</v>
      </c>
      <c r="I42" s="10">
        <v>2041795708</v>
      </c>
      <c r="J42" s="10">
        <v>1879399653</v>
      </c>
      <c r="K42" s="4">
        <v>3.713572066704308</v>
      </c>
      <c r="L42" s="6">
        <v>53651000000</v>
      </c>
      <c r="M42" s="7">
        <v>1057</v>
      </c>
      <c r="N42" s="4">
        <v>1.4768211920529799</v>
      </c>
      <c r="O42" s="10">
        <v>79232933774.834442</v>
      </c>
      <c r="P42" s="4">
        <v>25.095657879823591</v>
      </c>
      <c r="Q42" s="7">
        <v>152.10000005333171</v>
      </c>
      <c r="R42" s="8">
        <v>1.4109589041095889</v>
      </c>
      <c r="S42" s="3">
        <v>214.60684939031739</v>
      </c>
      <c r="T42" s="4">
        <v>5.3688077466971276</v>
      </c>
      <c r="U42" s="6">
        <v>93754621.900000006</v>
      </c>
      <c r="V42" s="3">
        <v>47.523122165346543</v>
      </c>
      <c r="W42" s="3">
        <v>67.053172370283477</v>
      </c>
      <c r="X42" s="4">
        <v>4.2054859221100571</v>
      </c>
      <c r="Y42" s="3">
        <v>67.290385190588083</v>
      </c>
      <c r="Z42" s="4">
        <v>4.2090173615201198</v>
      </c>
      <c r="AA42" s="5">
        <v>0</v>
      </c>
      <c r="AB42" s="5">
        <v>0</v>
      </c>
      <c r="AC42" s="5">
        <v>0</v>
      </c>
      <c r="AD42" s="5">
        <v>0</v>
      </c>
      <c r="AE42" s="9" t="s">
        <v>41</v>
      </c>
      <c r="AF42" s="9" t="s">
        <v>42</v>
      </c>
      <c r="AG42" s="4">
        <v>21.437095506630179</v>
      </c>
      <c r="AH42" s="4">
        <v>21.35421822927983</v>
      </c>
      <c r="AI42" s="4">
        <v>8.2877277350348777E-2</v>
      </c>
      <c r="AJ42" s="4">
        <v>22.578445397250189</v>
      </c>
      <c r="AK42" s="4">
        <v>0</v>
      </c>
      <c r="AL42" s="4">
        <v>0</v>
      </c>
      <c r="AM42" s="4">
        <v>0</v>
      </c>
      <c r="AN42" s="5">
        <v>41</v>
      </c>
      <c r="AO42" s="4">
        <v>-2.249535999999885E-3</v>
      </c>
      <c r="AP42" s="4">
        <v>5.3710572826971266</v>
      </c>
      <c r="AQ42" s="4">
        <v>5.3268596096971272</v>
      </c>
      <c r="AR42" s="4">
        <v>-3.5314394100627311E-3</v>
      </c>
      <c r="AS42" s="4">
        <v>4.2090173615201198</v>
      </c>
      <c r="AT42" s="4">
        <v>4.2199211533571566</v>
      </c>
      <c r="AU42" s="4">
        <v>1.7971691657159279E-3</v>
      </c>
      <c r="AV42" s="4">
        <v>25.093860710657871</v>
      </c>
      <c r="AW42" s="4">
        <v>25.06621293057993</v>
      </c>
    </row>
    <row r="43" spans="1:49" x14ac:dyDescent="0.3">
      <c r="A43" s="2" t="s">
        <v>123</v>
      </c>
      <c r="B43" s="2" t="s">
        <v>124</v>
      </c>
      <c r="C43" s="2">
        <v>2012</v>
      </c>
      <c r="D43" s="2">
        <v>2</v>
      </c>
      <c r="E43" s="2">
        <v>42</v>
      </c>
      <c r="F43" s="2">
        <v>42</v>
      </c>
      <c r="G43" s="6">
        <v>1977295468</v>
      </c>
      <c r="H43" s="4">
        <v>21.404995822674071</v>
      </c>
      <c r="I43" s="10">
        <v>1972821179</v>
      </c>
      <c r="J43" s="10">
        <v>1919830774</v>
      </c>
      <c r="K43" s="4">
        <v>3.737669618283368</v>
      </c>
      <c r="L43" s="6">
        <v>54500000000</v>
      </c>
      <c r="M43" s="7">
        <v>1067</v>
      </c>
      <c r="N43" s="4">
        <v>1.462980318650422</v>
      </c>
      <c r="O43" s="10">
        <v>79732427366.447983</v>
      </c>
      <c r="P43" s="4">
        <v>25.101942207829289</v>
      </c>
      <c r="Q43" s="7">
        <v>149.60000001791909</v>
      </c>
      <c r="R43" s="8">
        <v>1.405036726128017</v>
      </c>
      <c r="S43" s="3">
        <v>210.19349425392829</v>
      </c>
      <c r="T43" s="4">
        <v>5.3480285076971272</v>
      </c>
      <c r="U43" s="6">
        <v>93907661.810000002</v>
      </c>
      <c r="V43" s="3">
        <v>47.492983891267379</v>
      </c>
      <c r="W43" s="3">
        <v>66.729386600636957</v>
      </c>
      <c r="X43" s="4">
        <v>4.2006454346154651</v>
      </c>
      <c r="Y43" s="3">
        <v>67.053172370283477</v>
      </c>
      <c r="Z43" s="4">
        <v>4.2054859221100571</v>
      </c>
      <c r="AA43" s="5">
        <v>1</v>
      </c>
      <c r="AB43" s="5">
        <v>0</v>
      </c>
      <c r="AC43" s="5">
        <v>0</v>
      </c>
      <c r="AD43" s="5">
        <v>0</v>
      </c>
      <c r="AE43" s="9" t="s">
        <v>41</v>
      </c>
      <c r="AF43" s="9" t="s">
        <v>42</v>
      </c>
      <c r="AG43" s="4">
        <v>21.40273042581957</v>
      </c>
      <c r="AH43" s="4">
        <v>21.37550288056001</v>
      </c>
      <c r="AI43" s="4">
        <v>2.722754525956006E-2</v>
      </c>
      <c r="AJ43" s="4">
        <v>22.465171535051301</v>
      </c>
      <c r="AK43" s="4">
        <v>0</v>
      </c>
      <c r="AL43" s="4">
        <v>0</v>
      </c>
      <c r="AM43" s="4">
        <v>0</v>
      </c>
      <c r="AN43" s="5">
        <v>42</v>
      </c>
      <c r="AO43" s="4">
        <v>-2.0779239000000341E-2</v>
      </c>
      <c r="AP43" s="4">
        <v>5.3688077466971276</v>
      </c>
      <c r="AQ43" s="4">
        <v>5.3949109096971268</v>
      </c>
      <c r="AR43" s="4">
        <v>-4.8404874945919829E-3</v>
      </c>
      <c r="AS43" s="4">
        <v>4.2054859221100571</v>
      </c>
      <c r="AT43" s="4">
        <v>4.2093722563417204</v>
      </c>
      <c r="AU43" s="4">
        <v>6.2843280057016671E-3</v>
      </c>
      <c r="AV43" s="4">
        <v>25.095657879823591</v>
      </c>
      <c r="AW43" s="4">
        <v>25.07501801186692</v>
      </c>
    </row>
    <row r="44" spans="1:49" x14ac:dyDescent="0.3">
      <c r="A44" s="2" t="s">
        <v>125</v>
      </c>
      <c r="B44" s="2" t="s">
        <v>126</v>
      </c>
      <c r="C44" s="2">
        <v>2012</v>
      </c>
      <c r="D44" s="2">
        <v>3</v>
      </c>
      <c r="E44" s="2">
        <v>43</v>
      </c>
      <c r="F44" s="2">
        <v>43</v>
      </c>
      <c r="G44" s="6">
        <v>1986302686</v>
      </c>
      <c r="H44" s="4">
        <v>21.409540800825269</v>
      </c>
      <c r="I44" s="10">
        <v>1977295468</v>
      </c>
      <c r="J44" s="10">
        <v>1940412167</v>
      </c>
      <c r="K44" s="4">
        <v>3.7612001156935619</v>
      </c>
      <c r="L44" s="6">
        <v>54003000000</v>
      </c>
      <c r="M44" s="7">
        <v>1051</v>
      </c>
      <c r="N44" s="4">
        <v>1.485252140818268</v>
      </c>
      <c r="O44" s="10">
        <v>80208071360.608948</v>
      </c>
      <c r="P44" s="4">
        <v>25.10788998716157</v>
      </c>
      <c r="Q44" s="7">
        <v>149.09999995765449</v>
      </c>
      <c r="R44" s="8">
        <v>1.402094240837696</v>
      </c>
      <c r="S44" s="3">
        <v>209.0522512495281</v>
      </c>
      <c r="T44" s="4">
        <v>5.3425842266971273</v>
      </c>
      <c r="U44" s="6">
        <v>95535869.989999995</v>
      </c>
      <c r="V44" s="3">
        <v>48.097337159820967</v>
      </c>
      <c r="W44" s="3">
        <v>67.436999431413909</v>
      </c>
      <c r="X44" s="4">
        <v>4.2111938202870256</v>
      </c>
      <c r="Y44" s="3">
        <v>66.729386600636957</v>
      </c>
      <c r="Z44" s="4">
        <v>4.2006454346154651</v>
      </c>
      <c r="AA44" s="5">
        <v>0</v>
      </c>
      <c r="AB44" s="5">
        <v>1</v>
      </c>
      <c r="AC44" s="5">
        <v>0</v>
      </c>
      <c r="AD44" s="5">
        <v>0</v>
      </c>
      <c r="AE44" s="9" t="s">
        <v>41</v>
      </c>
      <c r="AF44" s="9" t="s">
        <v>42</v>
      </c>
      <c r="AG44" s="4">
        <v>21.404995822674071</v>
      </c>
      <c r="AH44" s="4">
        <v>21.3861662446723</v>
      </c>
      <c r="AI44" s="4">
        <v>1.8829578001763991E-2</v>
      </c>
      <c r="AJ44" s="4">
        <v>22.49865767982989</v>
      </c>
      <c r="AK44" s="4">
        <v>0</v>
      </c>
      <c r="AL44" s="4">
        <v>0</v>
      </c>
      <c r="AM44" s="4">
        <v>0</v>
      </c>
      <c r="AN44" s="5">
        <v>43</v>
      </c>
      <c r="AO44" s="4">
        <v>-5.4442809999999398E-3</v>
      </c>
      <c r="AP44" s="4">
        <v>5.3480285076971272</v>
      </c>
      <c r="AQ44" s="4">
        <v>5.3102641786971274</v>
      </c>
      <c r="AR44" s="4">
        <v>1.0548385671561361E-2</v>
      </c>
      <c r="AS44" s="4">
        <v>4.2006454346154651</v>
      </c>
      <c r="AT44" s="4">
        <v>4.2055127813928426</v>
      </c>
      <c r="AU44" s="4">
        <v>5.9477793322813E-3</v>
      </c>
      <c r="AV44" s="4">
        <v>25.101942207829289</v>
      </c>
      <c r="AW44" s="4">
        <v>25.085331277374511</v>
      </c>
    </row>
    <row r="45" spans="1:49" x14ac:dyDescent="0.3">
      <c r="A45" s="2" t="s">
        <v>127</v>
      </c>
      <c r="B45" s="2" t="s">
        <v>128</v>
      </c>
      <c r="C45" s="2">
        <v>2012</v>
      </c>
      <c r="D45" s="2">
        <v>4</v>
      </c>
      <c r="E45" s="2">
        <v>44</v>
      </c>
      <c r="F45" s="2">
        <v>44</v>
      </c>
      <c r="G45" s="6">
        <v>2087229366</v>
      </c>
      <c r="H45" s="4">
        <v>21.459103361254702</v>
      </c>
      <c r="I45" s="10">
        <v>1986302686</v>
      </c>
      <c r="J45" s="10">
        <v>2041795708</v>
      </c>
      <c r="K45" s="4">
        <v>3.784189633918261</v>
      </c>
      <c r="L45" s="6">
        <v>54148000000</v>
      </c>
      <c r="M45" s="7">
        <v>1042</v>
      </c>
      <c r="N45" s="4">
        <v>1.4980806142034551</v>
      </c>
      <c r="O45" s="10">
        <v>81118069097.888672</v>
      </c>
      <c r="P45" s="4">
        <v>25.11917157347207</v>
      </c>
      <c r="Q45" s="7">
        <v>150.00000005369779</v>
      </c>
      <c r="R45" s="8">
        <v>1.40356394129979</v>
      </c>
      <c r="S45" s="3">
        <v>210.5345912703369</v>
      </c>
      <c r="T45" s="4">
        <v>5.3496499686971273</v>
      </c>
      <c r="U45" s="6">
        <v>102984049.5</v>
      </c>
      <c r="V45" s="3">
        <v>49.340073102440243</v>
      </c>
      <c r="W45" s="3">
        <v>69.251947467680807</v>
      </c>
      <c r="X45" s="4">
        <v>4.2377512669490036</v>
      </c>
      <c r="Y45" s="3">
        <v>67.436999431413909</v>
      </c>
      <c r="Z45" s="4">
        <v>4.2111938202870256</v>
      </c>
      <c r="AA45" s="5">
        <v>0</v>
      </c>
      <c r="AB45" s="5">
        <v>0</v>
      </c>
      <c r="AC45" s="5">
        <v>1</v>
      </c>
      <c r="AD45" s="5">
        <v>0</v>
      </c>
      <c r="AE45" s="9" t="s">
        <v>41</v>
      </c>
      <c r="AF45" s="9" t="s">
        <v>42</v>
      </c>
      <c r="AG45" s="4">
        <v>21.409540800825269</v>
      </c>
      <c r="AH45" s="4">
        <v>21.437095506630179</v>
      </c>
      <c r="AI45" s="4">
        <v>-2.755470580490282E-2</v>
      </c>
      <c r="AJ45" s="4">
        <v>22.67048593257995</v>
      </c>
      <c r="AK45" s="4">
        <v>0</v>
      </c>
      <c r="AL45" s="4">
        <v>0</v>
      </c>
      <c r="AM45" s="4">
        <v>0</v>
      </c>
      <c r="AN45" s="5">
        <v>44</v>
      </c>
      <c r="AO45" s="4">
        <v>7.065741999999986E-3</v>
      </c>
      <c r="AP45" s="4">
        <v>5.3425842266971273</v>
      </c>
      <c r="AQ45" s="4">
        <v>5.3710572826971266</v>
      </c>
      <c r="AR45" s="4">
        <v>2.6557446661977121E-2</v>
      </c>
      <c r="AS45" s="4">
        <v>4.2111938202870256</v>
      </c>
      <c r="AT45" s="4">
        <v>4.2090173615201198</v>
      </c>
      <c r="AU45" s="4">
        <v>1.128158631049914E-2</v>
      </c>
      <c r="AV45" s="4">
        <v>25.10788998716157</v>
      </c>
      <c r="AW45" s="4">
        <v>25.093860710657871</v>
      </c>
    </row>
    <row r="46" spans="1:49" x14ac:dyDescent="0.3">
      <c r="A46" s="2" t="s">
        <v>129</v>
      </c>
      <c r="B46" s="2" t="s">
        <v>130</v>
      </c>
      <c r="C46" s="2">
        <v>2013</v>
      </c>
      <c r="D46" s="2">
        <v>1</v>
      </c>
      <c r="E46" s="2">
        <v>45</v>
      </c>
      <c r="F46" s="2">
        <v>45</v>
      </c>
      <c r="G46" s="6">
        <v>2004260597</v>
      </c>
      <c r="H46" s="4">
        <v>21.418541050137922</v>
      </c>
      <c r="I46" s="10">
        <v>2087229366</v>
      </c>
      <c r="J46" s="10">
        <v>1972821179</v>
      </c>
      <c r="K46" s="4">
        <v>3.8066624897703201</v>
      </c>
      <c r="L46" s="6">
        <v>55225000000</v>
      </c>
      <c r="M46" s="7">
        <v>1057</v>
      </c>
      <c r="N46" s="4">
        <v>1.4768211920529799</v>
      </c>
      <c r="O46" s="10">
        <v>81557450331.125824</v>
      </c>
      <c r="P46" s="4">
        <v>25.124573520897791</v>
      </c>
      <c r="Q46" s="7">
        <v>147.70000006491139</v>
      </c>
      <c r="R46" s="8">
        <v>1.3977035490605429</v>
      </c>
      <c r="S46" s="3">
        <v>206.44081428696899</v>
      </c>
      <c r="T46" s="4">
        <v>5.3300137576971274</v>
      </c>
      <c r="U46" s="6">
        <v>99124691.349999994</v>
      </c>
      <c r="V46" s="3">
        <v>49.456987528653187</v>
      </c>
      <c r="W46" s="3">
        <v>69.126206994641564</v>
      </c>
      <c r="X46" s="4">
        <v>4.2359339207336957</v>
      </c>
      <c r="Y46" s="3">
        <v>69.251947467680807</v>
      </c>
      <c r="Z46" s="4">
        <v>4.2377512669490036</v>
      </c>
      <c r="AA46" s="5">
        <v>0</v>
      </c>
      <c r="AB46" s="5">
        <v>0</v>
      </c>
      <c r="AC46" s="5">
        <v>0</v>
      </c>
      <c r="AD46" s="5">
        <v>0</v>
      </c>
      <c r="AE46" s="9" t="s">
        <v>41</v>
      </c>
      <c r="AF46" s="9" t="s">
        <v>42</v>
      </c>
      <c r="AG46" s="4">
        <v>21.459103361254702</v>
      </c>
      <c r="AH46" s="4">
        <v>21.40273042581957</v>
      </c>
      <c r="AI46" s="4">
        <v>5.6372935435135219E-2</v>
      </c>
      <c r="AJ46" s="4">
        <v>22.577586074206529</v>
      </c>
      <c r="AK46" s="4">
        <v>0</v>
      </c>
      <c r="AL46" s="4">
        <v>0</v>
      </c>
      <c r="AM46" s="4">
        <v>0</v>
      </c>
      <c r="AN46" s="5">
        <v>45</v>
      </c>
      <c r="AO46" s="4">
        <v>-1.96362109999999E-2</v>
      </c>
      <c r="AP46" s="4">
        <v>5.3496499686971273</v>
      </c>
      <c r="AQ46" s="4">
        <v>5.3688077466971276</v>
      </c>
      <c r="AR46" s="4">
        <v>-1.817346215307936E-3</v>
      </c>
      <c r="AS46" s="4">
        <v>4.2377512669490036</v>
      </c>
      <c r="AT46" s="4">
        <v>4.2054859221100571</v>
      </c>
      <c r="AU46" s="4">
        <v>5.4019474257174238E-3</v>
      </c>
      <c r="AV46" s="4">
        <v>25.11917157347207</v>
      </c>
      <c r="AW46" s="4">
        <v>25.095657879823591</v>
      </c>
    </row>
    <row r="47" spans="1:49" x14ac:dyDescent="0.3">
      <c r="A47" s="2" t="s">
        <v>131</v>
      </c>
      <c r="B47" s="2" t="s">
        <v>132</v>
      </c>
      <c r="C47" s="2">
        <v>2013</v>
      </c>
      <c r="D47" s="2">
        <v>2</v>
      </c>
      <c r="E47" s="2">
        <v>46</v>
      </c>
      <c r="F47" s="2">
        <v>46</v>
      </c>
      <c r="G47" s="6">
        <v>2072369167</v>
      </c>
      <c r="H47" s="4">
        <v>21.451958314874911</v>
      </c>
      <c r="I47" s="10">
        <v>2004260597</v>
      </c>
      <c r="J47" s="10">
        <v>1977295468</v>
      </c>
      <c r="K47" s="4">
        <v>3.8286413964890951</v>
      </c>
      <c r="L47" s="6">
        <v>55741000000</v>
      </c>
      <c r="M47" s="7">
        <v>1072</v>
      </c>
      <c r="N47" s="4">
        <v>1.456156716417911</v>
      </c>
      <c r="O47" s="10">
        <v>81167631529.850754</v>
      </c>
      <c r="P47" s="4">
        <v>25.11978237816172</v>
      </c>
      <c r="Q47" s="7">
        <v>141.19999997603151</v>
      </c>
      <c r="R47" s="8">
        <v>1.396246089676747</v>
      </c>
      <c r="S47" s="3">
        <v>197.1499478288907</v>
      </c>
      <c r="T47" s="4">
        <v>5.2839645956971273</v>
      </c>
      <c r="U47" s="6">
        <v>102339749.09999999</v>
      </c>
      <c r="V47" s="3">
        <v>49.382972266543092</v>
      </c>
      <c r="W47" s="3">
        <v>68.950781923776006</v>
      </c>
      <c r="X47" s="4">
        <v>4.233392944621361</v>
      </c>
      <c r="Y47" s="3">
        <v>69.126206994641564</v>
      </c>
      <c r="Z47" s="4">
        <v>4.2359339207336957</v>
      </c>
      <c r="AA47" s="5">
        <v>1</v>
      </c>
      <c r="AB47" s="5">
        <v>0</v>
      </c>
      <c r="AC47" s="5">
        <v>0</v>
      </c>
      <c r="AD47" s="5">
        <v>0</v>
      </c>
      <c r="AE47" s="9" t="s">
        <v>41</v>
      </c>
      <c r="AF47" s="9" t="s">
        <v>42</v>
      </c>
      <c r="AG47" s="4">
        <v>21.418541050137922</v>
      </c>
      <c r="AH47" s="4">
        <v>21.404995822674071</v>
      </c>
      <c r="AI47" s="4">
        <v>1.3545227463854561E-2</v>
      </c>
      <c r="AJ47" s="4">
        <v>22.369098439053278</v>
      </c>
      <c r="AK47" s="4">
        <v>0</v>
      </c>
      <c r="AL47" s="4">
        <v>0</v>
      </c>
      <c r="AM47" s="4">
        <v>0</v>
      </c>
      <c r="AN47" s="5">
        <v>46</v>
      </c>
      <c r="AO47" s="4">
        <v>-4.6049162000000088E-2</v>
      </c>
      <c r="AP47" s="4">
        <v>5.3300137576971274</v>
      </c>
      <c r="AQ47" s="4">
        <v>5.3480285076971272</v>
      </c>
      <c r="AR47" s="4">
        <v>-2.5409761123347252E-3</v>
      </c>
      <c r="AS47" s="4">
        <v>4.2359339207336957</v>
      </c>
      <c r="AT47" s="4">
        <v>4.2006454346154651</v>
      </c>
      <c r="AU47" s="4">
        <v>-4.7911427360709524E-3</v>
      </c>
      <c r="AV47" s="4">
        <v>25.124573520897791</v>
      </c>
      <c r="AW47" s="4">
        <v>25.101942207829289</v>
      </c>
    </row>
    <row r="48" spans="1:49" x14ac:dyDescent="0.3">
      <c r="A48" s="2" t="s">
        <v>133</v>
      </c>
      <c r="B48" s="2" t="s">
        <v>134</v>
      </c>
      <c r="C48" s="2">
        <v>2013</v>
      </c>
      <c r="D48" s="2">
        <v>3</v>
      </c>
      <c r="E48" s="2">
        <v>47</v>
      </c>
      <c r="F48" s="2">
        <v>47</v>
      </c>
      <c r="G48" s="6">
        <v>2086860529</v>
      </c>
      <c r="H48" s="4">
        <v>21.458926634346451</v>
      </c>
      <c r="I48" s="10">
        <v>2072369167</v>
      </c>
      <c r="J48" s="10">
        <v>1986302686</v>
      </c>
      <c r="K48" s="4">
        <v>3.850147601710058</v>
      </c>
      <c r="L48" s="6">
        <v>57553000000</v>
      </c>
      <c r="M48" s="7">
        <v>1097</v>
      </c>
      <c r="N48" s="4">
        <v>1.4229717411121241</v>
      </c>
      <c r="O48" s="10">
        <v>81896292616.226059</v>
      </c>
      <c r="P48" s="4">
        <v>25.1287195595797</v>
      </c>
      <c r="Q48" s="7">
        <v>150.59999998746079</v>
      </c>
      <c r="R48" s="8">
        <v>1.3832644628099171</v>
      </c>
      <c r="S48" s="3">
        <v>208.3196280818286</v>
      </c>
      <c r="T48" s="4">
        <v>5.3390735736971271</v>
      </c>
      <c r="U48" s="6">
        <v>112806761.09999999</v>
      </c>
      <c r="V48" s="3">
        <v>54.055726069080293</v>
      </c>
      <c r="W48" s="3">
        <v>74.773364882746392</v>
      </c>
      <c r="X48" s="4">
        <v>4.3144617371120457</v>
      </c>
      <c r="Y48" s="3">
        <v>68.950781923776006</v>
      </c>
      <c r="Z48" s="4">
        <v>4.233392944621361</v>
      </c>
      <c r="AA48" s="5">
        <v>0</v>
      </c>
      <c r="AB48" s="5">
        <v>1</v>
      </c>
      <c r="AC48" s="5">
        <v>0</v>
      </c>
      <c r="AD48" s="5">
        <v>0</v>
      </c>
      <c r="AE48" s="9" t="s">
        <v>41</v>
      </c>
      <c r="AF48" s="9" t="s">
        <v>42</v>
      </c>
      <c r="AG48" s="4">
        <v>21.451958314874911</v>
      </c>
      <c r="AH48" s="4">
        <v>21.409540800825269</v>
      </c>
      <c r="AI48" s="4">
        <v>4.241751404963523E-2</v>
      </c>
      <c r="AJ48" s="4">
        <v>23.035228645342329</v>
      </c>
      <c r="AK48" s="4">
        <v>0</v>
      </c>
      <c r="AL48" s="4">
        <v>0</v>
      </c>
      <c r="AM48" s="4">
        <v>0</v>
      </c>
      <c r="AN48" s="5">
        <v>47</v>
      </c>
      <c r="AO48" s="4">
        <v>5.5108977999999809E-2</v>
      </c>
      <c r="AP48" s="4">
        <v>5.2839645956971273</v>
      </c>
      <c r="AQ48" s="4">
        <v>5.3425842266971273</v>
      </c>
      <c r="AR48" s="4">
        <v>8.1068792490684771E-2</v>
      </c>
      <c r="AS48" s="4">
        <v>4.233392944621361</v>
      </c>
      <c r="AT48" s="4">
        <v>4.2111938202870256</v>
      </c>
      <c r="AU48" s="4">
        <v>8.9371814179806108E-3</v>
      </c>
      <c r="AV48" s="4">
        <v>25.11978237816172</v>
      </c>
      <c r="AW48" s="4">
        <v>25.10788998716157</v>
      </c>
    </row>
    <row r="49" spans="1:49" x14ac:dyDescent="0.3">
      <c r="A49" s="2" t="s">
        <v>135</v>
      </c>
      <c r="B49" s="2" t="s">
        <v>136</v>
      </c>
      <c r="C49" s="2">
        <v>2013</v>
      </c>
      <c r="D49" s="2">
        <v>4</v>
      </c>
      <c r="E49" s="2">
        <v>48</v>
      </c>
      <c r="F49" s="2">
        <v>48</v>
      </c>
      <c r="G49" s="6">
        <v>2297457306</v>
      </c>
      <c r="H49" s="4">
        <v>21.555068829214051</v>
      </c>
      <c r="I49" s="10">
        <v>2086860529</v>
      </c>
      <c r="J49" s="10">
        <v>2087229366</v>
      </c>
      <c r="K49" s="4">
        <v>3.8712010109078911</v>
      </c>
      <c r="L49" s="6">
        <v>59579000000</v>
      </c>
      <c r="M49" s="7">
        <v>1129</v>
      </c>
      <c r="N49" s="4">
        <v>1.3826395039858279</v>
      </c>
      <c r="O49" s="10">
        <v>82376279007.971649</v>
      </c>
      <c r="P49" s="4">
        <v>25.13456335630071</v>
      </c>
      <c r="Q49" s="7">
        <v>148.9000000307862</v>
      </c>
      <c r="R49" s="8">
        <v>1.381836945304437</v>
      </c>
      <c r="S49" s="3">
        <v>205.75552119837229</v>
      </c>
      <c r="T49" s="4">
        <v>5.3266886736971273</v>
      </c>
      <c r="U49" s="6">
        <v>124888098</v>
      </c>
      <c r="V49" s="3">
        <v>54.359268254449987</v>
      </c>
      <c r="W49" s="3">
        <v>75.115645193713661</v>
      </c>
      <c r="X49" s="4">
        <v>4.3190288618899144</v>
      </c>
      <c r="Y49" s="3">
        <v>74.773364882746392</v>
      </c>
      <c r="Z49" s="4">
        <v>4.3144617371120457</v>
      </c>
      <c r="AA49" s="5">
        <v>0</v>
      </c>
      <c r="AB49" s="5">
        <v>0</v>
      </c>
      <c r="AC49" s="5">
        <v>1</v>
      </c>
      <c r="AD49" s="5">
        <v>0</v>
      </c>
      <c r="AE49" s="9" t="s">
        <v>41</v>
      </c>
      <c r="AF49" s="9" t="s">
        <v>42</v>
      </c>
      <c r="AG49" s="4">
        <v>21.458926634346451</v>
      </c>
      <c r="AH49" s="4">
        <v>21.459103361254702</v>
      </c>
      <c r="AI49" s="4">
        <v>-1.7672690825421E-4</v>
      </c>
      <c r="AJ49" s="4">
        <v>23.006122120000001</v>
      </c>
      <c r="AK49" s="4">
        <v>0</v>
      </c>
      <c r="AL49" s="4">
        <v>0</v>
      </c>
      <c r="AM49" s="4">
        <v>0</v>
      </c>
      <c r="AN49" s="5">
        <v>48</v>
      </c>
      <c r="AO49" s="4">
        <v>-1.238489999999981E-2</v>
      </c>
      <c r="AP49" s="4">
        <v>5.3390735736971271</v>
      </c>
      <c r="AQ49" s="4">
        <v>5.3496499686971273</v>
      </c>
      <c r="AR49" s="4">
        <v>4.5671247778686919E-3</v>
      </c>
      <c r="AS49" s="4">
        <v>4.3144617371120457</v>
      </c>
      <c r="AT49" s="4">
        <v>4.2377512669490036</v>
      </c>
      <c r="AU49" s="4">
        <v>5.8437967210096531E-3</v>
      </c>
      <c r="AV49" s="4">
        <v>25.1287195595797</v>
      </c>
      <c r="AW49" s="4">
        <v>25.11917157347207</v>
      </c>
    </row>
    <row r="50" spans="1:49" x14ac:dyDescent="0.3">
      <c r="A50" s="2" t="s">
        <v>137</v>
      </c>
      <c r="B50" s="2" t="s">
        <v>138</v>
      </c>
      <c r="C50" s="2">
        <v>2014</v>
      </c>
      <c r="D50" s="2">
        <v>1</v>
      </c>
      <c r="E50" s="2">
        <v>49</v>
      </c>
      <c r="F50" s="2">
        <v>49</v>
      </c>
      <c r="G50" s="6">
        <v>2124315560</v>
      </c>
      <c r="H50" s="4">
        <v>21.47671549802909</v>
      </c>
      <c r="I50" s="10">
        <v>2297457306</v>
      </c>
      <c r="J50" s="10">
        <v>2004260597</v>
      </c>
      <c r="K50" s="4">
        <v>3.891820298110626</v>
      </c>
      <c r="L50" s="6">
        <v>59843000000</v>
      </c>
      <c r="M50" s="7">
        <v>1122</v>
      </c>
      <c r="N50" s="4">
        <v>1.39126559714795</v>
      </c>
      <c r="O50" s="10">
        <v>83257507130.124786</v>
      </c>
      <c r="P50" s="4">
        <v>25.145204137478611</v>
      </c>
      <c r="Q50" s="7">
        <v>146.0999999575931</v>
      </c>
      <c r="R50" s="8">
        <v>1.3775720164609051</v>
      </c>
      <c r="S50" s="3">
        <v>201.26327154651969</v>
      </c>
      <c r="T50" s="4">
        <v>5.3046138596971284</v>
      </c>
      <c r="U50" s="6">
        <v>115541354.90000001</v>
      </c>
      <c r="V50" s="3">
        <v>54.389920723454097</v>
      </c>
      <c r="W50" s="3">
        <v>74.926032766157448</v>
      </c>
      <c r="X50" s="4">
        <v>4.3165013971071602</v>
      </c>
      <c r="Y50" s="3">
        <v>75.115645193713661</v>
      </c>
      <c r="Z50" s="4">
        <v>4.3190288618899144</v>
      </c>
      <c r="AA50" s="5">
        <v>0</v>
      </c>
      <c r="AB50" s="5">
        <v>0</v>
      </c>
      <c r="AC50" s="5">
        <v>0</v>
      </c>
      <c r="AD50" s="5">
        <v>0</v>
      </c>
      <c r="AE50" s="9" t="s">
        <v>41</v>
      </c>
      <c r="AF50" s="9" t="s">
        <v>42</v>
      </c>
      <c r="AG50" s="4">
        <v>21.555068829214051</v>
      </c>
      <c r="AH50" s="4">
        <v>21.418541050137922</v>
      </c>
      <c r="AI50" s="4">
        <v>0.13652777907613259</v>
      </c>
      <c r="AJ50" s="4">
        <v>22.897373136496661</v>
      </c>
      <c r="AK50" s="4">
        <v>0</v>
      </c>
      <c r="AL50" s="4">
        <v>0</v>
      </c>
      <c r="AM50" s="4">
        <v>0</v>
      </c>
      <c r="AN50" s="5">
        <v>49</v>
      </c>
      <c r="AO50" s="4">
        <v>-2.207481399999978E-2</v>
      </c>
      <c r="AP50" s="4">
        <v>5.3266886736971273</v>
      </c>
      <c r="AQ50" s="4">
        <v>5.3300137576971274</v>
      </c>
      <c r="AR50" s="4">
        <v>-2.52746478275423E-3</v>
      </c>
      <c r="AS50" s="4">
        <v>4.3190288618899144</v>
      </c>
      <c r="AT50" s="4">
        <v>4.2359339207336957</v>
      </c>
      <c r="AU50" s="4">
        <v>1.064078117790501E-2</v>
      </c>
      <c r="AV50" s="4">
        <v>25.13456335630071</v>
      </c>
      <c r="AW50" s="4">
        <v>25.124573520897791</v>
      </c>
    </row>
    <row r="51" spans="1:49" x14ac:dyDescent="0.3">
      <c r="A51" s="2" t="s">
        <v>139</v>
      </c>
      <c r="B51" s="2" t="s">
        <v>140</v>
      </c>
      <c r="C51" s="2">
        <v>2014</v>
      </c>
      <c r="D51" s="2">
        <v>2</v>
      </c>
      <c r="E51" s="2">
        <v>50</v>
      </c>
      <c r="F51" s="2">
        <v>50</v>
      </c>
      <c r="G51" s="6">
        <v>2300956902</v>
      </c>
      <c r="H51" s="4">
        <v>21.556590917706892</v>
      </c>
      <c r="I51" s="10">
        <v>2124315560</v>
      </c>
      <c r="J51" s="10">
        <v>2072369167</v>
      </c>
      <c r="K51" s="4">
        <v>3.912023005428146</v>
      </c>
      <c r="L51" s="6">
        <v>59983000000</v>
      </c>
      <c r="M51" s="7">
        <v>1119</v>
      </c>
      <c r="N51" s="4">
        <v>1.394995531724754</v>
      </c>
      <c r="O51" s="10">
        <v>83676016979.445938</v>
      </c>
      <c r="P51" s="4">
        <v>25.150218237892211</v>
      </c>
      <c r="Q51" s="7">
        <v>144.2000000220558</v>
      </c>
      <c r="R51" s="8">
        <v>1.3733333333333331</v>
      </c>
      <c r="S51" s="3">
        <v>198.03466669695661</v>
      </c>
      <c r="T51" s="4">
        <v>5.2884420996971269</v>
      </c>
      <c r="U51" s="6">
        <v>124798029.5</v>
      </c>
      <c r="V51" s="3">
        <v>54.237447642554763</v>
      </c>
      <c r="W51" s="3">
        <v>74.486094762441866</v>
      </c>
      <c r="X51" s="4">
        <v>4.3106124604807023</v>
      </c>
      <c r="Y51" s="3">
        <v>74.926032766157448</v>
      </c>
      <c r="Z51" s="4">
        <v>4.3165013971071602</v>
      </c>
      <c r="AA51" s="5">
        <v>1</v>
      </c>
      <c r="AB51" s="5">
        <v>0</v>
      </c>
      <c r="AC51" s="5">
        <v>0</v>
      </c>
      <c r="AD51" s="5">
        <v>0</v>
      </c>
      <c r="AE51" s="9" t="s">
        <v>41</v>
      </c>
      <c r="AF51" s="9" t="s">
        <v>42</v>
      </c>
      <c r="AG51" s="4">
        <v>21.47671549802909</v>
      </c>
      <c r="AH51" s="4">
        <v>21.451958314874911</v>
      </c>
      <c r="AI51" s="4">
        <v>2.4757183154182631E-2</v>
      </c>
      <c r="AJ51" s="4">
        <v>22.796424411485159</v>
      </c>
      <c r="AK51" s="4">
        <v>0</v>
      </c>
      <c r="AL51" s="4">
        <v>0</v>
      </c>
      <c r="AM51" s="4">
        <v>0</v>
      </c>
      <c r="AN51" s="5">
        <v>50</v>
      </c>
      <c r="AO51" s="4">
        <v>-1.6171760000000649E-2</v>
      </c>
      <c r="AP51" s="4">
        <v>5.3046138596971284</v>
      </c>
      <c r="AQ51" s="4">
        <v>5.2839645956971273</v>
      </c>
      <c r="AR51" s="4">
        <v>-5.8889366264578413E-3</v>
      </c>
      <c r="AS51" s="4">
        <v>4.3165013971071602</v>
      </c>
      <c r="AT51" s="4">
        <v>4.233392944621361</v>
      </c>
      <c r="AU51" s="4">
        <v>5.0141004136001746E-3</v>
      </c>
      <c r="AV51" s="4">
        <v>25.145204137478611</v>
      </c>
      <c r="AW51" s="4">
        <v>25.11978237816172</v>
      </c>
    </row>
    <row r="52" spans="1:49" x14ac:dyDescent="0.3">
      <c r="A52" s="2" t="s">
        <v>141</v>
      </c>
      <c r="B52" s="2" t="s">
        <v>142</v>
      </c>
      <c r="C52" s="2">
        <v>2014</v>
      </c>
      <c r="D52" s="2">
        <v>3</v>
      </c>
      <c r="E52" s="2">
        <v>51</v>
      </c>
      <c r="F52" s="2">
        <v>51</v>
      </c>
      <c r="G52" s="6">
        <v>2217355370</v>
      </c>
      <c r="H52" s="4">
        <v>21.519581047924</v>
      </c>
      <c r="I52" s="10">
        <v>2300956902</v>
      </c>
      <c r="J52" s="10">
        <v>2086860529</v>
      </c>
      <c r="K52" s="4">
        <v>3.9318256327243262</v>
      </c>
      <c r="L52" s="6">
        <v>60330000000</v>
      </c>
      <c r="M52" s="7">
        <v>1112</v>
      </c>
      <c r="N52" s="4">
        <v>1.403776978417266</v>
      </c>
      <c r="O52" s="10">
        <v>84689865107.913666</v>
      </c>
      <c r="P52" s="4">
        <v>25.162261775103989</v>
      </c>
      <c r="Q52" s="7">
        <v>143.30000002961231</v>
      </c>
      <c r="R52" s="8">
        <v>1.369120654396728</v>
      </c>
      <c r="S52" s="3">
        <v>196.19498981559391</v>
      </c>
      <c r="T52" s="4">
        <v>5.2791090106971268</v>
      </c>
      <c r="U52" s="6">
        <v>130198610.8</v>
      </c>
      <c r="V52" s="3">
        <v>58.717972121897617</v>
      </c>
      <c r="W52" s="3">
        <v>80.391988416381309</v>
      </c>
      <c r="X52" s="4">
        <v>4.3869145246574508</v>
      </c>
      <c r="Y52" s="3">
        <v>74.486094762441866</v>
      </c>
      <c r="Z52" s="4">
        <v>4.3106124604807023</v>
      </c>
      <c r="AA52" s="5">
        <v>0</v>
      </c>
      <c r="AB52" s="5">
        <v>1</v>
      </c>
      <c r="AC52" s="5">
        <v>0</v>
      </c>
      <c r="AD52" s="5">
        <v>0</v>
      </c>
      <c r="AE52" s="9" t="s">
        <v>41</v>
      </c>
      <c r="AF52" s="9" t="s">
        <v>42</v>
      </c>
      <c r="AG52" s="4">
        <v>21.556590917706892</v>
      </c>
      <c r="AH52" s="4">
        <v>21.458926634346451</v>
      </c>
      <c r="AI52" s="4">
        <v>9.7664283360440862E-2</v>
      </c>
      <c r="AJ52" s="4">
        <v>23.158999996277249</v>
      </c>
      <c r="AK52" s="4">
        <v>0</v>
      </c>
      <c r="AL52" s="4">
        <v>0</v>
      </c>
      <c r="AM52" s="4">
        <v>0</v>
      </c>
      <c r="AN52" s="5">
        <v>51</v>
      </c>
      <c r="AO52" s="4">
        <v>-9.3330890000000721E-3</v>
      </c>
      <c r="AP52" s="4">
        <v>5.2884420996971269</v>
      </c>
      <c r="AQ52" s="4">
        <v>5.3390735736971271</v>
      </c>
      <c r="AR52" s="4">
        <v>7.6302064176748452E-2</v>
      </c>
      <c r="AS52" s="4">
        <v>4.3106124604807023</v>
      </c>
      <c r="AT52" s="4">
        <v>4.3144617371120457</v>
      </c>
      <c r="AU52" s="4">
        <v>1.204353721177398E-2</v>
      </c>
      <c r="AV52" s="4">
        <v>25.150218237892211</v>
      </c>
      <c r="AW52" s="4">
        <v>25.1287195595797</v>
      </c>
    </row>
    <row r="53" spans="1:49" x14ac:dyDescent="0.3">
      <c r="A53" s="2" t="s">
        <v>143</v>
      </c>
      <c r="B53" s="2" t="s">
        <v>144</v>
      </c>
      <c r="C53" s="2">
        <v>2014</v>
      </c>
      <c r="D53" s="2">
        <v>4</v>
      </c>
      <c r="E53" s="2">
        <v>52</v>
      </c>
      <c r="F53" s="2">
        <v>52</v>
      </c>
      <c r="G53" s="6">
        <v>2393327196</v>
      </c>
      <c r="H53" s="4">
        <v>21.59595036698974</v>
      </c>
      <c r="I53" s="10">
        <v>2217355370</v>
      </c>
      <c r="J53" s="10">
        <v>2297457306</v>
      </c>
      <c r="K53" s="4">
        <v>3.951243718581428</v>
      </c>
      <c r="L53" s="6">
        <v>60828000000</v>
      </c>
      <c r="M53" s="7">
        <v>1106</v>
      </c>
      <c r="N53" s="4">
        <v>1.4113924050632909</v>
      </c>
      <c r="O53" s="10">
        <v>85852177215.189865</v>
      </c>
      <c r="P53" s="4">
        <v>25.17589278465778</v>
      </c>
      <c r="Q53" s="7">
        <v>132.30000003944349</v>
      </c>
      <c r="R53" s="8">
        <v>1.3719262295081971</v>
      </c>
      <c r="S53" s="3">
        <v>181.50584021804801</v>
      </c>
      <c r="T53" s="4">
        <v>5.2012878306971269</v>
      </c>
      <c r="U53" s="6">
        <v>141826999.90000001</v>
      </c>
      <c r="V53" s="3">
        <v>59.259344120201114</v>
      </c>
      <c r="W53" s="3">
        <v>81.299448541956238</v>
      </c>
      <c r="X53" s="4">
        <v>4.3981392335289922</v>
      </c>
      <c r="Y53" s="3">
        <v>80.391988416381309</v>
      </c>
      <c r="Z53" s="4">
        <v>4.3869145246574508</v>
      </c>
      <c r="AA53" s="5">
        <v>0</v>
      </c>
      <c r="AB53" s="5">
        <v>0</v>
      </c>
      <c r="AC53" s="5">
        <v>1</v>
      </c>
      <c r="AD53" s="5">
        <v>0</v>
      </c>
      <c r="AE53" s="9" t="s">
        <v>41</v>
      </c>
      <c r="AF53" s="9" t="s">
        <v>42</v>
      </c>
      <c r="AG53" s="4">
        <v>21.519581047924</v>
      </c>
      <c r="AH53" s="4">
        <v>21.555068829214051</v>
      </c>
      <c r="AI53" s="4">
        <v>-3.5487781290054699E-2</v>
      </c>
      <c r="AJ53" s="4">
        <v>22.87598807306594</v>
      </c>
      <c r="AK53" s="4">
        <v>0</v>
      </c>
      <c r="AL53" s="4">
        <v>0</v>
      </c>
      <c r="AM53" s="4">
        <v>0</v>
      </c>
      <c r="AN53" s="5">
        <v>52</v>
      </c>
      <c r="AO53" s="4">
        <v>-7.7821179999999934E-2</v>
      </c>
      <c r="AP53" s="4">
        <v>5.2791090106971268</v>
      </c>
      <c r="AQ53" s="4">
        <v>5.3266886736971273</v>
      </c>
      <c r="AR53" s="4">
        <v>1.122470887154137E-2</v>
      </c>
      <c r="AS53" s="4">
        <v>4.3869145246574508</v>
      </c>
      <c r="AT53" s="4">
        <v>4.3190288618899144</v>
      </c>
      <c r="AU53" s="4">
        <v>1.363100955379082E-2</v>
      </c>
      <c r="AV53" s="4">
        <v>25.162261775103989</v>
      </c>
      <c r="AW53" s="4">
        <v>25.13456335630071</v>
      </c>
    </row>
    <row r="54" spans="1:49" x14ac:dyDescent="0.3">
      <c r="A54" s="2" t="s">
        <v>145</v>
      </c>
      <c r="B54" s="2" t="s">
        <v>146</v>
      </c>
      <c r="C54" s="2">
        <v>2015</v>
      </c>
      <c r="D54" s="2">
        <v>1</v>
      </c>
      <c r="E54" s="2">
        <v>53</v>
      </c>
      <c r="F54" s="2">
        <v>53</v>
      </c>
      <c r="G54" s="6">
        <v>2266893548</v>
      </c>
      <c r="H54" s="4">
        <v>21.541676250157099</v>
      </c>
      <c r="I54" s="10">
        <v>2393327196</v>
      </c>
      <c r="J54" s="10">
        <v>2124315560</v>
      </c>
      <c r="K54" s="4">
        <v>3.970291913552122</v>
      </c>
      <c r="L54" s="6">
        <v>61674000000</v>
      </c>
      <c r="M54" s="7">
        <v>1113</v>
      </c>
      <c r="N54" s="4">
        <v>1.4025157232704399</v>
      </c>
      <c r="O54" s="10">
        <v>86498754716.981125</v>
      </c>
      <c r="P54" s="4">
        <v>25.183395854445141</v>
      </c>
      <c r="Q54" s="7">
        <v>109.7999999921352</v>
      </c>
      <c r="R54" s="8">
        <v>1.3733333333333331</v>
      </c>
      <c r="S54" s="3">
        <v>150.79199998919901</v>
      </c>
      <c r="T54" s="4">
        <v>5.0159014036971268</v>
      </c>
      <c r="U54" s="6">
        <v>134424063.30000001</v>
      </c>
      <c r="V54" s="3">
        <v>59.298798313047207</v>
      </c>
      <c r="W54" s="3">
        <v>81.437016349918167</v>
      </c>
      <c r="X54" s="4">
        <v>4.3998299159562162</v>
      </c>
      <c r="Y54" s="3">
        <v>81.299448541956238</v>
      </c>
      <c r="Z54" s="4">
        <v>4.3981392335289922</v>
      </c>
      <c r="AA54" s="5">
        <v>0</v>
      </c>
      <c r="AB54" s="5">
        <v>0</v>
      </c>
      <c r="AC54" s="5">
        <v>0</v>
      </c>
      <c r="AD54" s="5">
        <v>0</v>
      </c>
      <c r="AE54" s="9" t="s">
        <v>41</v>
      </c>
      <c r="AF54" s="9" t="s">
        <v>42</v>
      </c>
      <c r="AG54" s="4">
        <v>21.59595036698974</v>
      </c>
      <c r="AH54" s="4">
        <v>21.47671549802909</v>
      </c>
      <c r="AI54" s="4">
        <v>0.1192348689606533</v>
      </c>
      <c r="AJ54" s="4">
        <v>22.069113051473401</v>
      </c>
      <c r="AK54" s="4">
        <v>0</v>
      </c>
      <c r="AL54" s="4">
        <v>0</v>
      </c>
      <c r="AM54" s="4">
        <v>0</v>
      </c>
      <c r="AN54" s="5">
        <v>53</v>
      </c>
      <c r="AO54" s="4">
        <v>-0.1853864270000001</v>
      </c>
      <c r="AP54" s="4">
        <v>5.2012878306971269</v>
      </c>
      <c r="AQ54" s="4">
        <v>5.3046138596971284</v>
      </c>
      <c r="AR54" s="4">
        <v>1.6906824272240331E-3</v>
      </c>
      <c r="AS54" s="4">
        <v>4.3981392335289922</v>
      </c>
      <c r="AT54" s="4">
        <v>4.3165013971071602</v>
      </c>
      <c r="AU54" s="4">
        <v>7.5030697873614827E-3</v>
      </c>
      <c r="AV54" s="4">
        <v>25.17589278465778</v>
      </c>
      <c r="AW54" s="4">
        <v>25.145204137478611</v>
      </c>
    </row>
    <row r="55" spans="1:49" x14ac:dyDescent="0.3">
      <c r="A55" s="2" t="s">
        <v>147</v>
      </c>
      <c r="B55" s="2" t="s">
        <v>148</v>
      </c>
      <c r="C55" s="2">
        <v>2015</v>
      </c>
      <c r="D55" s="2">
        <v>2</v>
      </c>
      <c r="E55" s="2">
        <v>54</v>
      </c>
      <c r="F55" s="2">
        <v>54</v>
      </c>
      <c r="G55" s="6">
        <v>2289906930</v>
      </c>
      <c r="H55" s="4">
        <v>21.55177701176526</v>
      </c>
      <c r="I55" s="10">
        <v>2266893548</v>
      </c>
      <c r="J55" s="10">
        <v>2300956902</v>
      </c>
      <c r="K55" s="4">
        <v>3.988984046564275</v>
      </c>
      <c r="L55" s="6">
        <v>62935000000</v>
      </c>
      <c r="M55" s="7">
        <v>1126</v>
      </c>
      <c r="N55" s="4">
        <v>1.3863232682060389</v>
      </c>
      <c r="O55" s="10">
        <v>87248254884.547073</v>
      </c>
      <c r="P55" s="4">
        <v>25.192023396505679</v>
      </c>
      <c r="Q55" s="7">
        <v>121.60000000053481</v>
      </c>
      <c r="R55" s="8">
        <v>1.367722165474974</v>
      </c>
      <c r="S55" s="3">
        <v>166.31501532248839</v>
      </c>
      <c r="T55" s="4">
        <v>5.1138836726971268</v>
      </c>
      <c r="U55" s="6">
        <v>135545087</v>
      </c>
      <c r="V55" s="3">
        <v>59.192400016012883</v>
      </c>
      <c r="W55" s="3">
        <v>80.95875752956205</v>
      </c>
      <c r="X55" s="4">
        <v>4.3939398587015566</v>
      </c>
      <c r="Y55" s="3">
        <v>81.437016349918167</v>
      </c>
      <c r="Z55" s="4">
        <v>4.3998299159562162</v>
      </c>
      <c r="AA55" s="5">
        <v>1</v>
      </c>
      <c r="AB55" s="5">
        <v>0</v>
      </c>
      <c r="AC55" s="5">
        <v>0</v>
      </c>
      <c r="AD55" s="5">
        <v>0</v>
      </c>
      <c r="AE55" s="9" t="s">
        <v>41</v>
      </c>
      <c r="AF55" s="9" t="s">
        <v>42</v>
      </c>
      <c r="AG55" s="4">
        <v>21.541676250157099</v>
      </c>
      <c r="AH55" s="4">
        <v>21.556590917706892</v>
      </c>
      <c r="AI55" s="4">
        <v>-1.4914667549785319E-2</v>
      </c>
      <c r="AJ55" s="4">
        <v>22.470097302227011</v>
      </c>
      <c r="AK55" s="4">
        <v>0</v>
      </c>
      <c r="AL55" s="4">
        <v>0</v>
      </c>
      <c r="AM55" s="4">
        <v>0</v>
      </c>
      <c r="AN55" s="5">
        <v>54</v>
      </c>
      <c r="AO55" s="4">
        <v>9.7982269000000066E-2</v>
      </c>
      <c r="AP55" s="4">
        <v>5.0159014036971268</v>
      </c>
      <c r="AQ55" s="4">
        <v>5.2884420996971269</v>
      </c>
      <c r="AR55" s="4">
        <v>-5.8900572546596308E-3</v>
      </c>
      <c r="AS55" s="4">
        <v>4.3998299159562162</v>
      </c>
      <c r="AT55" s="4">
        <v>4.3106124604807023</v>
      </c>
      <c r="AU55" s="4">
        <v>8.6275420605375075E-3</v>
      </c>
      <c r="AV55" s="4">
        <v>25.183395854445141</v>
      </c>
      <c r="AW55" s="4">
        <v>25.150218237892211</v>
      </c>
    </row>
    <row r="56" spans="1:49" x14ac:dyDescent="0.3">
      <c r="A56" s="2" t="s">
        <v>149</v>
      </c>
      <c r="B56" s="2" t="s">
        <v>150</v>
      </c>
      <c r="C56" s="2">
        <v>2015</v>
      </c>
      <c r="D56" s="2">
        <v>3</v>
      </c>
      <c r="E56" s="2">
        <v>55</v>
      </c>
      <c r="F56" s="2">
        <v>55</v>
      </c>
      <c r="G56" s="6">
        <v>2322193508</v>
      </c>
      <c r="H56" s="4">
        <v>21.56577805352843</v>
      </c>
      <c r="I56" s="10">
        <v>2289906930</v>
      </c>
      <c r="J56" s="10">
        <v>2217355370</v>
      </c>
      <c r="K56" s="4">
        <v>4.0073331852324712</v>
      </c>
      <c r="L56" s="6">
        <v>63542000000</v>
      </c>
      <c r="M56" s="7">
        <v>1122</v>
      </c>
      <c r="N56" s="4">
        <v>1.39126559714795</v>
      </c>
      <c r="O56" s="10">
        <v>88403798573.975052</v>
      </c>
      <c r="P56" s="4">
        <v>25.205180775960649</v>
      </c>
      <c r="Q56" s="7">
        <v>118.8000000513069</v>
      </c>
      <c r="R56" s="8">
        <v>1.3635437881873731</v>
      </c>
      <c r="S56" s="3">
        <v>161.98900210661901</v>
      </c>
      <c r="T56" s="4">
        <v>5.087528444697127</v>
      </c>
      <c r="U56" s="6">
        <v>145757092.90000001</v>
      </c>
      <c r="V56" s="3">
        <v>62.766988365898058</v>
      </c>
      <c r="W56" s="3">
        <v>85.585537089549391</v>
      </c>
      <c r="X56" s="4">
        <v>4.4495163096382413</v>
      </c>
      <c r="Y56" s="3">
        <v>80.95875752956205</v>
      </c>
      <c r="Z56" s="4">
        <v>4.3939398587015566</v>
      </c>
      <c r="AA56" s="5">
        <v>0</v>
      </c>
      <c r="AB56" s="5">
        <v>1</v>
      </c>
      <c r="AC56" s="5">
        <v>0</v>
      </c>
      <c r="AD56" s="5">
        <v>0</v>
      </c>
      <c r="AE56" s="9" t="s">
        <v>41</v>
      </c>
      <c r="AF56" s="9" t="s">
        <v>42</v>
      </c>
      <c r="AG56" s="4">
        <v>21.55177701176526</v>
      </c>
      <c r="AH56" s="4">
        <v>21.519581047924</v>
      </c>
      <c r="AI56" s="4">
        <v>3.2195963841257218E-2</v>
      </c>
      <c r="AJ56" s="4">
        <v>22.63704079042834</v>
      </c>
      <c r="AK56" s="4">
        <v>0</v>
      </c>
      <c r="AL56" s="4">
        <v>0</v>
      </c>
      <c r="AM56" s="4">
        <v>0</v>
      </c>
      <c r="AN56" s="5">
        <v>55</v>
      </c>
      <c r="AO56" s="4">
        <v>-2.6355227999999901E-2</v>
      </c>
      <c r="AP56" s="4">
        <v>5.1138836726971268</v>
      </c>
      <c r="AQ56" s="4">
        <v>5.2791090106971268</v>
      </c>
      <c r="AR56" s="4">
        <v>5.5576450936684729E-2</v>
      </c>
      <c r="AS56" s="4">
        <v>4.3939398587015566</v>
      </c>
      <c r="AT56" s="4">
        <v>4.3869145246574508</v>
      </c>
      <c r="AU56" s="4">
        <v>1.315737945497375E-2</v>
      </c>
      <c r="AV56" s="4">
        <v>25.192023396505679</v>
      </c>
      <c r="AW56" s="4">
        <v>25.162261775103989</v>
      </c>
    </row>
    <row r="57" spans="1:49" x14ac:dyDescent="0.3">
      <c r="A57" s="2" t="s">
        <v>151</v>
      </c>
      <c r="B57" s="2" t="s">
        <v>152</v>
      </c>
      <c r="C57" s="2">
        <v>2015</v>
      </c>
      <c r="D57" s="2">
        <v>4</v>
      </c>
      <c r="E57" s="2">
        <v>56</v>
      </c>
      <c r="F57" s="2">
        <v>56</v>
      </c>
      <c r="G57" s="6">
        <v>2471088077</v>
      </c>
      <c r="H57" s="4">
        <v>21.62792440759122</v>
      </c>
      <c r="I57" s="10">
        <v>2322193508</v>
      </c>
      <c r="J57" s="10">
        <v>2393327196</v>
      </c>
      <c r="K57" s="4">
        <v>4.0253516907351496</v>
      </c>
      <c r="L57" s="6">
        <v>63719000000</v>
      </c>
      <c r="M57" s="7">
        <v>1114</v>
      </c>
      <c r="N57" s="4">
        <v>1.4012567324955121</v>
      </c>
      <c r="O57" s="10">
        <v>89286677737.8815</v>
      </c>
      <c r="P57" s="4">
        <v>25.215118128233549</v>
      </c>
      <c r="Q57" s="7">
        <v>108.1999999606538</v>
      </c>
      <c r="R57" s="8">
        <v>1.3705220061412491</v>
      </c>
      <c r="S57" s="3">
        <v>148.29048101055821</v>
      </c>
      <c r="T57" s="4">
        <v>4.9991730596971271</v>
      </c>
      <c r="U57" s="6">
        <v>156130163.59999999</v>
      </c>
      <c r="V57" s="3">
        <v>63.182759470697732</v>
      </c>
      <c r="W57" s="3">
        <v>86.593362263320628</v>
      </c>
      <c r="X57" s="4">
        <v>4.4612231644012086</v>
      </c>
      <c r="Y57" s="3">
        <v>85.585537089549391</v>
      </c>
      <c r="Z57" s="4">
        <v>4.4495163096382413</v>
      </c>
      <c r="AA57" s="5">
        <v>0</v>
      </c>
      <c r="AB57" s="5">
        <v>0</v>
      </c>
      <c r="AC57" s="5">
        <v>1</v>
      </c>
      <c r="AD57" s="5">
        <v>0</v>
      </c>
      <c r="AE57" s="9" t="s">
        <v>41</v>
      </c>
      <c r="AF57" s="9" t="s">
        <v>42</v>
      </c>
      <c r="AG57" s="4">
        <v>21.56577805352843</v>
      </c>
      <c r="AH57" s="4">
        <v>21.59595036698974</v>
      </c>
      <c r="AI57" s="4">
        <v>-3.0172313461310551E-2</v>
      </c>
      <c r="AJ57" s="4">
        <v>22.302426656771289</v>
      </c>
      <c r="AK57" s="4">
        <v>0</v>
      </c>
      <c r="AL57" s="4">
        <v>0</v>
      </c>
      <c r="AM57" s="4">
        <v>0</v>
      </c>
      <c r="AN57" s="5">
        <v>56</v>
      </c>
      <c r="AO57" s="4">
        <v>-8.8355384999999842E-2</v>
      </c>
      <c r="AP57" s="4">
        <v>5.087528444697127</v>
      </c>
      <c r="AQ57" s="4">
        <v>5.2012878306971269</v>
      </c>
      <c r="AR57" s="4">
        <v>1.1706854762968181E-2</v>
      </c>
      <c r="AS57" s="4">
        <v>4.4495163096382413</v>
      </c>
      <c r="AT57" s="4">
        <v>4.3981392335289922</v>
      </c>
      <c r="AU57" s="4">
        <v>9.9373522729031549E-3</v>
      </c>
      <c r="AV57" s="4">
        <v>25.205180775960649</v>
      </c>
      <c r="AW57" s="4">
        <v>25.17589278465778</v>
      </c>
    </row>
    <row r="58" spans="1:49" x14ac:dyDescent="0.3">
      <c r="A58" s="2" t="s">
        <v>153</v>
      </c>
      <c r="B58" s="2" t="s">
        <v>154</v>
      </c>
      <c r="C58" s="2">
        <v>2016</v>
      </c>
      <c r="D58" s="2">
        <v>1</v>
      </c>
      <c r="E58" s="2">
        <v>57</v>
      </c>
      <c r="F58" s="2">
        <v>57</v>
      </c>
      <c r="G58" s="6">
        <v>2410306986</v>
      </c>
      <c r="H58" s="4">
        <v>21.603019956419811</v>
      </c>
      <c r="I58" s="10">
        <v>2471088077</v>
      </c>
      <c r="J58" s="10">
        <v>2266893548</v>
      </c>
      <c r="K58" s="4">
        <v>4.0430512678345503</v>
      </c>
      <c r="L58" s="6">
        <v>65293000000</v>
      </c>
      <c r="M58" s="7">
        <v>1130</v>
      </c>
      <c r="N58" s="4">
        <v>1.3814159292035399</v>
      </c>
      <c r="O58" s="10">
        <v>90196790265.486725</v>
      </c>
      <c r="P58" s="4">
        <v>25.225259678741999</v>
      </c>
      <c r="Q58" s="7">
        <v>88.999999982584939</v>
      </c>
      <c r="R58" s="8">
        <v>1.367722165474974</v>
      </c>
      <c r="S58" s="3">
        <v>121.72727270345381</v>
      </c>
      <c r="T58" s="4">
        <v>4.8017830726971269</v>
      </c>
      <c r="U58" s="6">
        <v>152201823.80000001</v>
      </c>
      <c r="V58" s="3">
        <v>63.146240161127757</v>
      </c>
      <c r="W58" s="3">
        <v>86.366512334780452</v>
      </c>
      <c r="X58" s="4">
        <v>4.4586000119602698</v>
      </c>
      <c r="Y58" s="3">
        <v>86.593362263320628</v>
      </c>
      <c r="Z58" s="4">
        <v>4.4612231644012086</v>
      </c>
      <c r="AA58" s="5">
        <v>0</v>
      </c>
      <c r="AB58" s="5">
        <v>0</v>
      </c>
      <c r="AC58" s="5">
        <v>0</v>
      </c>
      <c r="AD58" s="5">
        <v>0</v>
      </c>
      <c r="AE58" s="9" t="s">
        <v>41</v>
      </c>
      <c r="AF58" s="9" t="s">
        <v>42</v>
      </c>
      <c r="AG58" s="4">
        <v>21.62792440759122</v>
      </c>
      <c r="AH58" s="4">
        <v>21.541676250157099</v>
      </c>
      <c r="AI58" s="4">
        <v>8.6248157434113182E-2</v>
      </c>
      <c r="AJ58" s="4">
        <v>21.409230065358031</v>
      </c>
      <c r="AK58" s="4">
        <v>0</v>
      </c>
      <c r="AL58" s="4">
        <v>0</v>
      </c>
      <c r="AM58" s="4">
        <v>0</v>
      </c>
      <c r="AN58" s="5">
        <v>57</v>
      </c>
      <c r="AO58" s="4">
        <v>-0.19738998700000021</v>
      </c>
      <c r="AP58" s="4">
        <v>4.9991730596971271</v>
      </c>
      <c r="AQ58" s="4">
        <v>5.0159014036971268</v>
      </c>
      <c r="AR58" s="4">
        <v>-2.6231524409396911E-3</v>
      </c>
      <c r="AS58" s="4">
        <v>4.4612231644012086</v>
      </c>
      <c r="AT58" s="4">
        <v>4.3998299159562162</v>
      </c>
      <c r="AU58" s="4">
        <v>1.014155050845034E-2</v>
      </c>
      <c r="AV58" s="4">
        <v>25.215118128233549</v>
      </c>
      <c r="AW58" s="4">
        <v>25.183395854445141</v>
      </c>
    </row>
    <row r="59" spans="1:49" x14ac:dyDescent="0.3">
      <c r="A59" s="2" t="s">
        <v>155</v>
      </c>
      <c r="B59" s="2" t="s">
        <v>156</v>
      </c>
      <c r="C59" s="2">
        <v>2016</v>
      </c>
      <c r="D59" s="2">
        <v>2</v>
      </c>
      <c r="E59" s="2">
        <v>58</v>
      </c>
      <c r="F59" s="2">
        <v>58</v>
      </c>
      <c r="G59" s="6">
        <v>2465886457</v>
      </c>
      <c r="H59" s="4">
        <v>21.62581719723843</v>
      </c>
      <c r="I59" s="10">
        <v>2410306986</v>
      </c>
      <c r="J59" s="10">
        <v>2289906930</v>
      </c>
      <c r="K59" s="4">
        <v>4.0604430105464191</v>
      </c>
      <c r="L59" s="6">
        <v>66273000000</v>
      </c>
      <c r="M59" s="7">
        <v>1134</v>
      </c>
      <c r="N59" s="4">
        <v>1.3765432098765431</v>
      </c>
      <c r="O59" s="10">
        <v>91227648148.148148</v>
      </c>
      <c r="P59" s="4">
        <v>25.236623847602299</v>
      </c>
      <c r="Q59" s="7">
        <v>100.89999997917</v>
      </c>
      <c r="R59" s="8">
        <v>1.362156663275687</v>
      </c>
      <c r="S59" s="3">
        <v>137.4416072961431</v>
      </c>
      <c r="T59" s="4">
        <v>4.9231991526971273</v>
      </c>
      <c r="U59" s="6">
        <v>155508804.40000001</v>
      </c>
      <c r="V59" s="3">
        <v>63.064057129861602</v>
      </c>
      <c r="W59" s="3">
        <v>85.903125632639558</v>
      </c>
      <c r="X59" s="4">
        <v>4.4532202152041203</v>
      </c>
      <c r="Y59" s="3">
        <v>86.366512334780452</v>
      </c>
      <c r="Z59" s="4">
        <v>4.4586000119602698</v>
      </c>
      <c r="AA59" s="5">
        <v>1</v>
      </c>
      <c r="AB59" s="5">
        <v>0</v>
      </c>
      <c r="AC59" s="5">
        <v>0</v>
      </c>
      <c r="AD59" s="5">
        <v>0</v>
      </c>
      <c r="AE59" s="9" t="s">
        <v>41</v>
      </c>
      <c r="AF59" s="9" t="s">
        <v>42</v>
      </c>
      <c r="AG59" s="4">
        <v>21.603019956419811</v>
      </c>
      <c r="AH59" s="4">
        <v>21.55177701176526</v>
      </c>
      <c r="AI59" s="4">
        <v>5.1242944654550371E-2</v>
      </c>
      <c r="AJ59" s="4">
        <v>21.924089990266641</v>
      </c>
      <c r="AK59" s="4">
        <v>0</v>
      </c>
      <c r="AL59" s="4">
        <v>0</v>
      </c>
      <c r="AM59" s="4">
        <v>0</v>
      </c>
      <c r="AN59" s="5">
        <v>58</v>
      </c>
      <c r="AO59" s="4">
        <v>0.1214160800000004</v>
      </c>
      <c r="AP59" s="4">
        <v>4.8017830726971269</v>
      </c>
      <c r="AQ59" s="4">
        <v>5.1138836726971268</v>
      </c>
      <c r="AR59" s="4">
        <v>-5.3797967561495241E-3</v>
      </c>
      <c r="AS59" s="4">
        <v>4.4586000119602698</v>
      </c>
      <c r="AT59" s="4">
        <v>4.3939398587015566</v>
      </c>
      <c r="AU59" s="4">
        <v>1.1364168860300341E-2</v>
      </c>
      <c r="AV59" s="4">
        <v>25.225259678741999</v>
      </c>
      <c r="AW59" s="4">
        <v>25.192023396505679</v>
      </c>
    </row>
    <row r="60" spans="1:49" x14ac:dyDescent="0.3">
      <c r="A60" s="2" t="s">
        <v>157</v>
      </c>
      <c r="B60" s="2" t="s">
        <v>158</v>
      </c>
      <c r="C60" s="2">
        <v>2016</v>
      </c>
      <c r="D60" s="2">
        <v>3</v>
      </c>
      <c r="E60" s="2">
        <v>59</v>
      </c>
      <c r="F60" s="2">
        <v>59</v>
      </c>
      <c r="G60" s="6">
        <v>2518564236</v>
      </c>
      <c r="H60" s="4">
        <v>21.646954828482841</v>
      </c>
      <c r="I60" s="10">
        <v>2465886457</v>
      </c>
      <c r="J60" s="10">
        <v>2322193508</v>
      </c>
      <c r="K60" s="4">
        <v>4.0775374439057197</v>
      </c>
      <c r="L60" s="6">
        <v>67138000000</v>
      </c>
      <c r="M60" s="7">
        <v>1139</v>
      </c>
      <c r="N60" s="4">
        <v>1.3705004389815629</v>
      </c>
      <c r="O60" s="10">
        <v>92012658472.344162</v>
      </c>
      <c r="P60" s="4">
        <v>25.24519199662123</v>
      </c>
      <c r="Q60" s="7">
        <v>102.79999995759761</v>
      </c>
      <c r="R60" s="8">
        <v>1.358012170385396</v>
      </c>
      <c r="S60" s="3">
        <v>139.60365105803569</v>
      </c>
      <c r="T60" s="4">
        <v>4.9388073436971274</v>
      </c>
      <c r="U60" s="6">
        <v>158672270</v>
      </c>
      <c r="V60" s="3">
        <v>63.001081223961279</v>
      </c>
      <c r="W60" s="3">
        <v>85.556235049578248</v>
      </c>
      <c r="X60" s="4">
        <v>4.4491738796178986</v>
      </c>
      <c r="Y60" s="3">
        <v>85.903125632639558</v>
      </c>
      <c r="Z60" s="4">
        <v>4.4532202152041203</v>
      </c>
      <c r="AA60" s="5">
        <v>0</v>
      </c>
      <c r="AB60" s="5">
        <v>1</v>
      </c>
      <c r="AC60" s="5">
        <v>0</v>
      </c>
      <c r="AD60" s="5">
        <v>0</v>
      </c>
      <c r="AE60" s="9" t="s">
        <v>41</v>
      </c>
      <c r="AF60" s="9" t="s">
        <v>42</v>
      </c>
      <c r="AG60" s="4">
        <v>21.62581719723843</v>
      </c>
      <c r="AH60" s="4">
        <v>21.56577805352843</v>
      </c>
      <c r="AI60" s="4">
        <v>6.0039143709996523E-2</v>
      </c>
      <c r="AJ60" s="4">
        <v>21.973612630042322</v>
      </c>
      <c r="AK60" s="4">
        <v>0</v>
      </c>
      <c r="AL60" s="4">
        <v>0</v>
      </c>
      <c r="AM60" s="4">
        <v>0</v>
      </c>
      <c r="AN60" s="5">
        <v>59</v>
      </c>
      <c r="AO60" s="4">
        <v>1.5608191000000099E-2</v>
      </c>
      <c r="AP60" s="4">
        <v>4.9231991526971273</v>
      </c>
      <c r="AQ60" s="4">
        <v>5.087528444697127</v>
      </c>
      <c r="AR60" s="4">
        <v>-4.0463355862208061E-3</v>
      </c>
      <c r="AS60" s="4">
        <v>4.4532202152041203</v>
      </c>
      <c r="AT60" s="4">
        <v>4.4495163096382413</v>
      </c>
      <c r="AU60" s="4">
        <v>8.5681490189237763E-3</v>
      </c>
      <c r="AV60" s="4">
        <v>25.236623847602299</v>
      </c>
      <c r="AW60" s="4">
        <v>25.205180775960649</v>
      </c>
    </row>
    <row r="61" spans="1:49" x14ac:dyDescent="0.3">
      <c r="A61" s="2" t="s">
        <v>159</v>
      </c>
      <c r="B61" s="2" t="s">
        <v>160</v>
      </c>
      <c r="C61" s="2">
        <v>2016</v>
      </c>
      <c r="D61" s="2">
        <v>4</v>
      </c>
      <c r="E61" s="2">
        <v>60</v>
      </c>
      <c r="F61" s="2">
        <v>60</v>
      </c>
      <c r="G61" s="6">
        <v>2662616466</v>
      </c>
      <c r="H61" s="4">
        <v>21.702575110123849</v>
      </c>
      <c r="I61" s="10">
        <v>2518564236</v>
      </c>
      <c r="J61" s="10">
        <v>2471088077</v>
      </c>
      <c r="K61" s="4">
        <v>4.0943445622221004</v>
      </c>
      <c r="L61" s="6">
        <v>68058000000</v>
      </c>
      <c r="M61" s="7">
        <v>1153</v>
      </c>
      <c r="N61" s="4">
        <v>1.3538594969644411</v>
      </c>
      <c r="O61" s="10">
        <v>92140969644.405899</v>
      </c>
      <c r="P61" s="4">
        <v>25.24658551999774</v>
      </c>
      <c r="Q61" s="7">
        <v>111.5000000261375</v>
      </c>
      <c r="R61" s="8">
        <v>1.352525252525252</v>
      </c>
      <c r="S61" s="3">
        <v>150.8065656919172</v>
      </c>
      <c r="T61" s="4">
        <v>5.0159979936971268</v>
      </c>
      <c r="U61" s="6">
        <v>167852702.40000001</v>
      </c>
      <c r="V61" s="3">
        <v>63.040510919757843</v>
      </c>
      <c r="W61" s="3">
        <v>85.263882951066407</v>
      </c>
      <c r="X61" s="4">
        <v>4.4457509527709078</v>
      </c>
      <c r="Y61" s="3">
        <v>85.556235049578248</v>
      </c>
      <c r="Z61" s="4">
        <v>4.4491738796178986</v>
      </c>
      <c r="AA61" s="5">
        <v>0</v>
      </c>
      <c r="AB61" s="5">
        <v>0</v>
      </c>
      <c r="AC61" s="5">
        <v>1</v>
      </c>
      <c r="AD61" s="5">
        <v>0</v>
      </c>
      <c r="AE61" s="9" t="s">
        <v>41</v>
      </c>
      <c r="AF61" s="9" t="s">
        <v>42</v>
      </c>
      <c r="AG61" s="4">
        <v>21.646954828482841</v>
      </c>
      <c r="AH61" s="4">
        <v>21.62792440759122</v>
      </c>
      <c r="AI61" s="4">
        <v>1.90304208916281E-2</v>
      </c>
      <c r="AJ61" s="4">
        <v>22.299877859575961</v>
      </c>
      <c r="AK61" s="4">
        <v>0</v>
      </c>
      <c r="AL61" s="4">
        <v>0</v>
      </c>
      <c r="AM61" s="4">
        <v>0</v>
      </c>
      <c r="AN61" s="5">
        <v>60</v>
      </c>
      <c r="AO61" s="4">
        <v>7.7190649999999472E-2</v>
      </c>
      <c r="AP61" s="4">
        <v>4.9388073436971274</v>
      </c>
      <c r="AQ61" s="4">
        <v>4.9991730596971271</v>
      </c>
      <c r="AR61" s="4">
        <v>-3.4229268469916359E-3</v>
      </c>
      <c r="AS61" s="4">
        <v>4.4491738796178986</v>
      </c>
      <c r="AT61" s="4">
        <v>4.4612231644012086</v>
      </c>
      <c r="AU61" s="4">
        <v>1.393523376517436E-3</v>
      </c>
      <c r="AV61" s="4">
        <v>25.24519199662123</v>
      </c>
      <c r="AW61" s="4">
        <v>25.215118128233549</v>
      </c>
    </row>
    <row r="62" spans="1:49" x14ac:dyDescent="0.3">
      <c r="A62" s="2" t="s">
        <v>161</v>
      </c>
      <c r="B62" s="2" t="s">
        <v>162</v>
      </c>
      <c r="C62" s="2">
        <v>2017</v>
      </c>
      <c r="D62" s="2">
        <v>1</v>
      </c>
      <c r="E62" s="2">
        <v>61</v>
      </c>
      <c r="F62" s="2">
        <v>61</v>
      </c>
      <c r="G62" s="6">
        <v>2615952777</v>
      </c>
      <c r="H62" s="4">
        <v>21.684894218772929</v>
      </c>
      <c r="I62" s="10">
        <v>2662616466</v>
      </c>
      <c r="J62" s="10">
        <v>2410306986</v>
      </c>
      <c r="K62" s="4">
        <v>4.1108738641733114</v>
      </c>
      <c r="L62" s="6">
        <v>70034000000</v>
      </c>
      <c r="M62" s="7">
        <v>1169</v>
      </c>
      <c r="N62" s="4">
        <v>1.335329341317365</v>
      </c>
      <c r="O62" s="10">
        <v>93518455089.820358</v>
      </c>
      <c r="P62" s="4">
        <v>25.261424634403848</v>
      </c>
      <c r="Q62" s="7">
        <v>118.9000000346422</v>
      </c>
      <c r="R62" s="8">
        <v>1.339</v>
      </c>
      <c r="S62" s="3">
        <v>159.2071000463859</v>
      </c>
      <c r="T62" s="4">
        <v>5.0702058706971274</v>
      </c>
      <c r="U62" s="6">
        <v>164953915.09999999</v>
      </c>
      <c r="V62" s="3">
        <v>63.05691622200105</v>
      </c>
      <c r="W62" s="3">
        <v>84.433210821259408</v>
      </c>
      <c r="X62" s="4">
        <v>4.4359608173466718</v>
      </c>
      <c r="Y62" s="3">
        <v>85.263882951066407</v>
      </c>
      <c r="Z62" s="4">
        <v>4.4457509527709078</v>
      </c>
      <c r="AA62" s="5">
        <v>0</v>
      </c>
      <c r="AB62" s="5">
        <v>0</v>
      </c>
      <c r="AC62" s="5">
        <v>0</v>
      </c>
      <c r="AD62" s="5">
        <v>0</v>
      </c>
      <c r="AE62" s="9" t="s">
        <v>41</v>
      </c>
      <c r="AF62" s="9" t="s">
        <v>42</v>
      </c>
      <c r="AG62" s="4">
        <v>21.702575110123849</v>
      </c>
      <c r="AH62" s="4">
        <v>21.603019956419811</v>
      </c>
      <c r="AI62" s="4">
        <v>9.9555153704038446E-2</v>
      </c>
      <c r="AJ62" s="4">
        <v>22.491234578293518</v>
      </c>
      <c r="AK62" s="4">
        <v>0</v>
      </c>
      <c r="AL62" s="4">
        <v>0</v>
      </c>
      <c r="AM62" s="4">
        <v>0</v>
      </c>
      <c r="AN62" s="5">
        <v>61</v>
      </c>
      <c r="AO62" s="4">
        <v>5.4207877000000522E-2</v>
      </c>
      <c r="AP62" s="4">
        <v>5.0159979936971268</v>
      </c>
      <c r="AQ62" s="4">
        <v>4.8017830726971269</v>
      </c>
      <c r="AR62" s="4">
        <v>-9.7901354242360128E-3</v>
      </c>
      <c r="AS62" s="4">
        <v>4.4457509527709078</v>
      </c>
      <c r="AT62" s="4">
        <v>4.4586000119602698</v>
      </c>
      <c r="AU62" s="4">
        <v>1.4839114406104409E-2</v>
      </c>
      <c r="AV62" s="4">
        <v>25.24658551999774</v>
      </c>
      <c r="AW62" s="4">
        <v>25.225259678741999</v>
      </c>
    </row>
    <row r="63" spans="1:49" x14ac:dyDescent="0.3">
      <c r="A63" s="2" t="s">
        <v>163</v>
      </c>
      <c r="B63" s="2" t="s">
        <v>164</v>
      </c>
      <c r="C63" s="2">
        <v>2017</v>
      </c>
      <c r="D63" s="2">
        <v>2</v>
      </c>
      <c r="E63" s="2">
        <v>62</v>
      </c>
      <c r="F63" s="2">
        <v>62</v>
      </c>
      <c r="G63" s="6">
        <v>2628477360</v>
      </c>
      <c r="H63" s="4">
        <v>21.68967056490915</v>
      </c>
      <c r="I63" s="10">
        <v>2615952777</v>
      </c>
      <c r="J63" s="10">
        <v>2465886457</v>
      </c>
      <c r="K63" s="4">
        <v>4.1271343850450917</v>
      </c>
      <c r="L63" s="6">
        <v>70463000000</v>
      </c>
      <c r="M63" s="7">
        <v>1164</v>
      </c>
      <c r="N63" s="4">
        <v>1.3410652920962201</v>
      </c>
      <c r="O63" s="10">
        <v>94495483676.975937</v>
      </c>
      <c r="P63" s="4">
        <v>25.271817878526011</v>
      </c>
      <c r="Q63" s="7">
        <v>115.3999999900863</v>
      </c>
      <c r="R63" s="8">
        <v>1.339</v>
      </c>
      <c r="S63" s="3">
        <v>154.52059998672561</v>
      </c>
      <c r="T63" s="4">
        <v>5.0403274206971274</v>
      </c>
      <c r="U63" s="6">
        <v>165501666</v>
      </c>
      <c r="V63" s="3">
        <v>62.964843646208926</v>
      </c>
      <c r="W63" s="3">
        <v>84.309925642273754</v>
      </c>
      <c r="X63" s="4">
        <v>4.4344995999780066</v>
      </c>
      <c r="Y63" s="3">
        <v>84.433210821259408</v>
      </c>
      <c r="Z63" s="4">
        <v>4.4359608173466718</v>
      </c>
      <c r="AA63" s="5">
        <v>1</v>
      </c>
      <c r="AB63" s="5">
        <v>0</v>
      </c>
      <c r="AC63" s="5">
        <v>0</v>
      </c>
      <c r="AD63" s="5">
        <v>0</v>
      </c>
      <c r="AE63" s="9" t="s">
        <v>41</v>
      </c>
      <c r="AF63" s="9" t="s">
        <v>42</v>
      </c>
      <c r="AG63" s="4">
        <v>21.684894218772929</v>
      </c>
      <c r="AH63" s="4">
        <v>21.62581719723843</v>
      </c>
      <c r="AI63" s="4">
        <v>5.9077021534495337E-2</v>
      </c>
      <c r="AJ63" s="4">
        <v>22.35132993083959</v>
      </c>
      <c r="AK63" s="4">
        <v>0</v>
      </c>
      <c r="AL63" s="4">
        <v>0</v>
      </c>
      <c r="AM63" s="4">
        <v>0</v>
      </c>
      <c r="AN63" s="5">
        <v>62</v>
      </c>
      <c r="AO63" s="4">
        <v>-2.9878450000000001E-2</v>
      </c>
      <c r="AP63" s="4">
        <v>5.0702058706971274</v>
      </c>
      <c r="AQ63" s="4">
        <v>4.9231991526971273</v>
      </c>
      <c r="AR63" s="4">
        <v>-1.4612173686652239E-3</v>
      </c>
      <c r="AS63" s="4">
        <v>4.4359608173466718</v>
      </c>
      <c r="AT63" s="4">
        <v>4.4532202152041203</v>
      </c>
      <c r="AU63" s="4">
        <v>1.0393244122163031E-2</v>
      </c>
      <c r="AV63" s="4">
        <v>25.261424634403848</v>
      </c>
      <c r="AW63" s="4">
        <v>25.236623847602299</v>
      </c>
    </row>
    <row r="64" spans="1:49" x14ac:dyDescent="0.3">
      <c r="A64" s="2" t="s">
        <v>165</v>
      </c>
      <c r="B64" s="2" t="s">
        <v>166</v>
      </c>
      <c r="C64" s="2">
        <v>2017</v>
      </c>
      <c r="D64" s="2">
        <v>3</v>
      </c>
      <c r="E64" s="2">
        <v>63</v>
      </c>
      <c r="F64" s="2">
        <v>63</v>
      </c>
      <c r="G64" s="6">
        <v>2663515345</v>
      </c>
      <c r="H64" s="4">
        <v>21.702912645521181</v>
      </c>
      <c r="I64" s="10">
        <v>2628477360</v>
      </c>
      <c r="J64" s="10">
        <v>2518564236</v>
      </c>
      <c r="K64" s="4">
        <v>4.1431347263915326</v>
      </c>
      <c r="L64" s="6">
        <v>72079000000</v>
      </c>
      <c r="M64" s="7">
        <v>1178</v>
      </c>
      <c r="N64" s="4">
        <v>1.325127334465195</v>
      </c>
      <c r="O64" s="10">
        <v>95513853140.916809</v>
      </c>
      <c r="P64" s="4">
        <v>25.282537132980242</v>
      </c>
      <c r="Q64" s="7">
        <v>112.200000046062</v>
      </c>
      <c r="R64" s="8">
        <v>1.332338308457711</v>
      </c>
      <c r="S64" s="3">
        <v>149.48835827032539</v>
      </c>
      <c r="T64" s="4">
        <v>5.007218518697127</v>
      </c>
      <c r="U64" s="6">
        <v>167419114.90000001</v>
      </c>
      <c r="V64" s="3">
        <v>62.856448420423867</v>
      </c>
      <c r="W64" s="3">
        <v>83.746054164126932</v>
      </c>
      <c r="X64" s="4">
        <v>4.4277890551370689</v>
      </c>
      <c r="Y64" s="3">
        <v>84.309925642273754</v>
      </c>
      <c r="Z64" s="4">
        <v>4.4344995999780066</v>
      </c>
      <c r="AA64" s="5">
        <v>0</v>
      </c>
      <c r="AB64" s="5">
        <v>1</v>
      </c>
      <c r="AC64" s="5">
        <v>0</v>
      </c>
      <c r="AD64" s="5">
        <v>0</v>
      </c>
      <c r="AE64" s="9" t="s">
        <v>41</v>
      </c>
      <c r="AF64" s="9" t="s">
        <v>42</v>
      </c>
      <c r="AG64" s="4">
        <v>21.68967056490915</v>
      </c>
      <c r="AH64" s="4">
        <v>21.646954828482841</v>
      </c>
      <c r="AI64" s="4">
        <v>4.2715736426302442E-2</v>
      </c>
      <c r="AJ64" s="4">
        <v>22.17090735376679</v>
      </c>
      <c r="AK64" s="4">
        <v>0</v>
      </c>
      <c r="AL64" s="4">
        <v>0</v>
      </c>
      <c r="AM64" s="4">
        <v>0</v>
      </c>
      <c r="AN64" s="5">
        <v>63</v>
      </c>
      <c r="AO64" s="4">
        <v>-3.3108902000000377E-2</v>
      </c>
      <c r="AP64" s="4">
        <v>5.0403274206971274</v>
      </c>
      <c r="AQ64" s="4">
        <v>4.9388073436971274</v>
      </c>
      <c r="AR64" s="4">
        <v>-6.7105448409376933E-3</v>
      </c>
      <c r="AS64" s="4">
        <v>4.4344995999780066</v>
      </c>
      <c r="AT64" s="4">
        <v>4.4491738796178986</v>
      </c>
      <c r="AU64" s="4">
        <v>1.0719254454226499E-2</v>
      </c>
      <c r="AV64" s="4">
        <v>25.271817878526011</v>
      </c>
      <c r="AW64" s="4">
        <v>25.24519199662123</v>
      </c>
    </row>
    <row r="65" spans="1:49" x14ac:dyDescent="0.3">
      <c r="A65" s="2" t="s">
        <v>167</v>
      </c>
      <c r="B65" s="2" t="s">
        <v>168</v>
      </c>
      <c r="C65" s="2">
        <v>2017</v>
      </c>
      <c r="D65" s="2">
        <v>4</v>
      </c>
      <c r="E65" s="2">
        <v>64</v>
      </c>
      <c r="F65" s="2">
        <v>64</v>
      </c>
      <c r="G65" s="6">
        <v>2876639424</v>
      </c>
      <c r="H65" s="4">
        <v>21.77988858310863</v>
      </c>
      <c r="I65" s="10">
        <v>2663515345</v>
      </c>
      <c r="J65" s="10">
        <v>2662616466</v>
      </c>
      <c r="K65" s="4">
        <v>4.1588830833596706</v>
      </c>
      <c r="L65" s="6">
        <v>73799000000</v>
      </c>
      <c r="M65" s="7">
        <v>1191</v>
      </c>
      <c r="N65" s="4">
        <v>1.310663308144417</v>
      </c>
      <c r="O65" s="10">
        <v>96725641477.749802</v>
      </c>
      <c r="P65" s="4">
        <v>25.295144369485669</v>
      </c>
      <c r="Q65" s="7">
        <v>124.60000003891091</v>
      </c>
      <c r="R65" s="8">
        <v>1.331013916500994</v>
      </c>
      <c r="S65" s="3">
        <v>165.84433404781481</v>
      </c>
      <c r="T65" s="4">
        <v>5.1110496016971272</v>
      </c>
      <c r="U65" s="6">
        <v>181314240.30000001</v>
      </c>
      <c r="V65" s="3">
        <v>63.029880904531467</v>
      </c>
      <c r="W65" s="3">
        <v>83.893648639331644</v>
      </c>
      <c r="X65" s="4">
        <v>4.4295499090502233</v>
      </c>
      <c r="Y65" s="3">
        <v>83.746054164126932</v>
      </c>
      <c r="Z65" s="4">
        <v>4.4277890551370689</v>
      </c>
      <c r="AA65" s="5">
        <v>0</v>
      </c>
      <c r="AB65" s="5">
        <v>0</v>
      </c>
      <c r="AC65" s="5">
        <v>1</v>
      </c>
      <c r="AD65" s="5">
        <v>0</v>
      </c>
      <c r="AE65" s="9" t="s">
        <v>41</v>
      </c>
      <c r="AF65" s="9" t="s">
        <v>42</v>
      </c>
      <c r="AG65" s="4">
        <v>21.702912645521181</v>
      </c>
      <c r="AH65" s="4">
        <v>21.702575110123849</v>
      </c>
      <c r="AI65" s="4">
        <v>3.3753539733183402E-4</v>
      </c>
      <c r="AJ65" s="4">
        <v>22.63964929834869</v>
      </c>
      <c r="AK65" s="4">
        <v>0</v>
      </c>
      <c r="AL65" s="4">
        <v>0</v>
      </c>
      <c r="AM65" s="4">
        <v>0</v>
      </c>
      <c r="AN65" s="5">
        <v>64</v>
      </c>
      <c r="AO65" s="4">
        <v>0.1038310830000002</v>
      </c>
      <c r="AP65" s="4">
        <v>5.007218518697127</v>
      </c>
      <c r="AQ65" s="4">
        <v>5.0159979936971268</v>
      </c>
      <c r="AR65" s="4">
        <v>1.7608539131543921E-3</v>
      </c>
      <c r="AS65" s="4">
        <v>4.4277890551370689</v>
      </c>
      <c r="AT65" s="4">
        <v>4.4457509527709078</v>
      </c>
      <c r="AU65" s="4">
        <v>1.260723650542772E-2</v>
      </c>
      <c r="AV65" s="4">
        <v>25.282537132980242</v>
      </c>
      <c r="AW65" s="4">
        <v>25.24658551999774</v>
      </c>
    </row>
    <row r="66" spans="1:49" x14ac:dyDescent="0.3">
      <c r="A66" s="2" t="s">
        <v>169</v>
      </c>
      <c r="B66" s="2" t="s">
        <v>170</v>
      </c>
      <c r="C66" s="2">
        <v>2018</v>
      </c>
      <c r="D66" s="2">
        <v>1</v>
      </c>
      <c r="E66" s="2">
        <v>65</v>
      </c>
      <c r="F66" s="2">
        <v>65</v>
      </c>
      <c r="G66" s="6">
        <v>2765640680</v>
      </c>
      <c r="H66" s="4">
        <v>21.740538155749011</v>
      </c>
      <c r="I66" s="10">
        <v>2876639424</v>
      </c>
      <c r="J66" s="10">
        <v>2615952777</v>
      </c>
      <c r="K66" s="4">
        <v>4.1743872698956368</v>
      </c>
      <c r="L66" s="6">
        <v>74376000000</v>
      </c>
      <c r="M66" s="7">
        <v>1187</v>
      </c>
      <c r="N66" s="4">
        <v>1.315080033698399</v>
      </c>
      <c r="O66" s="10">
        <v>97810392586.352158</v>
      </c>
      <c r="P66" s="4">
        <v>25.306296672005729</v>
      </c>
      <c r="Q66" s="7">
        <v>131.2999999629308</v>
      </c>
      <c r="R66" s="8">
        <v>1.324431256181998</v>
      </c>
      <c r="S66" s="3">
        <v>173.89782388760079</v>
      </c>
      <c r="T66" s="4">
        <v>5.1584679076971272</v>
      </c>
      <c r="U66" s="6">
        <v>173822156.59999999</v>
      </c>
      <c r="V66" s="3">
        <v>62.850592941090227</v>
      </c>
      <c r="W66" s="3">
        <v>83.241289760751542</v>
      </c>
      <c r="X66" s="4">
        <v>4.4217434958882347</v>
      </c>
      <c r="Y66" s="3">
        <v>83.893648639331644</v>
      </c>
      <c r="Z66" s="4">
        <v>4.4295499090502233</v>
      </c>
      <c r="AA66" s="5">
        <v>0</v>
      </c>
      <c r="AB66" s="5">
        <v>0</v>
      </c>
      <c r="AC66" s="5">
        <v>0</v>
      </c>
      <c r="AD66" s="5">
        <v>0</v>
      </c>
      <c r="AE66" s="9" t="s">
        <v>41</v>
      </c>
      <c r="AF66" s="9" t="s">
        <v>42</v>
      </c>
      <c r="AG66" s="4">
        <v>21.77988858310863</v>
      </c>
      <c r="AH66" s="4">
        <v>21.684894218772929</v>
      </c>
      <c r="AI66" s="4">
        <v>9.499436433570807E-2</v>
      </c>
      <c r="AJ66" s="4">
        <v>22.80942191960796</v>
      </c>
      <c r="AK66" s="4">
        <v>0</v>
      </c>
      <c r="AL66" s="4">
        <v>0</v>
      </c>
      <c r="AM66" s="4">
        <v>0</v>
      </c>
      <c r="AN66" s="5">
        <v>65</v>
      </c>
      <c r="AO66" s="4">
        <v>4.7418305999999973E-2</v>
      </c>
      <c r="AP66" s="4">
        <v>5.1110496016971272</v>
      </c>
      <c r="AQ66" s="4">
        <v>5.0702058706971274</v>
      </c>
      <c r="AR66" s="4">
        <v>-7.8064131619886012E-3</v>
      </c>
      <c r="AS66" s="4">
        <v>4.4295499090502233</v>
      </c>
      <c r="AT66" s="4">
        <v>4.4359608173466718</v>
      </c>
      <c r="AU66" s="4">
        <v>1.1152302520066829E-2</v>
      </c>
      <c r="AV66" s="4">
        <v>25.295144369485669</v>
      </c>
      <c r="AW66" s="4">
        <v>25.261424634403848</v>
      </c>
    </row>
    <row r="67" spans="1:49" x14ac:dyDescent="0.3">
      <c r="A67" s="2" t="s">
        <v>171</v>
      </c>
      <c r="B67" s="2" t="s">
        <v>172</v>
      </c>
      <c r="C67" s="2">
        <v>2018</v>
      </c>
      <c r="D67" s="2">
        <v>2</v>
      </c>
      <c r="E67" s="2">
        <v>66</v>
      </c>
      <c r="F67" s="2">
        <v>66</v>
      </c>
      <c r="G67" s="6">
        <v>2806431711</v>
      </c>
      <c r="H67" s="4">
        <v>21.755179659607951</v>
      </c>
      <c r="I67" s="10">
        <v>2765640680</v>
      </c>
      <c r="J67" s="10">
        <v>2628477360</v>
      </c>
      <c r="K67" s="4">
        <v>4.1896547420264252</v>
      </c>
      <c r="L67" s="6">
        <v>75236000000</v>
      </c>
      <c r="M67" s="7">
        <v>1191</v>
      </c>
      <c r="N67" s="4">
        <v>1.310663308144417</v>
      </c>
      <c r="O67" s="10">
        <v>98609064651.553329</v>
      </c>
      <c r="P67" s="4">
        <v>25.3144290279151</v>
      </c>
      <c r="Q67" s="7">
        <v>137.59999999760569</v>
      </c>
      <c r="R67" s="8">
        <v>1.3192118226600991</v>
      </c>
      <c r="S67" s="3">
        <v>181.5235467948709</v>
      </c>
      <c r="T67" s="4">
        <v>5.2013853796971272</v>
      </c>
      <c r="U67" s="6">
        <v>176520113.30000001</v>
      </c>
      <c r="V67" s="3">
        <v>62.898417448790021</v>
      </c>
      <c r="W67" s="3">
        <v>82.97633592505403</v>
      </c>
      <c r="X67" s="4">
        <v>4.4185554578085053</v>
      </c>
      <c r="Y67" s="3">
        <v>83.241289760751542</v>
      </c>
      <c r="Z67" s="4">
        <v>4.4217434958882347</v>
      </c>
      <c r="AA67" s="5">
        <v>1</v>
      </c>
      <c r="AB67" s="5">
        <v>0</v>
      </c>
      <c r="AC67" s="5">
        <v>0</v>
      </c>
      <c r="AD67" s="5">
        <v>0</v>
      </c>
      <c r="AE67" s="9" t="s">
        <v>41</v>
      </c>
      <c r="AF67" s="9" t="s">
        <v>42</v>
      </c>
      <c r="AG67" s="4">
        <v>21.740538155749011</v>
      </c>
      <c r="AH67" s="4">
        <v>21.68967056490915</v>
      </c>
      <c r="AI67" s="4">
        <v>5.0867590839867922E-2</v>
      </c>
      <c r="AJ67" s="4">
        <v>22.982609757626111</v>
      </c>
      <c r="AK67" s="4">
        <v>0</v>
      </c>
      <c r="AL67" s="4">
        <v>0</v>
      </c>
      <c r="AM67" s="4">
        <v>0</v>
      </c>
      <c r="AN67" s="5">
        <v>66</v>
      </c>
      <c r="AO67" s="4">
        <v>4.2917472000000068E-2</v>
      </c>
      <c r="AP67" s="4">
        <v>5.1584679076971272</v>
      </c>
      <c r="AQ67" s="4">
        <v>5.0403274206971274</v>
      </c>
      <c r="AR67" s="4">
        <v>-3.188038079729338E-3</v>
      </c>
      <c r="AS67" s="4">
        <v>4.4217434958882347</v>
      </c>
      <c r="AT67" s="4">
        <v>4.4344995999780066</v>
      </c>
      <c r="AU67" s="4">
        <v>8.1323559093675613E-3</v>
      </c>
      <c r="AV67" s="4">
        <v>25.306296672005729</v>
      </c>
      <c r="AW67" s="4">
        <v>25.271817878526011</v>
      </c>
    </row>
    <row r="68" spans="1:49" x14ac:dyDescent="0.3">
      <c r="A68" s="2" t="s">
        <v>173</v>
      </c>
      <c r="B68" s="2" t="s">
        <v>174</v>
      </c>
      <c r="C68" s="2">
        <v>2018</v>
      </c>
      <c r="D68" s="2">
        <v>3</v>
      </c>
      <c r="E68" s="2">
        <v>67</v>
      </c>
      <c r="F68" s="2">
        <v>67</v>
      </c>
      <c r="G68" s="6">
        <v>2969453691</v>
      </c>
      <c r="H68" s="4">
        <v>21.811643830417299</v>
      </c>
      <c r="I68" s="10">
        <v>2806431711</v>
      </c>
      <c r="J68" s="10">
        <v>2663515345</v>
      </c>
      <c r="K68" s="4">
        <v>4.2046926193909657</v>
      </c>
      <c r="L68" s="6">
        <v>75785000000</v>
      </c>
      <c r="M68" s="7">
        <v>1199</v>
      </c>
      <c r="N68" s="4">
        <v>1.3019182652210179</v>
      </c>
      <c r="O68" s="10">
        <v>98665875729.774811</v>
      </c>
      <c r="P68" s="4">
        <v>25.315004986317948</v>
      </c>
      <c r="Q68" s="7">
        <v>150.29999997692579</v>
      </c>
      <c r="R68" s="8">
        <v>1.3076171875</v>
      </c>
      <c r="S68" s="3">
        <v>196.53486325107781</v>
      </c>
      <c r="T68" s="4">
        <v>5.280839836697127</v>
      </c>
      <c r="U68" s="6">
        <v>186433481.30000001</v>
      </c>
      <c r="V68" s="3">
        <v>62.783764523775503</v>
      </c>
      <c r="W68" s="3">
        <v>82.097129587241596</v>
      </c>
      <c r="X68" s="4">
        <v>4.4079030534506138</v>
      </c>
      <c r="Y68" s="3">
        <v>82.97633592505403</v>
      </c>
      <c r="Z68" s="4">
        <v>4.4185554578085053</v>
      </c>
      <c r="AA68" s="5">
        <v>0</v>
      </c>
      <c r="AB68" s="5">
        <v>1</v>
      </c>
      <c r="AC68" s="5">
        <v>0</v>
      </c>
      <c r="AD68" s="5">
        <v>0</v>
      </c>
      <c r="AE68" s="9" t="s">
        <v>41</v>
      </c>
      <c r="AF68" s="9" t="s">
        <v>42</v>
      </c>
      <c r="AG68" s="4">
        <v>21.755179659607951</v>
      </c>
      <c r="AH68" s="4">
        <v>21.702912645521181</v>
      </c>
      <c r="AI68" s="4">
        <v>5.2267014086769592E-2</v>
      </c>
      <c r="AJ68" s="4">
        <v>23.277430040960908</v>
      </c>
      <c r="AK68" s="4">
        <v>0</v>
      </c>
      <c r="AL68" s="4">
        <v>0</v>
      </c>
      <c r="AM68" s="4">
        <v>0</v>
      </c>
      <c r="AN68" s="5">
        <v>67</v>
      </c>
      <c r="AO68" s="4">
        <v>7.9454456999999756E-2</v>
      </c>
      <c r="AP68" s="4">
        <v>5.2013853796971272</v>
      </c>
      <c r="AQ68" s="4">
        <v>5.007218518697127</v>
      </c>
      <c r="AR68" s="4">
        <v>-1.06524043578915E-2</v>
      </c>
      <c r="AS68" s="4">
        <v>4.4185554578085053</v>
      </c>
      <c r="AT68" s="4">
        <v>4.4277890551370689</v>
      </c>
      <c r="AU68" s="4">
        <v>5.7595840284818678E-4</v>
      </c>
      <c r="AV68" s="4">
        <v>25.3144290279151</v>
      </c>
      <c r="AW68" s="4">
        <v>25.282537132980242</v>
      </c>
    </row>
    <row r="69" spans="1:49" x14ac:dyDescent="0.3">
      <c r="A69" s="2" t="s">
        <v>175</v>
      </c>
      <c r="B69" s="2" t="s">
        <v>176</v>
      </c>
      <c r="C69" s="2">
        <v>2018</v>
      </c>
      <c r="D69" s="2">
        <v>4</v>
      </c>
      <c r="E69" s="2">
        <v>68</v>
      </c>
      <c r="F69" s="2">
        <v>68</v>
      </c>
      <c r="G69" s="6">
        <v>2969564969</v>
      </c>
      <c r="H69" s="4">
        <v>21.811681303948319</v>
      </c>
      <c r="I69" s="10">
        <v>2969453691</v>
      </c>
      <c r="J69" s="10">
        <v>2876639424</v>
      </c>
      <c r="K69" s="4">
        <v>4.219507705176107</v>
      </c>
      <c r="L69" s="6">
        <v>76787000000</v>
      </c>
      <c r="M69" s="7">
        <v>1195</v>
      </c>
      <c r="N69" s="4">
        <v>1.306276150627615</v>
      </c>
      <c r="O69" s="10">
        <v>100305026778.24271</v>
      </c>
      <c r="P69" s="4">
        <v>25.331481648088602</v>
      </c>
      <c r="Q69" s="7">
        <v>153.8999999590057</v>
      </c>
      <c r="R69" s="8">
        <v>1.306341463414634</v>
      </c>
      <c r="S69" s="3">
        <v>201.04595116595971</v>
      </c>
      <c r="T69" s="4">
        <v>5.3035334946971284</v>
      </c>
      <c r="U69" s="6">
        <v>203258231.59999999</v>
      </c>
      <c r="V69" s="3">
        <v>68.447140817547805</v>
      </c>
      <c r="W69" s="3">
        <v>89.41533810214294</v>
      </c>
      <c r="X69" s="4">
        <v>4.493292234601574</v>
      </c>
      <c r="Y69" s="3">
        <v>82.097129587241596</v>
      </c>
      <c r="Z69" s="4">
        <v>4.4079030534506138</v>
      </c>
      <c r="AA69" s="5">
        <v>0</v>
      </c>
      <c r="AB69" s="5">
        <v>0</v>
      </c>
      <c r="AC69" s="5">
        <v>1</v>
      </c>
      <c r="AD69" s="5">
        <v>0</v>
      </c>
      <c r="AE69" s="9" t="s">
        <v>41</v>
      </c>
      <c r="AF69" s="9" t="s">
        <v>42</v>
      </c>
      <c r="AG69" s="4">
        <v>21.811643830417299</v>
      </c>
      <c r="AH69" s="4">
        <v>21.77988858310863</v>
      </c>
      <c r="AI69" s="4">
        <v>3.1755247308662859E-2</v>
      </c>
      <c r="AJ69" s="4">
        <v>23.830325867671949</v>
      </c>
      <c r="AK69" s="4">
        <v>0</v>
      </c>
      <c r="AL69" s="4">
        <v>0</v>
      </c>
      <c r="AM69" s="4">
        <v>0</v>
      </c>
      <c r="AN69" s="5">
        <v>68</v>
      </c>
      <c r="AO69" s="4">
        <v>2.2693658000000561E-2</v>
      </c>
      <c r="AP69" s="4">
        <v>5.280839836697127</v>
      </c>
      <c r="AQ69" s="4">
        <v>5.1110496016971272</v>
      </c>
      <c r="AR69" s="4">
        <v>8.5389181150960169E-2</v>
      </c>
      <c r="AS69" s="4">
        <v>4.4079030534506138</v>
      </c>
      <c r="AT69" s="4">
        <v>4.4295499090502233</v>
      </c>
      <c r="AU69" s="4">
        <v>1.6476661770653319E-2</v>
      </c>
      <c r="AV69" s="4">
        <v>25.315004986317948</v>
      </c>
      <c r="AW69" s="4">
        <v>25.295144369485669</v>
      </c>
    </row>
    <row r="70" spans="1:49" x14ac:dyDescent="0.3">
      <c r="A70" s="2" t="s">
        <v>177</v>
      </c>
      <c r="B70" s="2" t="s">
        <v>178</v>
      </c>
      <c r="C70" s="2">
        <v>2019</v>
      </c>
      <c r="D70" s="2">
        <v>1</v>
      </c>
      <c r="E70" s="2">
        <v>69</v>
      </c>
      <c r="F70" s="2">
        <v>69</v>
      </c>
      <c r="G70" s="6">
        <v>2882610412</v>
      </c>
      <c r="H70" s="4">
        <v>21.781962113623681</v>
      </c>
      <c r="I70" s="10">
        <v>2969564969</v>
      </c>
      <c r="J70" s="10">
        <v>2765640680</v>
      </c>
      <c r="K70" s="4">
        <v>4.2341065045972597</v>
      </c>
      <c r="L70" s="6">
        <v>78271000000</v>
      </c>
      <c r="M70" s="7">
        <v>1203</v>
      </c>
      <c r="N70" s="4">
        <v>1.2975893599335</v>
      </c>
      <c r="O70" s="10">
        <v>101563616791.3549</v>
      </c>
      <c r="P70" s="4">
        <v>25.343951205509509</v>
      </c>
      <c r="Q70" s="7">
        <v>145.20000005023539</v>
      </c>
      <c r="R70" s="8">
        <v>1.3050682261208579</v>
      </c>
      <c r="S70" s="3">
        <v>189.49590649830921</v>
      </c>
      <c r="T70" s="4">
        <v>5.2443674226971284</v>
      </c>
      <c r="U70" s="6">
        <v>198534303.19999999</v>
      </c>
      <c r="V70" s="3">
        <v>68.873095848652611</v>
      </c>
      <c r="W70" s="3">
        <v>89.884089026652873</v>
      </c>
      <c r="X70" s="4">
        <v>4.4985209405708222</v>
      </c>
      <c r="Y70" s="3">
        <v>89.41533810214294</v>
      </c>
      <c r="Z70" s="4">
        <v>4.493292234601574</v>
      </c>
      <c r="AA70" s="5">
        <v>0</v>
      </c>
      <c r="AB70" s="5">
        <v>0</v>
      </c>
      <c r="AC70" s="5">
        <v>0</v>
      </c>
      <c r="AD70" s="5">
        <v>0</v>
      </c>
      <c r="AE70" s="9" t="s">
        <v>41</v>
      </c>
      <c r="AF70" s="9" t="s">
        <v>42</v>
      </c>
      <c r="AG70" s="4">
        <v>21.811681303948319</v>
      </c>
      <c r="AH70" s="4">
        <v>21.740538155749011</v>
      </c>
      <c r="AI70" s="4">
        <v>7.1143148199308115E-2</v>
      </c>
      <c r="AJ70" s="4">
        <v>23.59189667105046</v>
      </c>
      <c r="AK70" s="4">
        <v>0</v>
      </c>
      <c r="AL70" s="4">
        <v>0</v>
      </c>
      <c r="AM70" s="4">
        <v>0</v>
      </c>
      <c r="AN70" s="5">
        <v>69</v>
      </c>
      <c r="AO70" s="4">
        <v>-5.9166072000000007E-2</v>
      </c>
      <c r="AP70" s="4">
        <v>5.3035334946971284</v>
      </c>
      <c r="AQ70" s="4">
        <v>5.1584679076971272</v>
      </c>
      <c r="AR70" s="4">
        <v>5.2287059692481819E-3</v>
      </c>
      <c r="AS70" s="4">
        <v>4.493292234601574</v>
      </c>
      <c r="AT70" s="4">
        <v>4.4217434958882347</v>
      </c>
      <c r="AU70" s="4">
        <v>1.24695574209035E-2</v>
      </c>
      <c r="AV70" s="4">
        <v>25.331481648088602</v>
      </c>
      <c r="AW70" s="4">
        <v>25.306296672005729</v>
      </c>
    </row>
    <row r="71" spans="1:49" x14ac:dyDescent="0.3">
      <c r="A71" s="2" t="s">
        <v>179</v>
      </c>
      <c r="B71" s="2" t="s">
        <v>180</v>
      </c>
      <c r="C71" s="2">
        <v>2019</v>
      </c>
      <c r="D71" s="2">
        <v>2</v>
      </c>
      <c r="E71" s="2">
        <v>70</v>
      </c>
      <c r="F71" s="2">
        <v>70</v>
      </c>
      <c r="G71" s="6">
        <v>3076596136</v>
      </c>
      <c r="H71" s="4">
        <v>21.84708967215326</v>
      </c>
      <c r="I71" s="10">
        <v>2882610412</v>
      </c>
      <c r="J71" s="10">
        <v>2806431711</v>
      </c>
      <c r="K71" s="4">
        <v>4.2484952420493594</v>
      </c>
      <c r="L71" s="6">
        <v>79331000000</v>
      </c>
      <c r="M71" s="7">
        <v>1220</v>
      </c>
      <c r="N71" s="4">
        <v>1.279508196721312</v>
      </c>
      <c r="O71" s="10">
        <v>101504664754.0984</v>
      </c>
      <c r="P71" s="4">
        <v>25.343370592540669</v>
      </c>
      <c r="Q71" s="7">
        <v>151.09999996506099</v>
      </c>
      <c r="R71" s="8">
        <v>1.2974806201550391</v>
      </c>
      <c r="S71" s="3">
        <v>196.04932166009371</v>
      </c>
      <c r="T71" s="4">
        <v>5.2783662686971269</v>
      </c>
      <c r="U71" s="6">
        <v>211664856.5</v>
      </c>
      <c r="V71" s="3">
        <v>68.798388590318382</v>
      </c>
      <c r="W71" s="3">
        <v>89.264575893833637</v>
      </c>
      <c r="X71" s="4">
        <v>4.4916047226623226</v>
      </c>
      <c r="Y71" s="3">
        <v>89.884089026652873</v>
      </c>
      <c r="Z71" s="4">
        <v>4.4985209405708222</v>
      </c>
      <c r="AA71" s="5">
        <v>1</v>
      </c>
      <c r="AB71" s="5">
        <v>0</v>
      </c>
      <c r="AC71" s="5">
        <v>0</v>
      </c>
      <c r="AD71" s="5">
        <v>0</v>
      </c>
      <c r="AE71" s="9" t="s">
        <v>41</v>
      </c>
      <c r="AF71" s="9" t="s">
        <v>42</v>
      </c>
      <c r="AG71" s="4">
        <v>21.781962113623681</v>
      </c>
      <c r="AH71" s="4">
        <v>21.755179659607951</v>
      </c>
      <c r="AI71" s="4">
        <v>2.6782454015734199E-2</v>
      </c>
      <c r="AJ71" s="4">
        <v>23.70833486042152</v>
      </c>
      <c r="AK71" s="4">
        <v>0</v>
      </c>
      <c r="AL71" s="4">
        <v>0</v>
      </c>
      <c r="AM71" s="4">
        <v>0</v>
      </c>
      <c r="AN71" s="5">
        <v>70</v>
      </c>
      <c r="AO71" s="4">
        <v>3.3998845999999361E-2</v>
      </c>
      <c r="AP71" s="4">
        <v>5.2443674226971284</v>
      </c>
      <c r="AQ71" s="4">
        <v>5.2013853796971272</v>
      </c>
      <c r="AR71" s="4">
        <v>-6.9162179084996112E-3</v>
      </c>
      <c r="AS71" s="4">
        <v>4.4985209405708222</v>
      </c>
      <c r="AT71" s="4">
        <v>4.4185554578085053</v>
      </c>
      <c r="AU71" s="4">
        <v>-5.8061296883948899E-4</v>
      </c>
      <c r="AV71" s="4">
        <v>25.343951205509509</v>
      </c>
      <c r="AW71" s="4">
        <v>25.3144290279151</v>
      </c>
    </row>
    <row r="72" spans="1:49" x14ac:dyDescent="0.3">
      <c r="A72" s="2" t="s">
        <v>181</v>
      </c>
      <c r="B72" s="2" t="s">
        <v>182</v>
      </c>
      <c r="C72" s="2">
        <v>2019</v>
      </c>
      <c r="D72" s="2">
        <v>3</v>
      </c>
      <c r="E72" s="2">
        <v>71</v>
      </c>
      <c r="F72" s="2">
        <v>71</v>
      </c>
      <c r="G72" s="6">
        <v>2839219834</v>
      </c>
      <c r="H72" s="4">
        <v>21.766795145042799</v>
      </c>
      <c r="I72" s="10">
        <v>3076596136</v>
      </c>
      <c r="J72" s="10">
        <v>2969453691</v>
      </c>
      <c r="K72" s="4">
        <v>4.2626798770413146</v>
      </c>
      <c r="L72" s="6">
        <v>80380000000</v>
      </c>
      <c r="M72" s="7">
        <v>1226</v>
      </c>
      <c r="N72" s="4">
        <v>1.273246329526917</v>
      </c>
      <c r="O72" s="10">
        <v>102343539967.3736</v>
      </c>
      <c r="P72" s="4">
        <v>25.351601029986739</v>
      </c>
      <c r="Q72" s="7">
        <v>142.19999996246511</v>
      </c>
      <c r="R72" s="8">
        <v>1.28873917228104</v>
      </c>
      <c r="S72" s="3">
        <v>183.25871024999111</v>
      </c>
      <c r="T72" s="4">
        <v>5.2108988716971272</v>
      </c>
      <c r="U72" s="6">
        <v>205780326.5</v>
      </c>
      <c r="V72" s="3">
        <v>72.477771546872063</v>
      </c>
      <c r="W72" s="3">
        <v>93.404943312090182</v>
      </c>
      <c r="X72" s="4">
        <v>4.5369442700878944</v>
      </c>
      <c r="Y72" s="3">
        <v>89.264575893833637</v>
      </c>
      <c r="Z72" s="4">
        <v>4.4916047226623226</v>
      </c>
      <c r="AA72" s="5">
        <v>0</v>
      </c>
      <c r="AB72" s="5">
        <v>1</v>
      </c>
      <c r="AC72" s="5">
        <v>0</v>
      </c>
      <c r="AD72" s="5">
        <v>0</v>
      </c>
      <c r="AE72" s="9" t="s">
        <v>41</v>
      </c>
      <c r="AF72" s="9" t="s">
        <v>42</v>
      </c>
      <c r="AG72" s="4">
        <v>21.84708967215326</v>
      </c>
      <c r="AH72" s="4">
        <v>21.811643830417299</v>
      </c>
      <c r="AI72" s="4">
        <v>3.5445841735967321E-2</v>
      </c>
      <c r="AJ72" s="4">
        <v>23.64155777795375</v>
      </c>
      <c r="AK72" s="4">
        <v>0</v>
      </c>
      <c r="AL72" s="4">
        <v>0</v>
      </c>
      <c r="AM72" s="4">
        <v>0</v>
      </c>
      <c r="AN72" s="5">
        <v>71</v>
      </c>
      <c r="AO72" s="4">
        <v>-6.7467396999999707E-2</v>
      </c>
      <c r="AP72" s="4">
        <v>5.2783662686971269</v>
      </c>
      <c r="AQ72" s="4">
        <v>5.280839836697127</v>
      </c>
      <c r="AR72" s="4">
        <v>4.533954742557178E-2</v>
      </c>
      <c r="AS72" s="4">
        <v>4.4916047226623226</v>
      </c>
      <c r="AT72" s="4">
        <v>4.4079030534506138</v>
      </c>
      <c r="AU72" s="4">
        <v>8.230437446076877E-3</v>
      </c>
      <c r="AV72" s="4">
        <v>25.343370592540669</v>
      </c>
      <c r="AW72" s="4">
        <v>25.315004986317948</v>
      </c>
    </row>
    <row r="73" spans="1:49" x14ac:dyDescent="0.3">
      <c r="A73" s="2" t="s">
        <v>183</v>
      </c>
      <c r="B73" s="2" t="s">
        <v>184</v>
      </c>
      <c r="C73" s="2">
        <v>2019</v>
      </c>
      <c r="D73" s="2">
        <v>4</v>
      </c>
      <c r="E73" s="2">
        <v>72</v>
      </c>
      <c r="F73" s="2">
        <v>72</v>
      </c>
      <c r="G73" s="6">
        <v>3102749444</v>
      </c>
      <c r="H73" s="4">
        <v>21.85555447277801</v>
      </c>
      <c r="I73" s="10">
        <v>2839219834</v>
      </c>
      <c r="J73" s="10">
        <v>2969564969</v>
      </c>
      <c r="K73" s="4">
        <v>4.2766661190160553</v>
      </c>
      <c r="L73" s="6">
        <v>81861000000</v>
      </c>
      <c r="M73" s="7">
        <v>1240</v>
      </c>
      <c r="N73" s="4">
        <v>1.258870967741935</v>
      </c>
      <c r="O73" s="10">
        <v>103052436290.3226</v>
      </c>
      <c r="P73" s="4">
        <v>25.358503785830901</v>
      </c>
      <c r="Q73" s="7">
        <v>141.9999999783135</v>
      </c>
      <c r="R73" s="8">
        <v>1.2825670498084289</v>
      </c>
      <c r="S73" s="3">
        <v>182.12452104498249</v>
      </c>
      <c r="T73" s="4">
        <v>5.2046906346971271</v>
      </c>
      <c r="U73" s="6">
        <v>226165740.59999999</v>
      </c>
      <c r="V73" s="3">
        <v>72.892041294972188</v>
      </c>
      <c r="W73" s="3">
        <v>93.488930358206673</v>
      </c>
      <c r="X73" s="4">
        <v>4.5378430373949303</v>
      </c>
      <c r="Y73" s="3">
        <v>93.404943312090182</v>
      </c>
      <c r="Z73" s="4">
        <v>4.5369442700878944</v>
      </c>
      <c r="AA73" s="5">
        <v>0</v>
      </c>
      <c r="AB73" s="5">
        <v>0</v>
      </c>
      <c r="AC73" s="5">
        <v>1</v>
      </c>
      <c r="AD73" s="5">
        <v>0</v>
      </c>
      <c r="AE73" s="9" t="s">
        <v>41</v>
      </c>
      <c r="AF73" s="9" t="s">
        <v>42</v>
      </c>
      <c r="AG73" s="4">
        <v>21.766795145042799</v>
      </c>
      <c r="AH73" s="4">
        <v>21.811681303948319</v>
      </c>
      <c r="AI73" s="4">
        <v>-4.4886158905523388E-2</v>
      </c>
      <c r="AJ73" s="4">
        <v>23.618069158454961</v>
      </c>
      <c r="AK73" s="4">
        <v>0</v>
      </c>
      <c r="AL73" s="4">
        <v>0</v>
      </c>
      <c r="AM73" s="4">
        <v>0</v>
      </c>
      <c r="AN73" s="5">
        <v>72</v>
      </c>
      <c r="AO73" s="4">
        <v>-6.2082370000000608E-3</v>
      </c>
      <c r="AP73" s="4">
        <v>5.2108988716971272</v>
      </c>
      <c r="AQ73" s="4">
        <v>5.3035334946971284</v>
      </c>
      <c r="AR73" s="4">
        <v>8.9876730703597474E-4</v>
      </c>
      <c r="AS73" s="4">
        <v>4.5369442700878944</v>
      </c>
      <c r="AT73" s="4">
        <v>4.493292234601574</v>
      </c>
      <c r="AU73" s="4">
        <v>6.9027558441590031E-3</v>
      </c>
      <c r="AV73" s="4">
        <v>25.351601029986739</v>
      </c>
      <c r="AW73" s="4">
        <v>25.331481648088602</v>
      </c>
    </row>
    <row r="74" spans="1:49" x14ac:dyDescent="0.3">
      <c r="A74" s="2" t="s">
        <v>185</v>
      </c>
      <c r="B74" s="2" t="s">
        <v>186</v>
      </c>
      <c r="C74" s="2">
        <v>2020</v>
      </c>
      <c r="D74" s="2">
        <v>1</v>
      </c>
      <c r="E74" s="2">
        <v>73</v>
      </c>
      <c r="F74" s="2">
        <v>73</v>
      </c>
      <c r="G74" s="6">
        <v>2812678357</v>
      </c>
      <c r="H74" s="4">
        <v>21.757403018288471</v>
      </c>
      <c r="I74" s="10">
        <v>3102749444</v>
      </c>
      <c r="J74" s="10">
        <v>2882610412</v>
      </c>
      <c r="K74" s="4">
        <v>4.290459441148391</v>
      </c>
      <c r="L74" s="6">
        <v>81939000000</v>
      </c>
      <c r="M74" s="7">
        <v>1251</v>
      </c>
      <c r="N74" s="4">
        <v>1.247801758593126</v>
      </c>
      <c r="O74" s="10">
        <v>102243628297.36211</v>
      </c>
      <c r="P74" s="4">
        <v>25.350624314987439</v>
      </c>
      <c r="Q74" s="7">
        <v>138.1999999958596</v>
      </c>
      <c r="R74" s="8">
        <v>1.272813688212928</v>
      </c>
      <c r="S74" s="3">
        <v>175.9028517057566</v>
      </c>
      <c r="T74" s="4">
        <v>5.1699318636971272</v>
      </c>
      <c r="U74" s="6">
        <v>205000649.5</v>
      </c>
      <c r="V74" s="3">
        <v>72.884497791867489</v>
      </c>
      <c r="W74" s="3">
        <v>92.768386448013842</v>
      </c>
      <c r="X74" s="4">
        <v>4.5301059184775267</v>
      </c>
      <c r="Y74" s="3">
        <v>93.488930358206673</v>
      </c>
      <c r="Z74" s="4">
        <v>4.5378430373949303</v>
      </c>
      <c r="AA74" s="5">
        <v>0</v>
      </c>
      <c r="AB74" s="5">
        <v>0</v>
      </c>
      <c r="AC74" s="5">
        <v>0</v>
      </c>
      <c r="AD74" s="5">
        <v>0</v>
      </c>
      <c r="AE74" s="9" t="s">
        <v>41</v>
      </c>
      <c r="AF74" s="9" t="s">
        <v>42</v>
      </c>
      <c r="AG74" s="4">
        <v>21.85555447277801</v>
      </c>
      <c r="AH74" s="4">
        <v>21.781962113623681</v>
      </c>
      <c r="AI74" s="4">
        <v>7.3592359154332598E-2</v>
      </c>
      <c r="AJ74" s="4">
        <v>23.42033893385991</v>
      </c>
      <c r="AK74" s="4">
        <v>0</v>
      </c>
      <c r="AL74" s="4">
        <v>0</v>
      </c>
      <c r="AM74" s="4">
        <v>0</v>
      </c>
      <c r="AN74" s="5">
        <v>73</v>
      </c>
      <c r="AO74" s="4">
        <v>-3.4758770999999911E-2</v>
      </c>
      <c r="AP74" s="4">
        <v>5.2046906346971271</v>
      </c>
      <c r="AQ74" s="4">
        <v>5.2443674226971284</v>
      </c>
      <c r="AR74" s="4">
        <v>-7.7371189174035848E-3</v>
      </c>
      <c r="AS74" s="4">
        <v>4.5378430373949303</v>
      </c>
      <c r="AT74" s="4">
        <v>4.4985209405708222</v>
      </c>
      <c r="AU74" s="4">
        <v>-7.8794708434593019E-3</v>
      </c>
      <c r="AV74" s="4">
        <v>25.358503785830901</v>
      </c>
      <c r="AW74" s="4">
        <v>25.343951205509509</v>
      </c>
    </row>
    <row r="75" spans="1:49" x14ac:dyDescent="0.3">
      <c r="A75" s="2" t="s">
        <v>187</v>
      </c>
      <c r="B75" s="2" t="s">
        <v>188</v>
      </c>
      <c r="C75" s="2">
        <v>2020</v>
      </c>
      <c r="D75" s="2">
        <v>2</v>
      </c>
      <c r="E75" s="2">
        <v>74</v>
      </c>
      <c r="F75" s="2">
        <v>74</v>
      </c>
      <c r="G75" s="6">
        <v>2631289175</v>
      </c>
      <c r="H75" s="4">
        <v>21.690739743645182</v>
      </c>
      <c r="I75" s="10">
        <v>2812678357</v>
      </c>
      <c r="J75" s="10">
        <v>3076596136</v>
      </c>
      <c r="K75" s="4">
        <v>4.3040650932041702</v>
      </c>
      <c r="L75" s="6">
        <v>73696000000</v>
      </c>
      <c r="M75" s="7">
        <v>1250</v>
      </c>
      <c r="N75" s="4">
        <v>1.2487999999999999</v>
      </c>
      <c r="O75" s="10">
        <v>92031564800</v>
      </c>
      <c r="P75" s="4">
        <v>25.245397450803772</v>
      </c>
      <c r="Q75" s="7">
        <v>116.20000005329869</v>
      </c>
      <c r="R75" s="8">
        <v>1.2788920725883479</v>
      </c>
      <c r="S75" s="3">
        <v>148.60725890292929</v>
      </c>
      <c r="T75" s="4">
        <v>5.0013069796971266</v>
      </c>
      <c r="U75" s="6">
        <v>191574900.30000001</v>
      </c>
      <c r="V75" s="3">
        <v>72.806479090235314</v>
      </c>
      <c r="W75" s="3">
        <v>93.11162894157124</v>
      </c>
      <c r="X75" s="4">
        <v>4.5337990845553886</v>
      </c>
      <c r="Y75" s="3">
        <v>92.768386448013842</v>
      </c>
      <c r="Z75" s="4">
        <v>4.5301059184775267</v>
      </c>
      <c r="AA75" s="5">
        <v>1</v>
      </c>
      <c r="AB75" s="5">
        <v>0</v>
      </c>
      <c r="AC75" s="5">
        <v>0</v>
      </c>
      <c r="AD75" s="5">
        <v>0</v>
      </c>
      <c r="AE75" s="9" t="s">
        <v>41</v>
      </c>
      <c r="AF75" s="9" t="s">
        <v>42</v>
      </c>
      <c r="AG75" s="4">
        <v>21.757403018288471</v>
      </c>
      <c r="AH75" s="4">
        <v>21.84708967215326</v>
      </c>
      <c r="AI75" s="4">
        <v>-8.9686653864788468E-2</v>
      </c>
      <c r="AJ75" s="4">
        <v>22.67492100613131</v>
      </c>
      <c r="AK75" s="4">
        <v>0</v>
      </c>
      <c r="AL75" s="4">
        <v>0</v>
      </c>
      <c r="AM75" s="4">
        <v>0</v>
      </c>
      <c r="AN75" s="5">
        <v>74</v>
      </c>
      <c r="AO75" s="4">
        <v>-0.16862488399999981</v>
      </c>
      <c r="AP75" s="4">
        <v>5.1699318636971272</v>
      </c>
      <c r="AQ75" s="4">
        <v>5.2783662686971269</v>
      </c>
      <c r="AR75" s="4">
        <v>3.693166077861854E-3</v>
      </c>
      <c r="AS75" s="4">
        <v>4.5301059184775267</v>
      </c>
      <c r="AT75" s="4">
        <v>4.4916047226623226</v>
      </c>
      <c r="AU75" s="4">
        <v>-0.1052268641836704</v>
      </c>
      <c r="AV75" s="4">
        <v>25.350624314987439</v>
      </c>
      <c r="AW75" s="4">
        <v>25.343370592540669</v>
      </c>
    </row>
    <row r="76" spans="1:49" x14ac:dyDescent="0.3">
      <c r="A76" s="2" t="s">
        <v>189</v>
      </c>
      <c r="B76" s="2" t="s">
        <v>190</v>
      </c>
      <c r="C76" s="2">
        <v>2020</v>
      </c>
      <c r="D76" s="2">
        <v>3</v>
      </c>
      <c r="E76" s="2">
        <v>75</v>
      </c>
      <c r="F76" s="2">
        <v>75</v>
      </c>
      <c r="G76" s="6">
        <v>2778045013</v>
      </c>
      <c r="H76" s="4">
        <v>21.745013284531019</v>
      </c>
      <c r="I76" s="10">
        <v>2631289175</v>
      </c>
      <c r="J76" s="10">
        <v>2839219834</v>
      </c>
      <c r="K76" s="4">
        <v>4.3174881135363101</v>
      </c>
      <c r="L76" s="6">
        <v>84045000000</v>
      </c>
      <c r="M76" s="7">
        <v>1250</v>
      </c>
      <c r="N76" s="4">
        <v>1.2487999999999999</v>
      </c>
      <c r="O76" s="10">
        <v>104955396000</v>
      </c>
      <c r="P76" s="4">
        <v>25.37680129685085</v>
      </c>
      <c r="Q76" s="7">
        <v>114.3000000350327</v>
      </c>
      <c r="R76" s="8">
        <v>1.2703984819734351</v>
      </c>
      <c r="S76" s="3">
        <v>145.20654653406899</v>
      </c>
      <c r="T76" s="4">
        <v>4.9781571876971276</v>
      </c>
      <c r="U76" s="6">
        <v>212541056.69999999</v>
      </c>
      <c r="V76" s="3">
        <v>76.507420040137418</v>
      </c>
      <c r="W76" s="3">
        <v>97.194910278694508</v>
      </c>
      <c r="X76" s="4">
        <v>4.5767183467074668</v>
      </c>
      <c r="Y76" s="3">
        <v>93.11162894157124</v>
      </c>
      <c r="Z76" s="4">
        <v>4.5337990845553886</v>
      </c>
      <c r="AA76" s="5">
        <v>0</v>
      </c>
      <c r="AB76" s="5">
        <v>1</v>
      </c>
      <c r="AC76" s="5">
        <v>0</v>
      </c>
      <c r="AD76" s="5">
        <v>0</v>
      </c>
      <c r="AE76" s="9" t="s">
        <v>41</v>
      </c>
      <c r="AF76" s="9" t="s">
        <v>42</v>
      </c>
      <c r="AG76" s="4">
        <v>21.690739743645182</v>
      </c>
      <c r="AH76" s="4">
        <v>21.766795145042799</v>
      </c>
      <c r="AI76" s="4">
        <v>-7.6055401397617572E-2</v>
      </c>
      <c r="AJ76" s="4">
        <v>22.783623333727089</v>
      </c>
      <c r="AK76" s="4">
        <v>0</v>
      </c>
      <c r="AL76" s="4">
        <v>0</v>
      </c>
      <c r="AM76" s="4">
        <v>0</v>
      </c>
      <c r="AN76" s="5">
        <v>75</v>
      </c>
      <c r="AO76" s="4">
        <v>-2.3149791999999891E-2</v>
      </c>
      <c r="AP76" s="4">
        <v>5.0013069796971266</v>
      </c>
      <c r="AQ76" s="4">
        <v>5.2108988716971272</v>
      </c>
      <c r="AR76" s="4">
        <v>4.2919262152078197E-2</v>
      </c>
      <c r="AS76" s="4">
        <v>4.5337990845553886</v>
      </c>
      <c r="AT76" s="4">
        <v>4.5369442700878944</v>
      </c>
      <c r="AU76" s="4">
        <v>0.13140384604708191</v>
      </c>
      <c r="AV76" s="4">
        <v>25.245397450803772</v>
      </c>
      <c r="AW76" s="4">
        <v>25.351601029986739</v>
      </c>
    </row>
    <row r="77" spans="1:49" x14ac:dyDescent="0.3">
      <c r="A77" s="2" t="s">
        <v>191</v>
      </c>
      <c r="B77" s="2" t="s">
        <v>192</v>
      </c>
      <c r="C77" s="2">
        <v>2020</v>
      </c>
      <c r="D77" s="2">
        <v>4</v>
      </c>
      <c r="E77" s="2">
        <v>76</v>
      </c>
      <c r="F77" s="2">
        <v>76</v>
      </c>
      <c r="G77" s="6">
        <v>3098962585</v>
      </c>
      <c r="H77" s="4">
        <v>21.8543332424297</v>
      </c>
      <c r="I77" s="10">
        <v>2778045013</v>
      </c>
      <c r="J77" s="10">
        <v>3102749444</v>
      </c>
      <c r="K77" s="4">
        <v>4.3307333402863311</v>
      </c>
      <c r="L77" s="6">
        <v>84539000000</v>
      </c>
      <c r="M77" s="7">
        <v>1252</v>
      </c>
      <c r="N77" s="4">
        <v>1.2468051118210861</v>
      </c>
      <c r="O77" s="10">
        <v>105403657348.2428</v>
      </c>
      <c r="P77" s="4">
        <v>25.381063172150348</v>
      </c>
      <c r="Q77" s="7">
        <v>113.69999998304399</v>
      </c>
      <c r="R77" s="8">
        <v>1.2644003777148249</v>
      </c>
      <c r="S77" s="3">
        <v>143.76232292473651</v>
      </c>
      <c r="T77" s="4">
        <v>4.9681614006971273</v>
      </c>
      <c r="U77" s="6">
        <v>238134190.30000001</v>
      </c>
      <c r="V77" s="3">
        <v>76.843196317583164</v>
      </c>
      <c r="W77" s="3">
        <v>97.16056644876663</v>
      </c>
      <c r="X77" s="4">
        <v>4.576364934178387</v>
      </c>
      <c r="Y77" s="3">
        <v>97.194910278694508</v>
      </c>
      <c r="Z77" s="4">
        <v>4.5767183467074668</v>
      </c>
      <c r="AA77" s="5">
        <v>0</v>
      </c>
      <c r="AB77" s="5">
        <v>0</v>
      </c>
      <c r="AC77" s="5">
        <v>1</v>
      </c>
      <c r="AD77" s="5">
        <v>0</v>
      </c>
      <c r="AE77" s="9" t="s">
        <v>41</v>
      </c>
      <c r="AF77" s="9" t="s">
        <v>42</v>
      </c>
      <c r="AG77" s="4">
        <v>21.745013284531019</v>
      </c>
      <c r="AH77" s="4">
        <v>21.85555447277801</v>
      </c>
      <c r="AI77" s="4">
        <v>-0.1105411882469944</v>
      </c>
      <c r="AJ77" s="4">
        <v>22.736119621488911</v>
      </c>
      <c r="AK77" s="4">
        <v>0</v>
      </c>
      <c r="AL77" s="4">
        <v>0</v>
      </c>
      <c r="AM77" s="4">
        <v>0</v>
      </c>
      <c r="AN77" s="5">
        <v>76</v>
      </c>
      <c r="AO77" s="4">
        <v>-9.9957870000002558E-3</v>
      </c>
      <c r="AP77" s="4">
        <v>4.9781571876971276</v>
      </c>
      <c r="AQ77" s="4">
        <v>5.2046906346971271</v>
      </c>
      <c r="AR77" s="4">
        <v>-3.5341252907983289E-4</v>
      </c>
      <c r="AS77" s="4">
        <v>4.5767183467074668</v>
      </c>
      <c r="AT77" s="4">
        <v>4.5378430373949303</v>
      </c>
      <c r="AU77" s="4">
        <v>4.2618752994982856E-3</v>
      </c>
      <c r="AV77" s="4">
        <v>25.37680129685085</v>
      </c>
      <c r="AW77" s="4">
        <v>25.358503785830901</v>
      </c>
    </row>
    <row r="78" spans="1:49" x14ac:dyDescent="0.3">
      <c r="A78" s="2" t="s">
        <v>193</v>
      </c>
      <c r="B78" s="2" t="s">
        <v>194</v>
      </c>
      <c r="C78" s="2">
        <v>2021</v>
      </c>
      <c r="D78" s="2">
        <v>1</v>
      </c>
      <c r="E78" s="2">
        <v>77</v>
      </c>
      <c r="F78" s="2">
        <v>77</v>
      </c>
      <c r="G78" s="6">
        <v>3057690721</v>
      </c>
      <c r="H78" s="4">
        <v>21.840925801666842</v>
      </c>
      <c r="I78" s="10">
        <v>3098962585</v>
      </c>
      <c r="J78" s="10">
        <v>2812678357</v>
      </c>
      <c r="K78" s="4">
        <v>4.3438054218536841</v>
      </c>
      <c r="L78" s="6">
        <v>86716000000</v>
      </c>
      <c r="M78" s="7">
        <v>1258</v>
      </c>
      <c r="N78" s="4">
        <v>1.2408585055643879</v>
      </c>
      <c r="O78" s="10">
        <v>107602286168.5215</v>
      </c>
      <c r="P78" s="4">
        <v>25.401707731367729</v>
      </c>
      <c r="Q78" s="7">
        <v>127.9999999496291</v>
      </c>
      <c r="R78" s="8">
        <v>1.2537453183520599</v>
      </c>
      <c r="S78" s="3">
        <v>160.4794006859114</v>
      </c>
      <c r="T78" s="4">
        <v>5.0781655896971269</v>
      </c>
      <c r="U78" s="6">
        <v>235198247.09999999</v>
      </c>
      <c r="V78" s="3">
        <v>76.920221356815247</v>
      </c>
      <c r="W78" s="3">
        <v>96.438367412711258</v>
      </c>
      <c r="X78" s="4">
        <v>4.568904124641179</v>
      </c>
      <c r="Y78" s="3">
        <v>97.16056644876663</v>
      </c>
      <c r="Z78" s="4">
        <v>4.576364934178387</v>
      </c>
      <c r="AA78" s="5">
        <v>0</v>
      </c>
      <c r="AB78" s="5">
        <v>0</v>
      </c>
      <c r="AC78" s="5">
        <v>0</v>
      </c>
      <c r="AD78" s="5">
        <v>1</v>
      </c>
      <c r="AE78" s="9" t="s">
        <v>41</v>
      </c>
      <c r="AF78" s="9" t="s">
        <v>42</v>
      </c>
      <c r="AG78" s="4">
        <v>21.8543332424297</v>
      </c>
      <c r="AH78" s="4">
        <v>21.757403018288471</v>
      </c>
      <c r="AI78" s="4">
        <v>9.6930224141228649E-2</v>
      </c>
      <c r="AJ78" s="4">
        <v>23.201651708378112</v>
      </c>
      <c r="AK78" s="4">
        <v>25.401707731367729</v>
      </c>
      <c r="AL78" s="4">
        <v>4.568904124641179</v>
      </c>
      <c r="AM78" s="4">
        <v>5.0781655896971269</v>
      </c>
      <c r="AN78" s="5">
        <v>77</v>
      </c>
      <c r="AO78" s="4">
        <v>0.1100041889999996</v>
      </c>
      <c r="AP78" s="4">
        <v>4.9681614006971273</v>
      </c>
      <c r="AQ78" s="4">
        <v>5.1699318636971272</v>
      </c>
      <c r="AR78" s="4">
        <v>-7.4608095372079566E-3</v>
      </c>
      <c r="AS78" s="4">
        <v>4.576364934178387</v>
      </c>
      <c r="AT78" s="4">
        <v>4.5301059184775267</v>
      </c>
      <c r="AU78" s="4">
        <v>2.0644559217373629E-2</v>
      </c>
      <c r="AV78" s="4">
        <v>25.381063172150348</v>
      </c>
      <c r="AW78" s="4">
        <v>25.350624314987439</v>
      </c>
    </row>
    <row r="79" spans="1:49" x14ac:dyDescent="0.3">
      <c r="A79" s="2" t="s">
        <v>195</v>
      </c>
      <c r="B79" s="2" t="s">
        <v>196</v>
      </c>
      <c r="C79" s="2">
        <v>2021</v>
      </c>
      <c r="D79" s="2">
        <v>2</v>
      </c>
      <c r="E79" s="2">
        <v>78</v>
      </c>
      <c r="F79" s="2">
        <v>78</v>
      </c>
      <c r="G79" s="6">
        <v>3063464694</v>
      </c>
      <c r="H79" s="4">
        <v>21.84281236533695</v>
      </c>
      <c r="I79" s="10">
        <v>3057690721</v>
      </c>
      <c r="J79" s="10">
        <v>2631289175</v>
      </c>
      <c r="K79" s="4">
        <v>4.3567088266895917</v>
      </c>
      <c r="L79" s="6">
        <v>88442000000</v>
      </c>
      <c r="M79" s="7">
        <v>1273</v>
      </c>
      <c r="N79" s="4">
        <v>1.22623723487824</v>
      </c>
      <c r="O79" s="10">
        <v>108450873527.1013</v>
      </c>
      <c r="P79" s="4">
        <v>25.4095631288397</v>
      </c>
      <c r="Q79" s="7">
        <v>139.60000001174171</v>
      </c>
      <c r="R79" s="8">
        <v>1.2375231053604441</v>
      </c>
      <c r="S79" s="3">
        <v>172.75822552284859</v>
      </c>
      <c r="T79" s="4">
        <v>5.1518930766971271</v>
      </c>
      <c r="U79" s="6">
        <v>235527731.59999999</v>
      </c>
      <c r="V79" s="3">
        <v>76.882796156031034</v>
      </c>
      <c r="W79" s="3">
        <v>95.144236647805499</v>
      </c>
      <c r="X79" s="4">
        <v>4.5553940206812209</v>
      </c>
      <c r="Y79" s="3">
        <v>96.438367412711258</v>
      </c>
      <c r="Z79" s="4">
        <v>4.568904124641179</v>
      </c>
      <c r="AA79" s="5">
        <v>1</v>
      </c>
      <c r="AB79" s="5">
        <v>0</v>
      </c>
      <c r="AC79" s="5">
        <v>0</v>
      </c>
      <c r="AD79" s="5">
        <v>1</v>
      </c>
      <c r="AE79" s="9" t="s">
        <v>41</v>
      </c>
      <c r="AF79" s="9" t="s">
        <v>42</v>
      </c>
      <c r="AG79" s="4">
        <v>21.840925801666842</v>
      </c>
      <c r="AH79" s="4">
        <v>21.690739743645182</v>
      </c>
      <c r="AI79" s="4">
        <v>0.1501860580216601</v>
      </c>
      <c r="AJ79" s="4">
        <v>23.468902916775068</v>
      </c>
      <c r="AK79" s="4">
        <v>25.4095631288397</v>
      </c>
      <c r="AL79" s="4">
        <v>4.5553940206812209</v>
      </c>
      <c r="AM79" s="4">
        <v>5.1518930766971271</v>
      </c>
      <c r="AN79" s="5">
        <v>78</v>
      </c>
      <c r="AO79" s="4">
        <v>7.3727487000000202E-2</v>
      </c>
      <c r="AP79" s="4">
        <v>5.0781655896971269</v>
      </c>
      <c r="AQ79" s="4">
        <v>5.0013069796971266</v>
      </c>
      <c r="AR79" s="4">
        <v>-1.351010395995811E-2</v>
      </c>
      <c r="AS79" s="4">
        <v>4.568904124641179</v>
      </c>
      <c r="AT79" s="4">
        <v>4.5337990845553886</v>
      </c>
      <c r="AU79" s="4">
        <v>7.855397471978165E-3</v>
      </c>
      <c r="AV79" s="4">
        <v>25.401707731367729</v>
      </c>
      <c r="AW79" s="4">
        <v>25.245397450803772</v>
      </c>
    </row>
    <row r="80" spans="1:49" x14ac:dyDescent="0.3">
      <c r="A80" s="2" t="s">
        <v>197</v>
      </c>
      <c r="B80" s="2" t="s">
        <v>198</v>
      </c>
      <c r="C80" s="2">
        <v>2021</v>
      </c>
      <c r="D80" s="2">
        <v>3</v>
      </c>
      <c r="E80" s="2">
        <v>79</v>
      </c>
      <c r="F80" s="2">
        <v>79</v>
      </c>
      <c r="G80" s="6">
        <v>2623042829</v>
      </c>
      <c r="H80" s="4">
        <v>21.687600865947939</v>
      </c>
      <c r="I80" s="10">
        <v>3063464694</v>
      </c>
      <c r="J80" s="10">
        <v>2778045013</v>
      </c>
      <c r="K80" s="4">
        <v>4.3694478524670206</v>
      </c>
      <c r="L80" s="6">
        <v>86465000000</v>
      </c>
      <c r="M80" s="7">
        <v>1302</v>
      </c>
      <c r="N80" s="4">
        <v>1.198924731182796</v>
      </c>
      <c r="O80" s="10">
        <v>103665026881.7204</v>
      </c>
      <c r="P80" s="4">
        <v>25.364430642471209</v>
      </c>
      <c r="Q80" s="7">
        <v>152.19999994835089</v>
      </c>
      <c r="R80" s="8">
        <v>1.210669077757685</v>
      </c>
      <c r="S80" s="3">
        <v>184.26383357218981</v>
      </c>
      <c r="T80" s="4">
        <v>5.2163686086971266</v>
      </c>
      <c r="U80" s="6">
        <v>201332032.59999999</v>
      </c>
      <c r="V80" s="3">
        <v>76.755144969079723</v>
      </c>
      <c r="W80" s="3">
        <v>92.925080572873199</v>
      </c>
      <c r="X80" s="4">
        <v>4.5317935832571736</v>
      </c>
      <c r="Y80" s="3">
        <v>95.144236647805499</v>
      </c>
      <c r="Z80" s="4">
        <v>4.5553940206812209</v>
      </c>
      <c r="AA80" s="5">
        <v>0</v>
      </c>
      <c r="AB80" s="5">
        <v>1</v>
      </c>
      <c r="AC80" s="5">
        <v>0</v>
      </c>
      <c r="AD80" s="5">
        <v>1</v>
      </c>
      <c r="AE80" s="9" t="s">
        <v>41</v>
      </c>
      <c r="AF80" s="9" t="s">
        <v>42</v>
      </c>
      <c r="AG80" s="4">
        <v>21.84281236533695</v>
      </c>
      <c r="AH80" s="4">
        <v>21.745013284531019</v>
      </c>
      <c r="AI80" s="4">
        <v>9.779908080593458E-2</v>
      </c>
      <c r="AJ80" s="4">
        <v>23.639505788797791</v>
      </c>
      <c r="AK80" s="4">
        <v>25.364430642471209</v>
      </c>
      <c r="AL80" s="4">
        <v>4.5317935832571736</v>
      </c>
      <c r="AM80" s="4">
        <v>5.2163686086971266</v>
      </c>
      <c r="AN80" s="5">
        <v>79</v>
      </c>
      <c r="AO80" s="4">
        <v>6.4475532000000335E-2</v>
      </c>
      <c r="AP80" s="4">
        <v>5.1518930766971271</v>
      </c>
      <c r="AQ80" s="4">
        <v>4.9781571876971276</v>
      </c>
      <c r="AR80" s="4">
        <v>-2.3600437424047271E-2</v>
      </c>
      <c r="AS80" s="4">
        <v>4.5553940206812209</v>
      </c>
      <c r="AT80" s="4">
        <v>4.5767183467074668</v>
      </c>
      <c r="AU80" s="4">
        <v>-4.5132486368490987E-2</v>
      </c>
      <c r="AV80" s="4">
        <v>25.4095631288397</v>
      </c>
      <c r="AW80" s="4">
        <v>25.37680129685085</v>
      </c>
    </row>
    <row r="81" spans="1:49" x14ac:dyDescent="0.3">
      <c r="A81" s="2" t="s">
        <v>199</v>
      </c>
      <c r="B81" s="2" t="s">
        <v>200</v>
      </c>
      <c r="C81" s="2">
        <v>2021</v>
      </c>
      <c r="D81" s="2">
        <v>4</v>
      </c>
      <c r="E81" s="2">
        <v>80</v>
      </c>
      <c r="F81" s="2">
        <v>80</v>
      </c>
      <c r="G81" s="6">
        <v>2915860475</v>
      </c>
      <c r="H81" s="4">
        <v>21.79343080186851</v>
      </c>
      <c r="I81" s="10">
        <v>2623042829</v>
      </c>
      <c r="J81" s="10">
        <v>3098962585</v>
      </c>
      <c r="K81" s="4">
        <v>4.3820266346738812</v>
      </c>
      <c r="L81" s="6">
        <v>91173000000</v>
      </c>
      <c r="M81" s="7">
        <v>1320</v>
      </c>
      <c r="N81" s="4">
        <v>1.1825757575757581</v>
      </c>
      <c r="O81" s="10">
        <v>107818979545.4545</v>
      </c>
      <c r="P81" s="4">
        <v>25.4037195424979</v>
      </c>
      <c r="Q81" s="7">
        <v>170.50000006223669</v>
      </c>
      <c r="R81" s="8">
        <v>1.1934046345811049</v>
      </c>
      <c r="S81" s="3">
        <v>203.47549027035191</v>
      </c>
      <c r="T81" s="4">
        <v>5.3155455566971268</v>
      </c>
      <c r="U81" s="6">
        <v>223598889.30000001</v>
      </c>
      <c r="V81" s="3">
        <v>76.683672355756315</v>
      </c>
      <c r="W81" s="3">
        <v>91.514649986058558</v>
      </c>
      <c r="X81" s="4">
        <v>4.5164990686026281</v>
      </c>
      <c r="Y81" s="3">
        <v>92.925080572873199</v>
      </c>
      <c r="Z81" s="4">
        <v>4.5317935832571736</v>
      </c>
      <c r="AA81" s="5">
        <v>0</v>
      </c>
      <c r="AB81" s="5">
        <v>0</v>
      </c>
      <c r="AC81" s="5">
        <v>1</v>
      </c>
      <c r="AD81" s="5">
        <v>1</v>
      </c>
      <c r="AE81" s="9" t="s">
        <v>41</v>
      </c>
      <c r="AF81" s="9" t="s">
        <v>42</v>
      </c>
      <c r="AG81" s="4">
        <v>21.687600865947939</v>
      </c>
      <c r="AH81" s="4">
        <v>21.8543332424297</v>
      </c>
      <c r="AI81" s="4">
        <v>-0.1667323764817645</v>
      </c>
      <c r="AJ81" s="4">
        <v>24.007656555937409</v>
      </c>
      <c r="AK81" s="4">
        <v>25.4037195424979</v>
      </c>
      <c r="AL81" s="4">
        <v>4.5164990686026281</v>
      </c>
      <c r="AM81" s="4">
        <v>5.3155455566971268</v>
      </c>
      <c r="AN81" s="5">
        <v>80</v>
      </c>
      <c r="AO81" s="4">
        <v>9.9176947999999321E-2</v>
      </c>
      <c r="AP81" s="4">
        <v>5.2163686086971266</v>
      </c>
      <c r="AQ81" s="4">
        <v>4.9681614006971273</v>
      </c>
      <c r="AR81" s="4">
        <v>-1.5294514654545569E-2</v>
      </c>
      <c r="AS81" s="4">
        <v>4.5317935832571736</v>
      </c>
      <c r="AT81" s="4">
        <v>4.576364934178387</v>
      </c>
      <c r="AU81" s="4">
        <v>3.9288900026690499E-2</v>
      </c>
      <c r="AV81" s="4">
        <v>25.364430642471209</v>
      </c>
      <c r="AW81" s="4">
        <v>25.381063172150348</v>
      </c>
    </row>
    <row r="82" spans="1:49" x14ac:dyDescent="0.3">
      <c r="A82" s="2" t="s">
        <v>201</v>
      </c>
      <c r="B82" s="2" t="s">
        <v>202</v>
      </c>
      <c r="C82" s="2">
        <v>2022</v>
      </c>
      <c r="D82" s="2">
        <v>1</v>
      </c>
      <c r="E82" s="2">
        <v>81</v>
      </c>
      <c r="F82" s="2">
        <v>81</v>
      </c>
      <c r="G82" s="6">
        <v>2912022134</v>
      </c>
      <c r="H82" s="4">
        <v>21.792113568213502</v>
      </c>
      <c r="I82" s="10">
        <v>2915860475</v>
      </c>
      <c r="J82" s="10">
        <v>3057690721</v>
      </c>
      <c r="K82" s="4">
        <v>4.3944491546724391</v>
      </c>
      <c r="L82" s="6">
        <v>92559000000</v>
      </c>
      <c r="M82" s="7">
        <v>1339</v>
      </c>
      <c r="N82" s="4">
        <v>1.165795369678865</v>
      </c>
      <c r="O82" s="10">
        <v>107904853622.106</v>
      </c>
      <c r="P82" s="4">
        <v>25.404515690794788</v>
      </c>
      <c r="Q82" s="7">
        <v>198.40000007363369</v>
      </c>
      <c r="R82" s="8">
        <v>1.172504378283713</v>
      </c>
      <c r="S82" s="3">
        <v>232.62486873782439</v>
      </c>
      <c r="T82" s="4">
        <v>5.4494271506971268</v>
      </c>
      <c r="U82" s="6">
        <v>223660744.30000001</v>
      </c>
      <c r="V82" s="3">
        <v>76.805990479466601</v>
      </c>
      <c r="W82" s="3">
        <v>90.055360115591753</v>
      </c>
      <c r="X82" s="4">
        <v>4.5004245936216423</v>
      </c>
      <c r="Y82" s="3">
        <v>91.514649986058558</v>
      </c>
      <c r="Z82" s="4">
        <v>4.5164990686026281</v>
      </c>
      <c r="AA82" s="5">
        <v>0</v>
      </c>
      <c r="AB82" s="5">
        <v>0</v>
      </c>
      <c r="AC82" s="5">
        <v>0</v>
      </c>
      <c r="AD82" s="5">
        <v>1</v>
      </c>
      <c r="AE82" s="9" t="s">
        <v>41</v>
      </c>
      <c r="AF82" s="9" t="s">
        <v>42</v>
      </c>
      <c r="AG82" s="4">
        <v>21.79343080186851</v>
      </c>
      <c r="AH82" s="4">
        <v>21.840925801666842</v>
      </c>
      <c r="AI82" s="4">
        <v>-4.7494999798335158E-2</v>
      </c>
      <c r="AJ82" s="4">
        <v>24.52473597014686</v>
      </c>
      <c r="AK82" s="4">
        <v>25.404515690794788</v>
      </c>
      <c r="AL82" s="4">
        <v>4.5004245936216423</v>
      </c>
      <c r="AM82" s="4">
        <v>5.4494271506971268</v>
      </c>
      <c r="AN82" s="5">
        <v>81</v>
      </c>
      <c r="AO82" s="4">
        <v>0.13388159399999999</v>
      </c>
      <c r="AP82" s="4">
        <v>5.3155455566971268</v>
      </c>
      <c r="AQ82" s="4">
        <v>5.0781655896971269</v>
      </c>
      <c r="AR82" s="4">
        <v>-1.6074474980985801E-2</v>
      </c>
      <c r="AS82" s="4">
        <v>4.5164990686026281</v>
      </c>
      <c r="AT82" s="4">
        <v>4.568904124641179</v>
      </c>
      <c r="AU82" s="4">
        <v>7.9614829688878785E-4</v>
      </c>
      <c r="AV82" s="4">
        <v>25.4037195424979</v>
      </c>
      <c r="AW82" s="4">
        <v>25.401707731367729</v>
      </c>
    </row>
    <row r="83" spans="1:49" x14ac:dyDescent="0.3">
      <c r="A83" s="2" t="s">
        <v>203</v>
      </c>
      <c r="B83" s="2" t="s">
        <v>204</v>
      </c>
      <c r="C83" s="2">
        <v>2022</v>
      </c>
      <c r="D83" s="2">
        <v>2</v>
      </c>
      <c r="E83" s="2">
        <v>82</v>
      </c>
      <c r="F83" s="2">
        <v>82</v>
      </c>
      <c r="G83" s="6">
        <v>4193282770</v>
      </c>
      <c r="H83" s="4">
        <v>22.156749741449278</v>
      </c>
      <c r="I83" s="10">
        <v>2912022134</v>
      </c>
      <c r="J83" s="10">
        <v>3063464694</v>
      </c>
      <c r="K83" s="4">
        <v>4.4067192472642533</v>
      </c>
      <c r="L83" s="6">
        <v>95107000000</v>
      </c>
      <c r="M83" s="7">
        <v>1358</v>
      </c>
      <c r="N83" s="4">
        <v>1.1494845360824739</v>
      </c>
      <c r="O83" s="10">
        <v>109324025773.19591</v>
      </c>
      <c r="P83" s="4">
        <v>25.417582022915461</v>
      </c>
      <c r="Q83" s="7">
        <v>257.20000008754619</v>
      </c>
      <c r="R83" s="8">
        <v>1.153316106804479</v>
      </c>
      <c r="S83" s="3">
        <v>296.63290277108041</v>
      </c>
      <c r="T83" s="4">
        <v>5.692495356697127</v>
      </c>
      <c r="U83" s="6">
        <v>217349024.19999999</v>
      </c>
      <c r="V83" s="3">
        <v>51.832665746984667</v>
      </c>
      <c r="W83" s="3">
        <v>59.779448264610217</v>
      </c>
      <c r="X83" s="4">
        <v>4.090661927382123</v>
      </c>
      <c r="Y83" s="3">
        <v>90.055360115591753</v>
      </c>
      <c r="Z83" s="4">
        <v>4.5004245936216423</v>
      </c>
      <c r="AA83" s="5">
        <v>1</v>
      </c>
      <c r="AB83" s="5">
        <v>0</v>
      </c>
      <c r="AC83" s="5">
        <v>0</v>
      </c>
      <c r="AD83" s="5">
        <v>1</v>
      </c>
      <c r="AE83" s="9" t="s">
        <v>41</v>
      </c>
      <c r="AF83" s="9" t="s">
        <v>42</v>
      </c>
      <c r="AG83" s="4">
        <v>21.792113568213502</v>
      </c>
      <c r="AH83" s="4">
        <v>21.84281236533695</v>
      </c>
      <c r="AI83" s="4">
        <v>-5.0698797123452273E-2</v>
      </c>
      <c r="AJ83" s="4">
        <v>23.28607402744046</v>
      </c>
      <c r="AK83" s="4">
        <v>25.417582022915461</v>
      </c>
      <c r="AL83" s="4">
        <v>4.090661927382123</v>
      </c>
      <c r="AM83" s="4">
        <v>5.692495356697127</v>
      </c>
      <c r="AN83" s="5">
        <v>82</v>
      </c>
      <c r="AO83" s="4">
        <v>0.2430682060000002</v>
      </c>
      <c r="AP83" s="4">
        <v>5.4494271506971268</v>
      </c>
      <c r="AQ83" s="4">
        <v>5.1518930766971271</v>
      </c>
      <c r="AR83" s="4">
        <v>-0.40976266623951929</v>
      </c>
      <c r="AS83" s="4">
        <v>4.5004245936216423</v>
      </c>
      <c r="AT83" s="4">
        <v>4.5553940206812209</v>
      </c>
      <c r="AU83" s="4">
        <v>1.306633212066899E-2</v>
      </c>
      <c r="AV83" s="4">
        <v>25.404515690794788</v>
      </c>
      <c r="AW83" s="4">
        <v>25.4095631288397</v>
      </c>
    </row>
    <row r="84" spans="1:49" x14ac:dyDescent="0.3">
      <c r="A84" s="2" t="s">
        <v>205</v>
      </c>
      <c r="B84" s="2" t="s">
        <v>206</v>
      </c>
      <c r="C84" s="2">
        <v>2022</v>
      </c>
      <c r="D84" s="2">
        <v>3</v>
      </c>
      <c r="E84" s="2">
        <v>83</v>
      </c>
      <c r="F84" s="2">
        <v>83</v>
      </c>
      <c r="G84" s="6">
        <v>2905714827</v>
      </c>
      <c r="H84" s="4">
        <v>21.789945264794682</v>
      </c>
      <c r="I84" s="10">
        <v>4193282770</v>
      </c>
      <c r="J84" s="10">
        <v>2623042829</v>
      </c>
      <c r="K84" s="4">
        <v>4.4188406077965983</v>
      </c>
      <c r="L84" s="6">
        <v>97704000000</v>
      </c>
      <c r="M84" s="7">
        <v>1364</v>
      </c>
      <c r="N84" s="4">
        <v>1.1444281524926689</v>
      </c>
      <c r="O84" s="10">
        <v>111815208211.14371</v>
      </c>
      <c r="P84" s="4">
        <v>25.440113418927218</v>
      </c>
      <c r="Q84" s="7">
        <v>263.59999998293802</v>
      </c>
      <c r="R84" s="8">
        <v>1.1290050590219221</v>
      </c>
      <c r="S84" s="3">
        <v>297.60573353891567</v>
      </c>
      <c r="T84" s="4">
        <v>5.695769568697127</v>
      </c>
      <c r="U84" s="6">
        <v>143279019.90000001</v>
      </c>
      <c r="V84" s="3">
        <v>49.309388026879489</v>
      </c>
      <c r="W84" s="3">
        <v>55.670548539621947</v>
      </c>
      <c r="X84" s="4">
        <v>4.0194512555620321</v>
      </c>
      <c r="Y84" s="3">
        <v>59.779448264610217</v>
      </c>
      <c r="Z84" s="4">
        <v>4.090661927382123</v>
      </c>
      <c r="AA84" s="5">
        <v>0</v>
      </c>
      <c r="AB84" s="5">
        <v>1</v>
      </c>
      <c r="AC84" s="5">
        <v>0</v>
      </c>
      <c r="AD84" s="5">
        <v>1</v>
      </c>
      <c r="AE84" s="9" t="s">
        <v>41</v>
      </c>
      <c r="AF84" s="9" t="s">
        <v>42</v>
      </c>
      <c r="AG84" s="4">
        <v>22.156749741449278</v>
      </c>
      <c r="AH84" s="4">
        <v>21.687600865947939</v>
      </c>
      <c r="AI84" s="4">
        <v>0.4691488755013431</v>
      </c>
      <c r="AJ84" s="4">
        <v>22.89386814429168</v>
      </c>
      <c r="AK84" s="4">
        <v>25.440113418927218</v>
      </c>
      <c r="AL84" s="4">
        <v>4.0194512555620321</v>
      </c>
      <c r="AM84" s="4">
        <v>5.695769568697127</v>
      </c>
      <c r="AN84" s="5">
        <v>83</v>
      </c>
      <c r="AO84" s="4">
        <v>3.274211999999999E-3</v>
      </c>
      <c r="AP84" s="4">
        <v>5.692495356697127</v>
      </c>
      <c r="AQ84" s="4">
        <v>5.2163686086971266</v>
      </c>
      <c r="AR84" s="4">
        <v>-7.1210671820090887E-2</v>
      </c>
      <c r="AS84" s="4">
        <v>4.090661927382123</v>
      </c>
      <c r="AT84" s="4">
        <v>4.5317935832571736</v>
      </c>
      <c r="AU84" s="4">
        <v>2.2531396011761021E-2</v>
      </c>
      <c r="AV84" s="4">
        <v>25.417582022915461</v>
      </c>
      <c r="AW84" s="4">
        <v>25.364430642471209</v>
      </c>
    </row>
    <row r="85" spans="1:49" x14ac:dyDescent="0.3">
      <c r="A85" s="2" t="s">
        <v>207</v>
      </c>
      <c r="B85" s="2" t="s">
        <v>208</v>
      </c>
      <c r="C85" s="2">
        <v>2022</v>
      </c>
      <c r="D85" s="2">
        <v>4</v>
      </c>
      <c r="E85" s="2">
        <v>84</v>
      </c>
      <c r="F85" s="2">
        <v>84</v>
      </c>
      <c r="G85" s="6">
        <v>3081592238</v>
      </c>
      <c r="H85" s="4">
        <v>21.848712260743518</v>
      </c>
      <c r="I85" s="10">
        <v>2905714827</v>
      </c>
      <c r="J85" s="10">
        <v>2915860475</v>
      </c>
      <c r="K85" s="4">
        <v>4.4308167988433134</v>
      </c>
      <c r="L85" s="6">
        <v>99981000000</v>
      </c>
      <c r="M85" s="7">
        <v>1392</v>
      </c>
      <c r="N85" s="4">
        <v>1.121408045977011</v>
      </c>
      <c r="O85" s="10">
        <v>112119497844.82761</v>
      </c>
      <c r="P85" s="4">
        <v>25.442831084503279</v>
      </c>
      <c r="Q85" s="7">
        <v>252.69999989550479</v>
      </c>
      <c r="R85" s="8">
        <v>1.113050706566916</v>
      </c>
      <c r="S85" s="3">
        <v>281.26791343315119</v>
      </c>
      <c r="T85" s="4">
        <v>5.6393076436971272</v>
      </c>
      <c r="U85" s="6">
        <v>152687391.90000001</v>
      </c>
      <c r="V85" s="3">
        <v>49.54821407490838</v>
      </c>
      <c r="W85" s="3">
        <v>55.149674685205582</v>
      </c>
      <c r="X85" s="4">
        <v>4.0100508469551066</v>
      </c>
      <c r="Y85" s="3">
        <v>55.670548539621947</v>
      </c>
      <c r="Z85" s="4">
        <v>4.0194512555620321</v>
      </c>
      <c r="AA85" s="5">
        <v>0</v>
      </c>
      <c r="AB85" s="5">
        <v>0</v>
      </c>
      <c r="AC85" s="5">
        <v>1</v>
      </c>
      <c r="AD85" s="5">
        <v>1</v>
      </c>
      <c r="AE85" s="9" t="s">
        <v>41</v>
      </c>
      <c r="AF85" s="9" t="s">
        <v>42</v>
      </c>
      <c r="AG85" s="4">
        <v>21.789945264794682</v>
      </c>
      <c r="AH85" s="4">
        <v>21.79343080186851</v>
      </c>
      <c r="AI85" s="4">
        <v>-3.4855370738249292E-3</v>
      </c>
      <c r="AJ85" s="4">
        <v>22.61391039284808</v>
      </c>
      <c r="AK85" s="4">
        <v>25.442831084503279</v>
      </c>
      <c r="AL85" s="4">
        <v>4.0100508469551066</v>
      </c>
      <c r="AM85" s="4">
        <v>5.6393076436971272</v>
      </c>
      <c r="AN85" s="5">
        <v>84</v>
      </c>
      <c r="AO85" s="4">
        <v>-5.6461924999999802E-2</v>
      </c>
      <c r="AP85" s="4">
        <v>5.695769568697127</v>
      </c>
      <c r="AQ85" s="4">
        <v>5.3155455566971268</v>
      </c>
      <c r="AR85" s="4">
        <v>-9.4004086069245929E-3</v>
      </c>
      <c r="AS85" s="4">
        <v>4.0194512555620321</v>
      </c>
      <c r="AT85" s="4">
        <v>4.5164990686026281</v>
      </c>
      <c r="AU85" s="4">
        <v>2.7176655760605679E-3</v>
      </c>
      <c r="AV85" s="4">
        <v>25.440113418927218</v>
      </c>
      <c r="AW85" s="4">
        <v>25.4037195424979</v>
      </c>
    </row>
    <row r="86" spans="1:49" x14ac:dyDescent="0.3">
      <c r="A86" s="2" t="s">
        <v>209</v>
      </c>
      <c r="B86" s="2" t="s">
        <v>210</v>
      </c>
      <c r="C86" s="2">
        <v>2023</v>
      </c>
      <c r="D86" s="2">
        <v>1</v>
      </c>
      <c r="E86" s="2">
        <v>85</v>
      </c>
      <c r="F86" s="2">
        <v>85</v>
      </c>
      <c r="G86" s="6">
        <v>3576861558</v>
      </c>
      <c r="H86" s="4">
        <v>21.997751593091579</v>
      </c>
      <c r="I86" s="10">
        <v>3081592238</v>
      </c>
      <c r="J86" s="10">
        <v>2912022134</v>
      </c>
      <c r="K86" s="4">
        <v>4.4426512564903167</v>
      </c>
      <c r="L86" s="6">
        <v>100996000000</v>
      </c>
      <c r="M86" s="7">
        <v>1409</v>
      </c>
      <c r="N86" s="4">
        <v>1.1078779276082329</v>
      </c>
      <c r="O86" s="10">
        <v>111891239176.7211</v>
      </c>
      <c r="P86" s="4">
        <v>25.440793157659769</v>
      </c>
      <c r="Q86" s="7">
        <v>224.10000010508409</v>
      </c>
      <c r="R86" s="8">
        <v>1.0993431855500819</v>
      </c>
      <c r="S86" s="3">
        <v>246.3628079972969</v>
      </c>
      <c r="T86" s="4">
        <v>5.5068052786971284</v>
      </c>
      <c r="U86" s="6">
        <v>191371543.90000001</v>
      </c>
      <c r="V86" s="3">
        <v>53.502642133850237</v>
      </c>
      <c r="W86" s="3">
        <v>58.817765038772961</v>
      </c>
      <c r="X86" s="4">
        <v>4.074443935783302</v>
      </c>
      <c r="Y86" s="3">
        <v>55.149674685205582</v>
      </c>
      <c r="Z86" s="4">
        <v>4.0100508469551066</v>
      </c>
      <c r="AA86" s="5">
        <v>0</v>
      </c>
      <c r="AB86" s="5">
        <v>0</v>
      </c>
      <c r="AC86" s="5">
        <v>0</v>
      </c>
      <c r="AD86" s="5">
        <v>1</v>
      </c>
      <c r="AE86" s="9" t="s">
        <v>41</v>
      </c>
      <c r="AF86" s="9" t="s">
        <v>42</v>
      </c>
      <c r="AG86" s="4">
        <v>21.848712260743518</v>
      </c>
      <c r="AH86" s="4">
        <v>21.792113568213502</v>
      </c>
      <c r="AI86" s="4">
        <v>5.6598692530016592E-2</v>
      </c>
      <c r="AJ86" s="4">
        <v>22.437169373326991</v>
      </c>
      <c r="AK86" s="4">
        <v>25.440793157659769</v>
      </c>
      <c r="AL86" s="4">
        <v>4.074443935783302</v>
      </c>
      <c r="AM86" s="4">
        <v>5.5068052786971284</v>
      </c>
      <c r="AN86" s="5">
        <v>85</v>
      </c>
      <c r="AO86" s="4">
        <v>-0.13250236499999971</v>
      </c>
      <c r="AP86" s="4">
        <v>5.6393076436971272</v>
      </c>
      <c r="AQ86" s="4">
        <v>5.4494271506971268</v>
      </c>
      <c r="AR86" s="4">
        <v>6.43930888281945E-2</v>
      </c>
      <c r="AS86" s="4">
        <v>4.0100508469551066</v>
      </c>
      <c r="AT86" s="4">
        <v>4.5004245936216423</v>
      </c>
      <c r="AU86" s="4">
        <v>-2.03792684351356E-3</v>
      </c>
      <c r="AV86" s="4">
        <v>25.442831084503279</v>
      </c>
      <c r="AW86" s="4">
        <v>25.404515690794788</v>
      </c>
    </row>
    <row r="87" spans="1:49" x14ac:dyDescent="0.3">
      <c r="A87" s="2" t="s">
        <v>211</v>
      </c>
      <c r="B87" s="2" t="s">
        <v>212</v>
      </c>
      <c r="C87" s="2">
        <v>2023</v>
      </c>
      <c r="D87" s="2">
        <v>2</v>
      </c>
      <c r="E87" s="2">
        <v>86</v>
      </c>
      <c r="F87" s="2">
        <v>86</v>
      </c>
      <c r="G87" s="6">
        <v>3989118992</v>
      </c>
      <c r="H87" s="4">
        <v>22.106836239457369</v>
      </c>
      <c r="I87" s="10">
        <v>3576861558</v>
      </c>
      <c r="J87" s="10">
        <v>4193282770</v>
      </c>
      <c r="K87" s="4">
        <v>4.4543472962535073</v>
      </c>
      <c r="L87" s="6">
        <v>103162000000</v>
      </c>
      <c r="M87" s="7">
        <v>1429</v>
      </c>
      <c r="N87" s="4">
        <v>1.0923722883135061</v>
      </c>
      <c r="O87" s="10">
        <v>112691310006.99789</v>
      </c>
      <c r="P87" s="4">
        <v>25.447918147716631</v>
      </c>
      <c r="Q87" s="7">
        <v>196.60000009384541</v>
      </c>
      <c r="R87" s="8">
        <v>1.087733549959383</v>
      </c>
      <c r="S87" s="3">
        <v>213.84841602409341</v>
      </c>
      <c r="T87" s="4">
        <v>5.3652674276971268</v>
      </c>
      <c r="U87" s="6">
        <v>197770887.80000001</v>
      </c>
      <c r="V87" s="3">
        <v>49.577585476046387</v>
      </c>
      <c r="W87" s="3">
        <v>53.927203048274663</v>
      </c>
      <c r="X87" s="4">
        <v>3.987635045372564</v>
      </c>
      <c r="Y87" s="3">
        <v>58.817765038772961</v>
      </c>
      <c r="Z87" s="4">
        <v>4.074443935783302</v>
      </c>
      <c r="AA87" s="5">
        <v>1</v>
      </c>
      <c r="AB87" s="5">
        <v>0</v>
      </c>
      <c r="AC87" s="5">
        <v>0</v>
      </c>
      <c r="AD87" s="5">
        <v>1</v>
      </c>
      <c r="AE87" s="9" t="s">
        <v>41</v>
      </c>
      <c r="AF87" s="9" t="s">
        <v>42</v>
      </c>
      <c r="AG87" s="4">
        <v>21.997751593091579</v>
      </c>
      <c r="AH87" s="4">
        <v>22.156749741449278</v>
      </c>
      <c r="AI87" s="4">
        <v>-0.15899814835770701</v>
      </c>
      <c r="AJ87" s="4">
        <v>21.39472842248097</v>
      </c>
      <c r="AK87" s="4">
        <v>25.447918147716631</v>
      </c>
      <c r="AL87" s="4">
        <v>3.987635045372564</v>
      </c>
      <c r="AM87" s="4">
        <v>5.3652674276971268</v>
      </c>
      <c r="AN87" s="5">
        <v>86</v>
      </c>
      <c r="AO87" s="4">
        <v>-0.14153785100000069</v>
      </c>
      <c r="AP87" s="4">
        <v>5.5068052786971284</v>
      </c>
      <c r="AQ87" s="4">
        <v>5.692495356697127</v>
      </c>
      <c r="AR87" s="4">
        <v>-8.6808890410737582E-2</v>
      </c>
      <c r="AS87" s="4">
        <v>4.074443935783302</v>
      </c>
      <c r="AT87" s="4">
        <v>4.090661927382123</v>
      </c>
      <c r="AU87" s="4">
        <v>7.1249900568588487E-3</v>
      </c>
      <c r="AV87" s="4">
        <v>25.440793157659769</v>
      </c>
      <c r="AW87" s="4">
        <v>25.417582022915461</v>
      </c>
    </row>
    <row r="88" spans="1:49" x14ac:dyDescent="0.3">
      <c r="A88" s="2" t="s">
        <v>213</v>
      </c>
      <c r="B88" s="2" t="s">
        <v>214</v>
      </c>
      <c r="C88" s="2">
        <v>2023</v>
      </c>
      <c r="D88" s="2">
        <v>3</v>
      </c>
      <c r="E88" s="2">
        <v>87</v>
      </c>
      <c r="F88" s="2">
        <v>87</v>
      </c>
      <c r="G88" s="6">
        <v>2110673004</v>
      </c>
      <c r="H88" s="4">
        <v>21.47027269281941</v>
      </c>
      <c r="I88" s="10">
        <v>3989118992</v>
      </c>
      <c r="J88" s="10">
        <v>2905714827</v>
      </c>
      <c r="K88" s="4">
        <v>4.4659081186545837</v>
      </c>
      <c r="L88" s="6">
        <v>104531000000</v>
      </c>
      <c r="M88" s="7">
        <v>1448</v>
      </c>
      <c r="N88" s="4">
        <v>1.0780386740331489</v>
      </c>
      <c r="O88" s="10">
        <v>112688460635.3591</v>
      </c>
      <c r="P88" s="4">
        <v>25.447892862646629</v>
      </c>
      <c r="Q88" s="7">
        <v>211.79999994381299</v>
      </c>
      <c r="R88" s="8">
        <v>1.0686352753391859</v>
      </c>
      <c r="S88" s="3">
        <v>226.3369512567962</v>
      </c>
      <c r="T88" s="4">
        <v>5.4220248236971269</v>
      </c>
      <c r="U88" s="6">
        <v>158799181.40000001</v>
      </c>
      <c r="V88" s="3">
        <v>75.236278238767866</v>
      </c>
      <c r="W88" s="3">
        <v>80.400140911181296</v>
      </c>
      <c r="X88" s="4">
        <v>4.3870159288100181</v>
      </c>
      <c r="Y88" s="3">
        <v>53.927203048274663</v>
      </c>
      <c r="Z88" s="4">
        <v>3.987635045372564</v>
      </c>
      <c r="AA88" s="5">
        <v>0</v>
      </c>
      <c r="AB88" s="5">
        <v>1</v>
      </c>
      <c r="AC88" s="5">
        <v>0</v>
      </c>
      <c r="AD88" s="5">
        <v>1</v>
      </c>
      <c r="AE88" s="9" t="s">
        <v>41</v>
      </c>
      <c r="AF88" s="9" t="s">
        <v>42</v>
      </c>
      <c r="AG88" s="4">
        <v>22.106836239457369</v>
      </c>
      <c r="AH88" s="4">
        <v>21.789945264794682</v>
      </c>
      <c r="AI88" s="4">
        <v>0.31689097466268379</v>
      </c>
      <c r="AJ88" s="4">
        <v>23.786509267962629</v>
      </c>
      <c r="AK88" s="4">
        <v>25.447892862646629</v>
      </c>
      <c r="AL88" s="4">
        <v>4.3870159288100181</v>
      </c>
      <c r="AM88" s="4">
        <v>5.4220248236971269</v>
      </c>
      <c r="AN88" s="5">
        <v>87</v>
      </c>
      <c r="AO88" s="4">
        <v>5.6757396000000071E-2</v>
      </c>
      <c r="AP88" s="4">
        <v>5.3652674276971268</v>
      </c>
      <c r="AQ88" s="4">
        <v>5.695769568697127</v>
      </c>
      <c r="AR88" s="4">
        <v>0.3993808834374537</v>
      </c>
      <c r="AS88" s="4">
        <v>3.987635045372564</v>
      </c>
      <c r="AT88" s="4">
        <v>4.0194512555620321</v>
      </c>
      <c r="AU88" s="4">
        <v>-2.5285070002212251E-5</v>
      </c>
      <c r="AV88" s="4">
        <v>25.447918147716631</v>
      </c>
      <c r="AW88" s="4">
        <v>25.440113418927218</v>
      </c>
    </row>
    <row r="89" spans="1:49" x14ac:dyDescent="0.3">
      <c r="A89" s="2" t="s">
        <v>215</v>
      </c>
      <c r="B89" s="2" t="s">
        <v>216</v>
      </c>
      <c r="C89" s="2">
        <v>2023</v>
      </c>
      <c r="D89" s="2">
        <v>4</v>
      </c>
      <c r="E89" s="2">
        <v>88</v>
      </c>
      <c r="F89" s="2">
        <v>88</v>
      </c>
      <c r="G89" s="6">
        <v>2578310413</v>
      </c>
      <c r="H89" s="4">
        <v>21.67040014267106</v>
      </c>
      <c r="I89" s="10">
        <v>2110673004</v>
      </c>
      <c r="J89" s="10">
        <v>3081592238</v>
      </c>
      <c r="K89" s="4">
        <v>4.4773368144782069</v>
      </c>
      <c r="L89" s="6">
        <v>103942000000</v>
      </c>
      <c r="M89" s="7">
        <v>1435</v>
      </c>
      <c r="N89" s="4">
        <v>1.087804878048781</v>
      </c>
      <c r="O89" s="10">
        <v>113068614634.1463</v>
      </c>
      <c r="P89" s="4">
        <v>25.451260680533601</v>
      </c>
      <c r="Q89" s="7">
        <v>222.39999992746971</v>
      </c>
      <c r="R89" s="8">
        <v>1.063542494042891</v>
      </c>
      <c r="S89" s="3">
        <v>236.53185059800001</v>
      </c>
      <c r="T89" s="4">
        <v>5.4660828736971272</v>
      </c>
      <c r="U89" s="6">
        <v>200687353.80000001</v>
      </c>
      <c r="V89" s="3">
        <v>77.836769687669104</v>
      </c>
      <c r="W89" s="3">
        <v>82.782712161865717</v>
      </c>
      <c r="X89" s="4">
        <v>4.4162192492758514</v>
      </c>
      <c r="Y89" s="3">
        <v>80.400140911181296</v>
      </c>
      <c r="Z89" s="4">
        <v>4.3870159288100181</v>
      </c>
      <c r="AA89" s="5">
        <v>0</v>
      </c>
      <c r="AB89" s="5">
        <v>0</v>
      </c>
      <c r="AC89" s="5">
        <v>1</v>
      </c>
      <c r="AD89" s="5">
        <v>1</v>
      </c>
      <c r="AE89" s="9" t="s">
        <v>41</v>
      </c>
      <c r="AF89" s="9" t="s">
        <v>42</v>
      </c>
      <c r="AG89" s="4">
        <v>21.47027269281941</v>
      </c>
      <c r="AH89" s="4">
        <v>21.848712260743518</v>
      </c>
      <c r="AI89" s="4">
        <v>-0.37843956792411149</v>
      </c>
      <c r="AJ89" s="4">
        <v>24.139420404958312</v>
      </c>
      <c r="AK89" s="4">
        <v>25.451260680533601</v>
      </c>
      <c r="AL89" s="4">
        <v>4.4162192492758514</v>
      </c>
      <c r="AM89" s="4">
        <v>5.4660828736971272</v>
      </c>
      <c r="AN89" s="5">
        <v>88</v>
      </c>
      <c r="AO89" s="4">
        <v>4.4058050000000293E-2</v>
      </c>
      <c r="AP89" s="4">
        <v>5.4220248236971269</v>
      </c>
      <c r="AQ89" s="4">
        <v>5.6393076436971272</v>
      </c>
      <c r="AR89" s="4">
        <v>2.9203320465832409E-2</v>
      </c>
      <c r="AS89" s="4">
        <v>4.3870159288100181</v>
      </c>
      <c r="AT89" s="4">
        <v>4.0100508469551066</v>
      </c>
      <c r="AU89" s="4">
        <v>3.3678178869784858E-3</v>
      </c>
      <c r="AV89" s="4">
        <v>25.447892862646629</v>
      </c>
      <c r="AW89" s="4">
        <v>25.442831084503279</v>
      </c>
    </row>
    <row r="90" spans="1:49" x14ac:dyDescent="0.3">
      <c r="A90" s="2" t="s">
        <v>217</v>
      </c>
      <c r="B90" s="2" t="s">
        <v>218</v>
      </c>
      <c r="C90" s="2">
        <v>2024</v>
      </c>
      <c r="D90" s="2">
        <v>1</v>
      </c>
      <c r="E90" s="2">
        <v>89</v>
      </c>
      <c r="F90" s="2">
        <v>89</v>
      </c>
      <c r="G90" s="6">
        <v>2812615108</v>
      </c>
      <c r="H90" s="4">
        <v>21.757380530928341</v>
      </c>
      <c r="I90" s="10">
        <v>2578310413</v>
      </c>
      <c r="J90" s="10">
        <v>3576861558</v>
      </c>
      <c r="K90" s="4">
        <v>4.4886363697321396</v>
      </c>
      <c r="L90" s="6">
        <v>105841000000</v>
      </c>
      <c r="M90" s="7">
        <v>1460</v>
      </c>
      <c r="N90" s="4">
        <v>1.0691780821917809</v>
      </c>
      <c r="O90" s="10">
        <v>113162877397.2603</v>
      </c>
      <c r="P90" s="4">
        <v>25.45209401074526</v>
      </c>
      <c r="Q90" s="7">
        <v>213.2000000075482</v>
      </c>
      <c r="R90" s="8">
        <v>1.056827150749803</v>
      </c>
      <c r="S90" s="3">
        <v>225.31554854783511</v>
      </c>
      <c r="T90" s="4">
        <v>5.4175018576971272</v>
      </c>
      <c r="U90" s="6">
        <v>219125576</v>
      </c>
      <c r="V90" s="3">
        <v>77.908127342676565</v>
      </c>
      <c r="W90" s="3">
        <v>82.335424239813662</v>
      </c>
      <c r="X90" s="4">
        <v>4.4108014432626712</v>
      </c>
      <c r="Y90" s="3">
        <v>82.782712161865717</v>
      </c>
      <c r="Z90" s="4">
        <v>4.4162192492758514</v>
      </c>
      <c r="AA90" s="5">
        <v>0</v>
      </c>
      <c r="AB90" s="5">
        <v>0</v>
      </c>
      <c r="AC90" s="5">
        <v>0</v>
      </c>
      <c r="AD90" s="5">
        <v>1</v>
      </c>
      <c r="AE90" s="9" t="s">
        <v>41</v>
      </c>
      <c r="AF90" s="9" t="s">
        <v>42</v>
      </c>
      <c r="AG90" s="4">
        <v>21.67040014267106</v>
      </c>
      <c r="AH90" s="4">
        <v>21.997751593091579</v>
      </c>
      <c r="AI90" s="4">
        <v>-0.32735145042051528</v>
      </c>
      <c r="AJ90" s="4">
        <v>23.89552501280869</v>
      </c>
      <c r="AK90" s="4">
        <v>25.45209401074526</v>
      </c>
      <c r="AL90" s="4">
        <v>4.4108014432626712</v>
      </c>
      <c r="AM90" s="4">
        <v>5.4175018576971272</v>
      </c>
      <c r="AN90" s="5">
        <v>89</v>
      </c>
      <c r="AO90" s="4">
        <v>-4.8581015999999977E-2</v>
      </c>
      <c r="AP90" s="4">
        <v>5.4660828736971272</v>
      </c>
      <c r="AQ90" s="4">
        <v>5.5068052786971284</v>
      </c>
      <c r="AR90" s="4">
        <v>-5.417806013179316E-3</v>
      </c>
      <c r="AS90" s="4">
        <v>4.4162192492758514</v>
      </c>
      <c r="AT90" s="4">
        <v>4.074443935783302</v>
      </c>
      <c r="AU90" s="4">
        <v>8.3333021165543641E-4</v>
      </c>
      <c r="AV90" s="4">
        <v>25.451260680533601</v>
      </c>
      <c r="AW90" s="4">
        <v>25.440793157659769</v>
      </c>
    </row>
    <row r="91" spans="1:49" x14ac:dyDescent="0.3">
      <c r="A91" s="2" t="s">
        <v>219</v>
      </c>
      <c r="B91" s="2" t="s">
        <v>220</v>
      </c>
      <c r="C91" s="2">
        <v>2024</v>
      </c>
      <c r="D91" s="2">
        <v>2</v>
      </c>
      <c r="E91" s="2">
        <v>90</v>
      </c>
      <c r="F91" s="2">
        <v>90</v>
      </c>
      <c r="G91" s="6">
        <v>2853952134</v>
      </c>
      <c r="H91" s="4">
        <v>21.77197058431171</v>
      </c>
      <c r="I91" s="10">
        <v>2812615108</v>
      </c>
      <c r="J91" s="10">
        <v>3989118992</v>
      </c>
      <c r="K91" s="4">
        <v>4.499809670330265</v>
      </c>
      <c r="L91" s="6">
        <v>106539000000</v>
      </c>
      <c r="M91" s="7">
        <v>1475</v>
      </c>
      <c r="N91" s="4">
        <v>1.0583050847457629</v>
      </c>
      <c r="O91" s="10">
        <v>112750765423.72881</v>
      </c>
      <c r="P91" s="4">
        <v>25.448445603986681</v>
      </c>
      <c r="Q91" s="7">
        <v>209.30000009503641</v>
      </c>
      <c r="R91" s="8">
        <v>1.0526729559748429</v>
      </c>
      <c r="S91" s="3">
        <v>220.3244497855768</v>
      </c>
      <c r="T91" s="4">
        <v>5.3951012316971267</v>
      </c>
      <c r="U91" s="6">
        <v>222191355.09999999</v>
      </c>
      <c r="V91" s="3">
        <v>77.853917889149841</v>
      </c>
      <c r="W91" s="3">
        <v>81.954713878594049</v>
      </c>
      <c r="X91" s="4">
        <v>4.4061668249338872</v>
      </c>
      <c r="Y91" s="3">
        <v>82.335424239813662</v>
      </c>
      <c r="Z91" s="4">
        <v>4.4108014432626712</v>
      </c>
      <c r="AA91" s="5">
        <v>1</v>
      </c>
      <c r="AB91" s="5">
        <v>0</v>
      </c>
      <c r="AC91" s="5">
        <v>0</v>
      </c>
      <c r="AD91" s="5">
        <v>1</v>
      </c>
      <c r="AE91" s="9" t="s">
        <v>41</v>
      </c>
      <c r="AF91" s="9" t="s">
        <v>42</v>
      </c>
      <c r="AG91" s="4">
        <v>21.757380530928341</v>
      </c>
      <c r="AH91" s="4">
        <v>22.106836239457369</v>
      </c>
      <c r="AI91" s="4">
        <v>-0.34945570852902458</v>
      </c>
      <c r="AJ91" s="4">
        <v>23.771716064263831</v>
      </c>
      <c r="AK91" s="4">
        <v>25.448445603986681</v>
      </c>
      <c r="AL91" s="4">
        <v>4.4061668249338872</v>
      </c>
      <c r="AM91" s="4">
        <v>5.3951012316971267</v>
      </c>
      <c r="AN91" s="5">
        <v>90</v>
      </c>
      <c r="AO91" s="4">
        <v>-2.2400626000000479E-2</v>
      </c>
      <c r="AP91" s="4">
        <v>5.4175018576971272</v>
      </c>
      <c r="AQ91" s="4">
        <v>5.3652674276971268</v>
      </c>
      <c r="AR91" s="4">
        <v>-4.6346183287839793E-3</v>
      </c>
      <c r="AS91" s="4">
        <v>4.4108014432626712</v>
      </c>
      <c r="AT91" s="4">
        <v>3.987635045372564</v>
      </c>
      <c r="AU91" s="4">
        <v>-3.648406758582468E-3</v>
      </c>
      <c r="AV91" s="4">
        <v>25.45209401074526</v>
      </c>
      <c r="AW91" s="4">
        <v>25.447918147716631</v>
      </c>
    </row>
    <row r="92" spans="1:49" x14ac:dyDescent="0.3">
      <c r="A92" s="2" t="s">
        <v>221</v>
      </c>
      <c r="B92" s="2" t="s">
        <v>222</v>
      </c>
      <c r="C92" s="2">
        <v>2024</v>
      </c>
      <c r="D92" s="2">
        <v>3</v>
      </c>
      <c r="E92" s="2">
        <v>91</v>
      </c>
      <c r="F92" s="2">
        <v>91</v>
      </c>
      <c r="G92" s="6">
        <v>2946968636</v>
      </c>
      <c r="H92" s="4">
        <v>21.80404289795786</v>
      </c>
      <c r="I92" s="10">
        <v>2853952134</v>
      </c>
      <c r="J92" s="10">
        <v>2110673004</v>
      </c>
      <c r="K92" s="4">
        <v>4.5108595065168497</v>
      </c>
      <c r="L92" s="6">
        <v>106858000000</v>
      </c>
      <c r="M92" s="7">
        <v>1497</v>
      </c>
      <c r="N92" s="4">
        <v>1.042752171008684</v>
      </c>
      <c r="O92" s="10">
        <v>111426411489.646</v>
      </c>
      <c r="P92" s="4">
        <v>25.436630223319579</v>
      </c>
      <c r="Q92" s="7">
        <v>191.20000005780301</v>
      </c>
      <c r="R92" s="8">
        <v>1.04609375</v>
      </c>
      <c r="S92" s="3">
        <v>200.0131250604673</v>
      </c>
      <c r="T92" s="4">
        <v>5.2983829896971271</v>
      </c>
      <c r="U92" s="6">
        <v>229135898.80000001</v>
      </c>
      <c r="V92" s="3">
        <v>77.753083626642308</v>
      </c>
      <c r="W92" s="3">
        <v>81.33701482505785</v>
      </c>
      <c r="X92" s="4">
        <v>4.3986011998432124</v>
      </c>
      <c r="Y92" s="3">
        <v>81.954713878594049</v>
      </c>
      <c r="Z92" s="4">
        <v>4.4061668249338872</v>
      </c>
      <c r="AA92" s="5">
        <v>0</v>
      </c>
      <c r="AB92" s="5">
        <v>1</v>
      </c>
      <c r="AC92" s="5">
        <v>0</v>
      </c>
      <c r="AD92" s="5">
        <v>1</v>
      </c>
      <c r="AE92" s="9" t="s">
        <v>41</v>
      </c>
      <c r="AF92" s="9" t="s">
        <v>42</v>
      </c>
      <c r="AG92" s="4">
        <v>21.77197058431171</v>
      </c>
      <c r="AH92" s="4">
        <v>21.47027269281941</v>
      </c>
      <c r="AI92" s="4">
        <v>0.30169789149230303</v>
      </c>
      <c r="AJ92" s="4">
        <v>23.305473775710649</v>
      </c>
      <c r="AK92" s="4">
        <v>25.436630223319579</v>
      </c>
      <c r="AL92" s="4">
        <v>4.3986011998432124</v>
      </c>
      <c r="AM92" s="4">
        <v>5.2983829896971271</v>
      </c>
      <c r="AN92" s="5">
        <v>91</v>
      </c>
      <c r="AO92" s="4">
        <v>-9.6718241999999677E-2</v>
      </c>
      <c r="AP92" s="4">
        <v>5.3951012316971267</v>
      </c>
      <c r="AQ92" s="4">
        <v>5.4220248236971269</v>
      </c>
      <c r="AR92" s="4">
        <v>-7.5656250906757094E-3</v>
      </c>
      <c r="AS92" s="4">
        <v>4.4061668249338872</v>
      </c>
      <c r="AT92" s="4">
        <v>4.3870159288100181</v>
      </c>
      <c r="AU92" s="4">
        <v>-1.181538066709464E-2</v>
      </c>
      <c r="AV92" s="4">
        <v>25.448445603986681</v>
      </c>
      <c r="AW92" s="4">
        <v>25.447892862646629</v>
      </c>
    </row>
    <row r="93" spans="1:49" x14ac:dyDescent="0.3">
      <c r="A93" s="2" t="s">
        <v>223</v>
      </c>
      <c r="B93" s="2" t="s">
        <v>224</v>
      </c>
      <c r="C93" s="2">
        <v>2024</v>
      </c>
      <c r="D93" s="2">
        <v>4</v>
      </c>
      <c r="E93" s="2">
        <v>92</v>
      </c>
      <c r="F93" s="2">
        <v>92</v>
      </c>
      <c r="G93" s="6">
        <v>3191938877</v>
      </c>
      <c r="H93" s="4">
        <v>21.88389436754111</v>
      </c>
      <c r="I93" s="10">
        <v>2946968636</v>
      </c>
      <c r="J93" s="10">
        <v>2578310413</v>
      </c>
      <c r="K93" s="4">
        <v>4.5217885770490396</v>
      </c>
      <c r="L93" s="6">
        <v>108067000000</v>
      </c>
      <c r="M93" s="7">
        <v>1512</v>
      </c>
      <c r="N93" s="4">
        <v>1.032407407407407</v>
      </c>
      <c r="O93" s="10">
        <v>111569171296.2963</v>
      </c>
      <c r="P93" s="4">
        <v>25.437910605866801</v>
      </c>
      <c r="Q93" s="7">
        <v>183.70000006999001</v>
      </c>
      <c r="R93" s="8">
        <v>1.04040404040404</v>
      </c>
      <c r="S93" s="3">
        <v>191.1222222950401</v>
      </c>
      <c r="T93" s="4">
        <v>5.2529131306971273</v>
      </c>
      <c r="U93" s="6">
        <v>248478544.80000001</v>
      </c>
      <c r="V93" s="3">
        <v>77.845646290550818</v>
      </c>
      <c r="W93" s="3">
        <v>80.990924928552872</v>
      </c>
      <c r="X93" s="4">
        <v>4.3943371104766218</v>
      </c>
      <c r="Y93" s="3">
        <v>81.33701482505785</v>
      </c>
      <c r="Z93" s="4">
        <v>4.3986011998432124</v>
      </c>
      <c r="AA93" s="5">
        <v>0</v>
      </c>
      <c r="AB93" s="5">
        <v>0</v>
      </c>
      <c r="AC93" s="5">
        <v>1</v>
      </c>
      <c r="AD93" s="5">
        <v>1</v>
      </c>
      <c r="AE93" s="9" t="s">
        <v>41</v>
      </c>
      <c r="AF93" s="9" t="s">
        <v>42</v>
      </c>
      <c r="AG93" s="4">
        <v>21.80404289795786</v>
      </c>
      <c r="AH93" s="4">
        <v>21.67040014267106</v>
      </c>
      <c r="AI93" s="4">
        <v>0.1336427552867967</v>
      </c>
      <c r="AJ93" s="4">
        <v>23.083071108332319</v>
      </c>
      <c r="AK93" s="4">
        <v>25.437910605866801</v>
      </c>
      <c r="AL93" s="4">
        <v>4.3943371104766218</v>
      </c>
      <c r="AM93" s="4">
        <v>5.2529131306971273</v>
      </c>
      <c r="AN93" s="5">
        <v>92</v>
      </c>
      <c r="AO93" s="4">
        <v>-4.5469858999999779E-2</v>
      </c>
      <c r="AP93" s="4">
        <v>5.2983829896971271</v>
      </c>
      <c r="AQ93" s="4">
        <v>5.4660828736971272</v>
      </c>
      <c r="AR93" s="4">
        <v>-4.2640893665897286E-3</v>
      </c>
      <c r="AS93" s="4">
        <v>4.3986011998432124</v>
      </c>
      <c r="AT93" s="4">
        <v>4.4162192492758514</v>
      </c>
      <c r="AU93" s="4">
        <v>1.280382547221848E-3</v>
      </c>
      <c r="AV93" s="4">
        <v>25.436630223319579</v>
      </c>
      <c r="AW93" s="4">
        <v>25.451260680533601</v>
      </c>
    </row>
    <row r="94" spans="1:49" x14ac:dyDescent="0.3">
      <c r="A94" s="2" t="s">
        <v>225</v>
      </c>
      <c r="B94" s="2" t="s">
        <v>226</v>
      </c>
      <c r="C94" s="2">
        <v>2025</v>
      </c>
      <c r="D94" s="2">
        <v>1</v>
      </c>
      <c r="E94" s="2">
        <v>93</v>
      </c>
      <c r="F94" s="2">
        <v>93</v>
      </c>
      <c r="G94" s="6">
        <v>3118762564</v>
      </c>
      <c r="H94" s="4">
        <v>21.860702145993059</v>
      </c>
      <c r="I94" s="10">
        <v>3191938877</v>
      </c>
      <c r="J94" s="10">
        <v>2812615108</v>
      </c>
      <c r="K94" s="4">
        <v>4.5325994931532563</v>
      </c>
      <c r="L94" s="6">
        <v>109906000000</v>
      </c>
      <c r="M94" s="7">
        <v>1521</v>
      </c>
      <c r="N94" s="4">
        <v>1.026298487836949</v>
      </c>
      <c r="O94" s="10">
        <v>112796361604.20779</v>
      </c>
      <c r="P94" s="4">
        <v>25.44884992020831</v>
      </c>
      <c r="Q94" s="7">
        <v>197.0999999049742</v>
      </c>
      <c r="R94" s="8">
        <v>1.030792917628945</v>
      </c>
      <c r="S94" s="3">
        <v>203.16928396671321</v>
      </c>
      <c r="T94" s="4">
        <v>5.3140395426971274</v>
      </c>
      <c r="U94" s="6">
        <v>243141467.40000001</v>
      </c>
      <c r="V94" s="3">
        <v>77.960877883616931</v>
      </c>
      <c r="W94" s="3">
        <v>80.361520774567424</v>
      </c>
      <c r="X94" s="4">
        <v>4.3865354642894134</v>
      </c>
      <c r="Y94" s="3">
        <v>80.990924928552872</v>
      </c>
      <c r="Z94" s="4">
        <v>4.3943371104766218</v>
      </c>
      <c r="AA94" s="5">
        <v>0</v>
      </c>
      <c r="AB94" s="5">
        <v>0</v>
      </c>
      <c r="AC94" s="5">
        <v>0</v>
      </c>
      <c r="AD94" s="5">
        <v>1</v>
      </c>
      <c r="AE94" s="9" t="s">
        <v>41</v>
      </c>
      <c r="AF94" s="9" t="s">
        <v>42</v>
      </c>
      <c r="AG94" s="4">
        <v>21.88389436754111</v>
      </c>
      <c r="AH94" s="4">
        <v>21.757380530928341</v>
      </c>
      <c r="AI94" s="4">
        <v>0.12651383661276941</v>
      </c>
      <c r="AJ94" s="4">
        <v>23.31022291267724</v>
      </c>
      <c r="AK94" s="4">
        <v>25.44884992020831</v>
      </c>
      <c r="AL94" s="4">
        <v>4.3865354642894134</v>
      </c>
      <c r="AM94" s="4">
        <v>5.3140395426971274</v>
      </c>
      <c r="AN94" s="5">
        <v>93</v>
      </c>
      <c r="AO94" s="4">
        <v>6.112641200000013E-2</v>
      </c>
      <c r="AP94" s="4">
        <v>5.2529131306971273</v>
      </c>
      <c r="AQ94" s="4">
        <v>5.4175018576971272</v>
      </c>
      <c r="AR94" s="4">
        <v>-7.8016461872092444E-3</v>
      </c>
      <c r="AS94" s="4">
        <v>4.3943371104766218</v>
      </c>
      <c r="AT94" s="4">
        <v>4.4108014432626712</v>
      </c>
      <c r="AU94" s="4">
        <v>1.093931434150619E-2</v>
      </c>
      <c r="AV94" s="4">
        <v>25.437910605866801</v>
      </c>
      <c r="AW94" s="4">
        <v>25.45209401074526</v>
      </c>
    </row>
    <row r="95" spans="1:49" x14ac:dyDescent="0.3">
      <c r="A95" s="2" t="s">
        <v>227</v>
      </c>
      <c r="B95" s="2" t="s">
        <v>228</v>
      </c>
      <c r="C95" s="2">
        <v>2025</v>
      </c>
      <c r="D95" s="2">
        <v>2</v>
      </c>
      <c r="E95" s="2">
        <v>94</v>
      </c>
      <c r="F95" s="2">
        <v>94</v>
      </c>
      <c r="G95" s="6">
        <v>3016313795</v>
      </c>
      <c r="H95" s="4">
        <v>21.827301325114991</v>
      </c>
      <c r="I95" s="10">
        <v>3118762564</v>
      </c>
      <c r="J95" s="10">
        <v>2853952134</v>
      </c>
      <c r="K95" s="4">
        <v>4.5432947822700038</v>
      </c>
      <c r="L95" s="6">
        <v>110143000000</v>
      </c>
      <c r="M95" s="7">
        <v>1535</v>
      </c>
      <c r="N95" s="4">
        <v>1.0169381107491859</v>
      </c>
      <c r="O95" s="10">
        <v>112008614332.2476</v>
      </c>
      <c r="P95" s="4">
        <v>25.441841618964581</v>
      </c>
      <c r="Q95" s="7">
        <v>183.900000042675</v>
      </c>
      <c r="R95" s="8">
        <v>1.025267993874426</v>
      </c>
      <c r="S95" s="3">
        <v>188.54678411726019</v>
      </c>
      <c r="T95" s="4">
        <v>5.2393461676971267</v>
      </c>
      <c r="U95" s="6">
        <v>234864710.19999999</v>
      </c>
      <c r="V95" s="3">
        <v>77.864813199914423</v>
      </c>
      <c r="W95" s="3">
        <v>79.83230082288317</v>
      </c>
      <c r="X95" s="4">
        <v>4.3799281947741697</v>
      </c>
      <c r="Y95" s="3">
        <v>80.361520774567424</v>
      </c>
      <c r="Z95" s="4">
        <v>4.3865354642894134</v>
      </c>
      <c r="AA95" s="5">
        <v>1</v>
      </c>
      <c r="AB95" s="5">
        <v>0</v>
      </c>
      <c r="AC95" s="5">
        <v>0</v>
      </c>
      <c r="AD95" s="5">
        <v>1</v>
      </c>
      <c r="AE95" s="9" t="s">
        <v>41</v>
      </c>
      <c r="AF95" s="9" t="s">
        <v>42</v>
      </c>
      <c r="AG95" s="4">
        <v>21.860702145993059</v>
      </c>
      <c r="AH95" s="4">
        <v>21.77197058431171</v>
      </c>
      <c r="AI95" s="4">
        <v>8.8731561681353099E-2</v>
      </c>
      <c r="AJ95" s="4">
        <v>22.947960002078641</v>
      </c>
      <c r="AK95" s="4">
        <v>25.441841618964581</v>
      </c>
      <c r="AL95" s="4">
        <v>4.3799281947741697</v>
      </c>
      <c r="AM95" s="4">
        <v>5.2393461676971267</v>
      </c>
      <c r="AN95" s="5">
        <v>94</v>
      </c>
      <c r="AO95" s="4">
        <v>-7.4693375000000728E-2</v>
      </c>
      <c r="AP95" s="4">
        <v>5.3140395426971274</v>
      </c>
      <c r="AQ95" s="4">
        <v>5.3951012316971267</v>
      </c>
      <c r="AR95" s="4">
        <v>-6.6072695152428196E-3</v>
      </c>
      <c r="AS95" s="4">
        <v>4.3865354642894134</v>
      </c>
      <c r="AT95" s="4">
        <v>4.4061668249338872</v>
      </c>
      <c r="AU95" s="4">
        <v>-7.0083012437294201E-3</v>
      </c>
      <c r="AV95" s="4">
        <v>25.44884992020831</v>
      </c>
      <c r="AW95" s="4">
        <v>25.448445603986681</v>
      </c>
    </row>
    <row r="96" spans="1:49" x14ac:dyDescent="0.3">
      <c r="A96" s="2" t="s">
        <v>229</v>
      </c>
      <c r="B96" s="2" t="s">
        <v>230</v>
      </c>
      <c r="C96" s="2">
        <v>2025</v>
      </c>
      <c r="D96" s="2">
        <v>3</v>
      </c>
      <c r="E96" s="2">
        <v>95</v>
      </c>
      <c r="F96" s="2">
        <v>95</v>
      </c>
      <c r="G96" s="6">
        <v>3122958703</v>
      </c>
      <c r="H96" s="4">
        <v>21.862046691656879</v>
      </c>
      <c r="I96" s="10">
        <v>3016313795</v>
      </c>
      <c r="J96" s="10">
        <v>2946968636</v>
      </c>
      <c r="K96" s="4">
        <v>4.5538768916005408</v>
      </c>
      <c r="L96" s="6">
        <v>111669000000</v>
      </c>
      <c r="M96" s="7">
        <v>1542</v>
      </c>
      <c r="N96" s="4">
        <v>1.0123216601815821</v>
      </c>
      <c r="O96" s="10">
        <v>113044947470.81709</v>
      </c>
      <c r="P96" s="4">
        <v>25.451051341799609</v>
      </c>
      <c r="Q96" s="7">
        <v>185.39999992426689</v>
      </c>
      <c r="R96" s="8">
        <v>1.01516300227445</v>
      </c>
      <c r="S96" s="3">
        <v>188.21122054480159</v>
      </c>
      <c r="T96" s="4">
        <v>5.2375648456971273</v>
      </c>
      <c r="U96" s="6">
        <v>243178366.90000001</v>
      </c>
      <c r="V96" s="3">
        <v>77.867941918795196</v>
      </c>
      <c r="W96" s="3">
        <v>79.048653699216658</v>
      </c>
      <c r="X96" s="4">
        <v>4.3700635325075003</v>
      </c>
      <c r="Y96" s="3">
        <v>79.83230082288317</v>
      </c>
      <c r="Z96" s="4">
        <v>4.3799281947741697</v>
      </c>
      <c r="AA96" s="5">
        <v>0</v>
      </c>
      <c r="AB96" s="5">
        <v>1</v>
      </c>
      <c r="AC96" s="5">
        <v>0</v>
      </c>
      <c r="AD96" s="5">
        <v>1</v>
      </c>
      <c r="AE96" s="9" t="s">
        <v>41</v>
      </c>
      <c r="AF96" s="9" t="s">
        <v>42</v>
      </c>
      <c r="AG96" s="4">
        <v>21.827301325114991</v>
      </c>
      <c r="AH96" s="4">
        <v>21.80404289795786</v>
      </c>
      <c r="AI96" s="4">
        <v>2.3258427157134779E-2</v>
      </c>
      <c r="AJ96" s="4">
        <v>22.88849113132429</v>
      </c>
      <c r="AK96" s="4">
        <v>25.451051341799609</v>
      </c>
      <c r="AL96" s="4">
        <v>4.3700635325075003</v>
      </c>
      <c r="AM96" s="4">
        <v>5.2375648456971273</v>
      </c>
      <c r="AN96" s="5">
        <v>95</v>
      </c>
      <c r="AO96" s="4">
        <v>-1.781321999999363E-3</v>
      </c>
      <c r="AP96" s="4">
        <v>5.2393461676971267</v>
      </c>
      <c r="AQ96" s="4">
        <v>5.2983829896971271</v>
      </c>
      <c r="AR96" s="4">
        <v>-9.8646622666693773E-3</v>
      </c>
      <c r="AS96" s="4">
        <v>4.3799281947741697</v>
      </c>
      <c r="AT96" s="4">
        <v>4.3986011998432124</v>
      </c>
      <c r="AU96" s="4">
        <v>9.2097228350240812E-3</v>
      </c>
      <c r="AV96" s="4">
        <v>25.441841618964581</v>
      </c>
      <c r="AW96" s="4">
        <v>25.436630223319579</v>
      </c>
    </row>
    <row r="97" spans="1:49" x14ac:dyDescent="0.3">
      <c r="A97" s="2" t="s">
        <v>231</v>
      </c>
      <c r="B97" s="2" t="s">
        <v>232</v>
      </c>
      <c r="C97" s="2">
        <v>2025</v>
      </c>
      <c r="D97" s="2">
        <v>4</v>
      </c>
      <c r="E97" s="2">
        <v>96</v>
      </c>
      <c r="F97" s="2">
        <v>96</v>
      </c>
      <c r="G97" s="6">
        <v>3307965543</v>
      </c>
      <c r="H97" s="4">
        <v>21.919599197789999</v>
      </c>
      <c r="I97" s="10">
        <v>3122958703</v>
      </c>
      <c r="J97" s="10">
        <v>3191938877</v>
      </c>
      <c r="K97" s="4">
        <v>4.5643481914678361</v>
      </c>
      <c r="L97" s="6">
        <v>113094000000</v>
      </c>
      <c r="M97" s="7">
        <v>1561</v>
      </c>
      <c r="N97" s="4">
        <v>1</v>
      </c>
      <c r="O97" s="10">
        <v>113094000000</v>
      </c>
      <c r="P97" s="4">
        <v>25.451485168263389</v>
      </c>
      <c r="Q97" s="7">
        <v>192.8</v>
      </c>
      <c r="R97" s="8">
        <v>1.0090429540316499</v>
      </c>
      <c r="S97" s="3">
        <v>194.5434815373022</v>
      </c>
      <c r="T97" s="4">
        <v>5.2706556935354101</v>
      </c>
      <c r="U97" s="6">
        <v>257740144.59999999</v>
      </c>
      <c r="V97" s="3">
        <v>77.915002816581634</v>
      </c>
      <c r="W97" s="3">
        <v>78.619584605427889</v>
      </c>
      <c r="X97" s="4">
        <v>4.3646208364059564</v>
      </c>
      <c r="Y97" s="3">
        <v>79.048653699216658</v>
      </c>
      <c r="Z97" s="4">
        <v>4.3700635325075003</v>
      </c>
      <c r="AA97" s="5">
        <v>0</v>
      </c>
      <c r="AB97" s="5">
        <v>0</v>
      </c>
      <c r="AC97" s="5">
        <v>1</v>
      </c>
      <c r="AD97" s="5">
        <v>1</v>
      </c>
      <c r="AE97" s="9" t="s">
        <v>41</v>
      </c>
      <c r="AF97" s="9" t="s">
        <v>233</v>
      </c>
      <c r="AG97" s="4">
        <v>21.862046691656879</v>
      </c>
      <c r="AH97" s="4">
        <v>21.88389436754111</v>
      </c>
      <c r="AI97" s="4">
        <v>-2.1847675884231421E-2</v>
      </c>
      <c r="AJ97" s="4">
        <v>23.004413661526339</v>
      </c>
      <c r="AK97" s="4">
        <v>25.451485168263389</v>
      </c>
      <c r="AL97" s="4">
        <v>4.3646208364059564</v>
      </c>
      <c r="AM97" s="4">
        <v>5.2706556935354101</v>
      </c>
      <c r="AN97" s="5">
        <v>96</v>
      </c>
      <c r="AO97" s="4">
        <v>3.3090847838282762E-2</v>
      </c>
      <c r="AP97" s="4">
        <v>5.2375648456971273</v>
      </c>
      <c r="AQ97" s="4">
        <v>5.2529131306971273</v>
      </c>
      <c r="AR97" s="4">
        <v>-5.442696101543909E-3</v>
      </c>
      <c r="AS97" s="4">
        <v>4.3700635325075003</v>
      </c>
      <c r="AT97" s="4">
        <v>4.3943371104766218</v>
      </c>
      <c r="AU97" s="4">
        <v>4.33826463780207E-4</v>
      </c>
      <c r="AV97" s="4">
        <v>25.451051341799609</v>
      </c>
      <c r="AW97" s="4">
        <v>25.437910605866801</v>
      </c>
    </row>
    <row r="98" spans="1:49" ht="33.6" customHeight="1" x14ac:dyDescent="0.3">
      <c r="A98" s="11" t="s">
        <v>234</v>
      </c>
      <c r="B98" s="11" t="s">
        <v>235</v>
      </c>
      <c r="C98" s="11">
        <v>2026</v>
      </c>
      <c r="D98" s="11">
        <v>1</v>
      </c>
      <c r="E98" s="11">
        <v>97</v>
      </c>
      <c r="F98" s="11">
        <v>97</v>
      </c>
      <c r="G98" s="16">
        <v>3196014020</v>
      </c>
      <c r="H98" s="13">
        <v>21.885170251574234</v>
      </c>
      <c r="I98" s="24">
        <v>3307965543</v>
      </c>
      <c r="J98" s="24">
        <v>3118762564</v>
      </c>
      <c r="K98" s="13">
        <v>4.5747109785033828</v>
      </c>
      <c r="L98" s="16">
        <v>114677316000</v>
      </c>
      <c r="M98" s="17">
        <v>1567.1821782178217</v>
      </c>
      <c r="N98" s="13">
        <v>0.99605522682445757</v>
      </c>
      <c r="O98" s="23">
        <v>114224940000</v>
      </c>
      <c r="P98" s="13">
        <v>25.461435499116554</v>
      </c>
      <c r="Q98" s="17">
        <v>214.6</v>
      </c>
      <c r="R98" s="14">
        <v>1</v>
      </c>
      <c r="S98" s="12">
        <v>214.6</v>
      </c>
      <c r="T98" s="13">
        <v>5.368775830196598</v>
      </c>
      <c r="U98" s="16">
        <v>248999340.25</v>
      </c>
      <c r="V98" s="12">
        <v>77.909339161785027</v>
      </c>
      <c r="W98" s="12">
        <v>77.909339161785027</v>
      </c>
      <c r="X98" s="13">
        <v>4.3555458322349807</v>
      </c>
      <c r="Y98" s="19">
        <v>78.619584605427889</v>
      </c>
      <c r="Z98" s="18">
        <v>4.3646208364059564</v>
      </c>
      <c r="AA98" s="15">
        <v>0</v>
      </c>
      <c r="AB98" s="15">
        <v>0</v>
      </c>
      <c r="AC98" s="15">
        <v>0</v>
      </c>
      <c r="AD98" s="15">
        <v>1</v>
      </c>
      <c r="AE98" s="22" t="s">
        <v>41</v>
      </c>
      <c r="AF98" s="22" t="s">
        <v>263</v>
      </c>
      <c r="AG98" s="18">
        <v>21.919599197790003</v>
      </c>
      <c r="AH98" s="18">
        <v>21.860702145993063</v>
      </c>
      <c r="AI98" s="13">
        <v>5.8897051796940048E-2</v>
      </c>
      <c r="AJ98" s="13">
        <v>23.38394919141669</v>
      </c>
      <c r="AK98" s="13">
        <v>25.461435499116554</v>
      </c>
      <c r="AL98" s="13">
        <v>4.3555458322349807</v>
      </c>
      <c r="AM98" s="13">
        <v>5.368775830196598</v>
      </c>
      <c r="AN98" s="15">
        <v>97</v>
      </c>
      <c r="AO98" s="13">
        <v>9.8120136661187907E-2</v>
      </c>
      <c r="AP98" s="18">
        <v>5.2706556935354101</v>
      </c>
      <c r="AQ98" s="18">
        <v>5.3140395426971274</v>
      </c>
      <c r="AR98" s="13">
        <v>-9.0750041709757312E-3</v>
      </c>
      <c r="AS98" s="18">
        <v>4.3646208364059564</v>
      </c>
      <c r="AT98" s="18">
        <v>4.3865354642894134</v>
      </c>
      <c r="AU98" s="13">
        <v>9.9503308531652124E-3</v>
      </c>
      <c r="AV98" s="18">
        <v>25.451485168263389</v>
      </c>
      <c r="AW98" s="18">
        <v>25.44884992020831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8"/>
  <sheetViews>
    <sheetView topLeftCell="A63" workbookViewId="0"/>
  </sheetViews>
  <sheetFormatPr defaultRowHeight="14.4" x14ac:dyDescent="0.3"/>
  <cols>
    <col min="1" max="11" width="14" customWidth="1"/>
    <col min="12" max="12" width="20" customWidth="1"/>
    <col min="13" max="13" width="17" customWidth="1"/>
    <col min="14" max="14" width="21" customWidth="1"/>
    <col min="15" max="15" width="17" customWidth="1"/>
    <col min="16" max="16" width="14" customWidth="1"/>
    <col min="17" max="17" width="23" customWidth="1"/>
    <col min="18" max="19" width="30" customWidth="1"/>
    <col min="20" max="20" width="26" customWidth="1"/>
    <col min="21" max="22" width="30" customWidth="1"/>
    <col min="23" max="27" width="14" customWidth="1"/>
    <col min="28" max="28" width="30" customWidth="1"/>
    <col min="29" max="29" width="23" customWidth="1"/>
    <col min="30" max="31" width="30" customWidth="1"/>
    <col min="32" max="32" width="26" customWidth="1"/>
    <col min="33" max="33" width="30" customWidth="1"/>
    <col min="34" max="34" width="19" customWidth="1"/>
    <col min="35" max="35" width="23" customWidth="1"/>
    <col min="36" max="37" width="18" customWidth="1"/>
    <col min="38" max="38" width="29" customWidth="1"/>
  </cols>
  <sheetData>
    <row r="1" spans="1:3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238</v>
      </c>
      <c r="P1" s="1" t="s">
        <v>239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30</v>
      </c>
      <c r="X1" s="1" t="s">
        <v>31</v>
      </c>
      <c r="Y1" s="1" t="s">
        <v>32</v>
      </c>
      <c r="Z1" s="1" t="s">
        <v>34</v>
      </c>
      <c r="AA1" s="1" t="s">
        <v>35</v>
      </c>
      <c r="AB1" s="1" t="s">
        <v>241</v>
      </c>
      <c r="AC1" s="1" t="s">
        <v>242</v>
      </c>
      <c r="AD1" s="1" t="s">
        <v>245</v>
      </c>
      <c r="AE1" s="1" t="s">
        <v>247</v>
      </c>
      <c r="AF1" s="1" t="s">
        <v>246</v>
      </c>
      <c r="AG1" s="1" t="s">
        <v>248</v>
      </c>
      <c r="AH1" s="1" t="s">
        <v>25</v>
      </c>
      <c r="AI1" s="1" t="s">
        <v>26</v>
      </c>
      <c r="AJ1" s="1" t="s">
        <v>36</v>
      </c>
      <c r="AK1" s="1" t="s">
        <v>37</v>
      </c>
      <c r="AL1" s="1" t="s">
        <v>38</v>
      </c>
    </row>
    <row r="2" spans="1:38" x14ac:dyDescent="0.3">
      <c r="A2" s="2" t="s">
        <v>39</v>
      </c>
      <c r="B2" s="2" t="s">
        <v>40</v>
      </c>
      <c r="C2" s="2">
        <v>2002</v>
      </c>
      <c r="D2" s="2">
        <v>1</v>
      </c>
      <c r="E2" s="2">
        <v>1</v>
      </c>
      <c r="F2" s="2">
        <v>1</v>
      </c>
      <c r="G2" s="6">
        <v>0</v>
      </c>
      <c r="H2" s="5"/>
      <c r="I2" s="5"/>
      <c r="J2" s="5"/>
      <c r="K2" s="4">
        <v>0</v>
      </c>
      <c r="L2" s="6">
        <v>32976000000</v>
      </c>
      <c r="M2" s="7">
        <v>835</v>
      </c>
      <c r="N2" s="4">
        <v>1.869461077844311</v>
      </c>
      <c r="O2" s="10">
        <v>61647348502.994019</v>
      </c>
      <c r="P2" s="4">
        <v>24.844696056759091</v>
      </c>
      <c r="Q2" s="6">
        <v>0</v>
      </c>
      <c r="R2" s="3">
        <v>0</v>
      </c>
      <c r="S2" s="3">
        <v>0</v>
      </c>
      <c r="T2" s="4">
        <v>0</v>
      </c>
      <c r="U2" s="3">
        <v>0</v>
      </c>
      <c r="V2" s="4">
        <v>0</v>
      </c>
      <c r="W2" s="5">
        <v>0</v>
      </c>
      <c r="X2" s="5">
        <v>0</v>
      </c>
      <c r="Y2" s="5">
        <v>0</v>
      </c>
      <c r="Z2" s="9" t="s">
        <v>41</v>
      </c>
      <c r="AA2" s="9" t="s">
        <v>42</v>
      </c>
      <c r="AB2" s="3">
        <v>113.18362249509801</v>
      </c>
      <c r="AC2" s="4">
        <v>4.729011477697127</v>
      </c>
      <c r="AD2" s="3">
        <v>0</v>
      </c>
      <c r="AE2" s="3">
        <v>0</v>
      </c>
      <c r="AF2" s="4">
        <v>0</v>
      </c>
      <c r="AG2" s="4">
        <v>0</v>
      </c>
      <c r="AH2" s="4">
        <v>5.2999999999999999E-2</v>
      </c>
      <c r="AI2" s="4">
        <v>-2.9374633654300148</v>
      </c>
      <c r="AJ2" s="5"/>
      <c r="AK2" s="5"/>
      <c r="AL2" s="5"/>
    </row>
    <row r="3" spans="1:38" x14ac:dyDescent="0.3">
      <c r="A3" s="2" t="s">
        <v>43</v>
      </c>
      <c r="B3" s="2" t="s">
        <v>44</v>
      </c>
      <c r="C3" s="2">
        <v>2002</v>
      </c>
      <c r="D3" s="2">
        <v>2</v>
      </c>
      <c r="E3" s="2">
        <v>2</v>
      </c>
      <c r="F3" s="2">
        <v>2</v>
      </c>
      <c r="G3" s="6">
        <v>0</v>
      </c>
      <c r="H3" s="5"/>
      <c r="I3" s="10">
        <v>0</v>
      </c>
      <c r="J3" s="5"/>
      <c r="K3" s="4">
        <v>0.69314718055994529</v>
      </c>
      <c r="L3" s="6">
        <v>32897000000</v>
      </c>
      <c r="M3" s="7">
        <v>825</v>
      </c>
      <c r="N3" s="4">
        <v>1.8921212121212121</v>
      </c>
      <c r="O3" s="10">
        <v>62245111515.151512</v>
      </c>
      <c r="P3" s="4">
        <v>24.854345839330509</v>
      </c>
      <c r="Q3" s="6">
        <v>0</v>
      </c>
      <c r="R3" s="3">
        <v>0</v>
      </c>
      <c r="S3" s="3">
        <v>0</v>
      </c>
      <c r="T3" s="4">
        <v>0</v>
      </c>
      <c r="U3" s="3">
        <v>0</v>
      </c>
      <c r="V3" s="4">
        <v>0</v>
      </c>
      <c r="W3" s="5">
        <v>1</v>
      </c>
      <c r="X3" s="5">
        <v>0</v>
      </c>
      <c r="Y3" s="5">
        <v>0</v>
      </c>
      <c r="Z3" s="9" t="s">
        <v>41</v>
      </c>
      <c r="AA3" s="9" t="s">
        <v>42</v>
      </c>
      <c r="AB3" s="3">
        <v>119.6708446472082</v>
      </c>
      <c r="AC3" s="4">
        <v>4.7847450126971269</v>
      </c>
      <c r="AD3" s="3">
        <v>0</v>
      </c>
      <c r="AE3" s="3">
        <v>0</v>
      </c>
      <c r="AF3" s="4">
        <v>0</v>
      </c>
      <c r="AG3" s="4">
        <v>0</v>
      </c>
      <c r="AH3" s="4">
        <v>5.2999999999999999E-2</v>
      </c>
      <c r="AI3" s="4">
        <v>-2.9374633654300148</v>
      </c>
      <c r="AJ3" s="5"/>
      <c r="AK3" s="5"/>
      <c r="AL3" s="5"/>
    </row>
    <row r="4" spans="1:38" x14ac:dyDescent="0.3">
      <c r="A4" s="2" t="s">
        <v>45</v>
      </c>
      <c r="B4" s="2" t="s">
        <v>46</v>
      </c>
      <c r="C4" s="2">
        <v>2002</v>
      </c>
      <c r="D4" s="2">
        <v>3</v>
      </c>
      <c r="E4" s="2">
        <v>3</v>
      </c>
      <c r="F4" s="2">
        <v>3</v>
      </c>
      <c r="G4" s="6">
        <v>0</v>
      </c>
      <c r="H4" s="5"/>
      <c r="I4" s="10">
        <v>0</v>
      </c>
      <c r="J4" s="5"/>
      <c r="K4" s="4">
        <v>1.09861228866811</v>
      </c>
      <c r="L4" s="6">
        <v>33866000000</v>
      </c>
      <c r="M4" s="7">
        <v>832</v>
      </c>
      <c r="N4" s="4">
        <v>1.8762019230769229</v>
      </c>
      <c r="O4" s="10">
        <v>63539454326.92308</v>
      </c>
      <c r="P4" s="4">
        <v>24.87492687788378</v>
      </c>
      <c r="Q4" s="6">
        <v>0</v>
      </c>
      <c r="R4" s="3">
        <v>0</v>
      </c>
      <c r="S4" s="3">
        <v>0</v>
      </c>
      <c r="T4" s="4">
        <v>0</v>
      </c>
      <c r="U4" s="3">
        <v>0</v>
      </c>
      <c r="V4" s="4">
        <v>0</v>
      </c>
      <c r="W4" s="5">
        <v>0</v>
      </c>
      <c r="X4" s="5">
        <v>1</v>
      </c>
      <c r="Y4" s="5">
        <v>0</v>
      </c>
      <c r="Z4" s="9" t="s">
        <v>41</v>
      </c>
      <c r="AA4" s="9" t="s">
        <v>42</v>
      </c>
      <c r="AB4" s="3">
        <v>117.0264227413724</v>
      </c>
      <c r="AC4" s="4">
        <v>4.7623997446971273</v>
      </c>
      <c r="AD4" s="3">
        <v>0</v>
      </c>
      <c r="AE4" s="3">
        <v>0</v>
      </c>
      <c r="AF4" s="4">
        <v>0</v>
      </c>
      <c r="AG4" s="4">
        <v>0</v>
      </c>
      <c r="AH4" s="4">
        <v>5.5E-2</v>
      </c>
      <c r="AI4" s="4">
        <v>-2.9004220937496661</v>
      </c>
      <c r="AJ4" s="5"/>
      <c r="AK4" s="5"/>
      <c r="AL4" s="5"/>
    </row>
    <row r="5" spans="1:38" x14ac:dyDescent="0.3">
      <c r="A5" s="2" t="s">
        <v>47</v>
      </c>
      <c r="B5" s="2" t="s">
        <v>48</v>
      </c>
      <c r="C5" s="2">
        <v>2002</v>
      </c>
      <c r="D5" s="2">
        <v>4</v>
      </c>
      <c r="E5" s="2">
        <v>4</v>
      </c>
      <c r="F5" s="2">
        <v>4</v>
      </c>
      <c r="G5" s="6">
        <v>0</v>
      </c>
      <c r="H5" s="5"/>
      <c r="I5" s="10">
        <v>0</v>
      </c>
      <c r="J5" s="5"/>
      <c r="K5" s="4">
        <v>1.386294361119891</v>
      </c>
      <c r="L5" s="6">
        <v>33950000000</v>
      </c>
      <c r="M5" s="7">
        <v>820</v>
      </c>
      <c r="N5" s="4">
        <v>1.903658536585366</v>
      </c>
      <c r="O5" s="10">
        <v>64629207317.073174</v>
      </c>
      <c r="P5" s="4">
        <v>24.891932271208251</v>
      </c>
      <c r="Q5" s="6">
        <v>0</v>
      </c>
      <c r="R5" s="3">
        <v>0</v>
      </c>
      <c r="S5" s="3">
        <v>0</v>
      </c>
      <c r="T5" s="4">
        <v>0</v>
      </c>
      <c r="U5" s="3">
        <v>0</v>
      </c>
      <c r="V5" s="4">
        <v>0</v>
      </c>
      <c r="W5" s="5">
        <v>0</v>
      </c>
      <c r="X5" s="5">
        <v>0</v>
      </c>
      <c r="Y5" s="5">
        <v>1</v>
      </c>
      <c r="Z5" s="9" t="s">
        <v>41</v>
      </c>
      <c r="AA5" s="9" t="s">
        <v>42</v>
      </c>
      <c r="AB5" s="3">
        <v>118.019676515661</v>
      </c>
      <c r="AC5" s="4">
        <v>4.7708513606971268</v>
      </c>
      <c r="AD5" s="3">
        <v>0</v>
      </c>
      <c r="AE5" s="3">
        <v>0</v>
      </c>
      <c r="AF5" s="4">
        <v>0</v>
      </c>
      <c r="AG5" s="4">
        <v>0</v>
      </c>
      <c r="AH5" s="4">
        <v>5.0999999999999997E-2</v>
      </c>
      <c r="AI5" s="4">
        <v>-2.975929646257812</v>
      </c>
      <c r="AJ5" s="5"/>
      <c r="AK5" s="5"/>
      <c r="AL5" s="5"/>
    </row>
    <row r="6" spans="1:38" x14ac:dyDescent="0.3">
      <c r="A6" s="2" t="s">
        <v>49</v>
      </c>
      <c r="B6" s="2" t="s">
        <v>50</v>
      </c>
      <c r="C6" s="2">
        <v>2003</v>
      </c>
      <c r="D6" s="2">
        <v>1</v>
      </c>
      <c r="E6" s="2">
        <v>5</v>
      </c>
      <c r="F6" s="2">
        <v>5</v>
      </c>
      <c r="G6" s="6">
        <v>0</v>
      </c>
      <c r="H6" s="5"/>
      <c r="I6" s="10">
        <v>0</v>
      </c>
      <c r="J6" s="10">
        <v>0</v>
      </c>
      <c r="K6" s="4">
        <v>1.6094379124341001</v>
      </c>
      <c r="L6" s="6">
        <v>34462000000</v>
      </c>
      <c r="M6" s="7">
        <v>828</v>
      </c>
      <c r="N6" s="4">
        <v>1.8852657004830919</v>
      </c>
      <c r="O6" s="10">
        <v>64970026570.048309</v>
      </c>
      <c r="P6" s="4">
        <v>24.897191870797489</v>
      </c>
      <c r="Q6" s="6">
        <v>0</v>
      </c>
      <c r="R6" s="3">
        <v>0</v>
      </c>
      <c r="S6" s="3">
        <v>0</v>
      </c>
      <c r="T6" s="4">
        <v>0</v>
      </c>
      <c r="U6" s="3">
        <v>0</v>
      </c>
      <c r="V6" s="4">
        <v>0</v>
      </c>
      <c r="W6" s="5">
        <v>0</v>
      </c>
      <c r="X6" s="5">
        <v>0</v>
      </c>
      <c r="Y6" s="5">
        <v>0</v>
      </c>
      <c r="Z6" s="9" t="s">
        <v>41</v>
      </c>
      <c r="AA6" s="9" t="s">
        <v>42</v>
      </c>
      <c r="AB6" s="3">
        <v>127.24993284592919</v>
      </c>
      <c r="AC6" s="4">
        <v>4.8461531276971268</v>
      </c>
      <c r="AD6" s="3">
        <v>0</v>
      </c>
      <c r="AE6" s="3">
        <v>0</v>
      </c>
      <c r="AF6" s="4">
        <v>0</v>
      </c>
      <c r="AG6" s="4">
        <v>0</v>
      </c>
      <c r="AH6" s="4">
        <v>0.05</v>
      </c>
      <c r="AI6" s="4">
        <v>-2.9957322735539909</v>
      </c>
      <c r="AJ6" s="5"/>
      <c r="AK6" s="5"/>
      <c r="AL6" s="5"/>
    </row>
    <row r="7" spans="1:38" x14ac:dyDescent="0.3">
      <c r="A7" s="2" t="s">
        <v>51</v>
      </c>
      <c r="B7" s="2" t="s">
        <v>52</v>
      </c>
      <c r="C7" s="2">
        <v>2003</v>
      </c>
      <c r="D7" s="2">
        <v>2</v>
      </c>
      <c r="E7" s="2">
        <v>6</v>
      </c>
      <c r="F7" s="2">
        <v>6</v>
      </c>
      <c r="G7" s="6">
        <v>0</v>
      </c>
      <c r="H7" s="5"/>
      <c r="I7" s="10">
        <v>0</v>
      </c>
      <c r="J7" s="10">
        <v>0</v>
      </c>
      <c r="K7" s="4">
        <v>1.791759469228055</v>
      </c>
      <c r="L7" s="6">
        <v>34938000000</v>
      </c>
      <c r="M7" s="7">
        <v>836</v>
      </c>
      <c r="N7" s="4">
        <v>1.8672248803827749</v>
      </c>
      <c r="O7" s="10">
        <v>65237102870.8134</v>
      </c>
      <c r="P7" s="4">
        <v>24.901294206460179</v>
      </c>
      <c r="Q7" s="6">
        <v>0</v>
      </c>
      <c r="R7" s="3">
        <v>0</v>
      </c>
      <c r="S7" s="3">
        <v>0</v>
      </c>
      <c r="T7" s="4">
        <v>0</v>
      </c>
      <c r="U7" s="3">
        <v>0</v>
      </c>
      <c r="V7" s="4">
        <v>0</v>
      </c>
      <c r="W7" s="5">
        <v>1</v>
      </c>
      <c r="X7" s="5">
        <v>0</v>
      </c>
      <c r="Y7" s="5">
        <v>0</v>
      </c>
      <c r="Z7" s="9" t="s">
        <v>41</v>
      </c>
      <c r="AA7" s="9" t="s">
        <v>42</v>
      </c>
      <c r="AB7" s="3">
        <v>106.5808054098238</v>
      </c>
      <c r="AC7" s="4">
        <v>4.6689034336971273</v>
      </c>
      <c r="AD7" s="3">
        <v>0</v>
      </c>
      <c r="AE7" s="3">
        <v>0</v>
      </c>
      <c r="AF7" s="4">
        <v>0</v>
      </c>
      <c r="AG7" s="4">
        <v>0</v>
      </c>
      <c r="AH7" s="4">
        <v>4.8000000000000001E-2</v>
      </c>
      <c r="AI7" s="4">
        <v>-3.0365542680742461</v>
      </c>
      <c r="AJ7" s="5"/>
      <c r="AK7" s="5"/>
      <c r="AL7" s="5"/>
    </row>
    <row r="8" spans="1:38" x14ac:dyDescent="0.3">
      <c r="A8" s="2" t="s">
        <v>53</v>
      </c>
      <c r="B8" s="2" t="s">
        <v>54</v>
      </c>
      <c r="C8" s="2">
        <v>2003</v>
      </c>
      <c r="D8" s="2">
        <v>3</v>
      </c>
      <c r="E8" s="2">
        <v>7</v>
      </c>
      <c r="F8" s="2">
        <v>7</v>
      </c>
      <c r="G8" s="6">
        <v>0</v>
      </c>
      <c r="H8" s="5"/>
      <c r="I8" s="10">
        <v>0</v>
      </c>
      <c r="J8" s="10">
        <v>0</v>
      </c>
      <c r="K8" s="4">
        <v>1.945910149055313</v>
      </c>
      <c r="L8" s="6">
        <v>35703000000</v>
      </c>
      <c r="M8" s="7">
        <v>841</v>
      </c>
      <c r="N8" s="4">
        <v>1.8561236623067781</v>
      </c>
      <c r="O8" s="10">
        <v>66269183115.338882</v>
      </c>
      <c r="P8" s="4">
        <v>24.916990816357309</v>
      </c>
      <c r="Q8" s="6">
        <v>0</v>
      </c>
      <c r="R8" s="3">
        <v>0</v>
      </c>
      <c r="S8" s="3">
        <v>0</v>
      </c>
      <c r="T8" s="4">
        <v>0</v>
      </c>
      <c r="U8" s="3">
        <v>0</v>
      </c>
      <c r="V8" s="4">
        <v>0</v>
      </c>
      <c r="W8" s="5">
        <v>0</v>
      </c>
      <c r="X8" s="5">
        <v>1</v>
      </c>
      <c r="Y8" s="5">
        <v>0</v>
      </c>
      <c r="Z8" s="9" t="s">
        <v>41</v>
      </c>
      <c r="AA8" s="9" t="s">
        <v>42</v>
      </c>
      <c r="AB8" s="3">
        <v>107.7644384666435</v>
      </c>
      <c r="AC8" s="4">
        <v>4.6799477196971271</v>
      </c>
      <c r="AD8" s="3">
        <v>0</v>
      </c>
      <c r="AE8" s="3">
        <v>0</v>
      </c>
      <c r="AF8" s="4">
        <v>0</v>
      </c>
      <c r="AG8" s="4">
        <v>0</v>
      </c>
      <c r="AH8" s="4">
        <v>4.4999999999999998E-2</v>
      </c>
      <c r="AI8" s="4">
        <v>-3.1010927892118172</v>
      </c>
      <c r="AJ8" s="5"/>
      <c r="AK8" s="5"/>
      <c r="AL8" s="5"/>
    </row>
    <row r="9" spans="1:38" x14ac:dyDescent="0.3">
      <c r="A9" s="2" t="s">
        <v>55</v>
      </c>
      <c r="B9" s="2" t="s">
        <v>56</v>
      </c>
      <c r="C9" s="2">
        <v>2003</v>
      </c>
      <c r="D9" s="2">
        <v>4</v>
      </c>
      <c r="E9" s="2">
        <v>8</v>
      </c>
      <c r="F9" s="2">
        <v>8</v>
      </c>
      <c r="G9" s="6">
        <v>0</v>
      </c>
      <c r="H9" s="5"/>
      <c r="I9" s="10">
        <v>0</v>
      </c>
      <c r="J9" s="10">
        <v>0</v>
      </c>
      <c r="K9" s="4">
        <v>2.0794415416798362</v>
      </c>
      <c r="L9" s="6">
        <v>36381000000</v>
      </c>
      <c r="M9" s="7">
        <v>847</v>
      </c>
      <c r="N9" s="4">
        <v>1.8429752066115701</v>
      </c>
      <c r="O9" s="10">
        <v>67049280991.735542</v>
      </c>
      <c r="P9" s="4">
        <v>24.928693723152549</v>
      </c>
      <c r="Q9" s="6">
        <v>0</v>
      </c>
      <c r="R9" s="3">
        <v>0</v>
      </c>
      <c r="S9" s="3">
        <v>0</v>
      </c>
      <c r="T9" s="4">
        <v>0</v>
      </c>
      <c r="U9" s="3">
        <v>0</v>
      </c>
      <c r="V9" s="4">
        <v>0</v>
      </c>
      <c r="W9" s="5">
        <v>0</v>
      </c>
      <c r="X9" s="5">
        <v>0</v>
      </c>
      <c r="Y9" s="5">
        <v>1</v>
      </c>
      <c r="Z9" s="9" t="s">
        <v>41</v>
      </c>
      <c r="AA9" s="9" t="s">
        <v>42</v>
      </c>
      <c r="AB9" s="3">
        <v>103.3551724423728</v>
      </c>
      <c r="AC9" s="4">
        <v>4.6381713326971266</v>
      </c>
      <c r="AD9" s="3">
        <v>0</v>
      </c>
      <c r="AE9" s="3">
        <v>0</v>
      </c>
      <c r="AF9" s="4">
        <v>0</v>
      </c>
      <c r="AG9" s="4">
        <v>0</v>
      </c>
      <c r="AH9" s="4">
        <v>4.7E-2</v>
      </c>
      <c r="AI9" s="4">
        <v>-3.0576076772720779</v>
      </c>
      <c r="AJ9" s="5"/>
      <c r="AK9" s="5"/>
      <c r="AL9" s="5"/>
    </row>
    <row r="10" spans="1:38" x14ac:dyDescent="0.3">
      <c r="A10" s="2" t="s">
        <v>57</v>
      </c>
      <c r="B10" s="2" t="s">
        <v>58</v>
      </c>
      <c r="C10" s="2">
        <v>2004</v>
      </c>
      <c r="D10" s="2">
        <v>1</v>
      </c>
      <c r="E10" s="2">
        <v>9</v>
      </c>
      <c r="F10" s="2">
        <v>9</v>
      </c>
      <c r="G10" s="6">
        <v>0</v>
      </c>
      <c r="H10" s="5"/>
      <c r="I10" s="10">
        <v>0</v>
      </c>
      <c r="J10" s="10">
        <v>0</v>
      </c>
      <c r="K10" s="4">
        <v>2.19722457733622</v>
      </c>
      <c r="L10" s="6">
        <v>37466000000</v>
      </c>
      <c r="M10" s="7">
        <v>850</v>
      </c>
      <c r="N10" s="4">
        <v>1.8364705882352941</v>
      </c>
      <c r="O10" s="10">
        <v>68805207058.823532</v>
      </c>
      <c r="P10" s="4">
        <v>24.95454526301635</v>
      </c>
      <c r="Q10" s="6">
        <v>0</v>
      </c>
      <c r="R10" s="3">
        <v>0</v>
      </c>
      <c r="S10" s="3">
        <v>0</v>
      </c>
      <c r="T10" s="4">
        <v>0</v>
      </c>
      <c r="U10" s="3">
        <v>0</v>
      </c>
      <c r="V10" s="4">
        <v>0</v>
      </c>
      <c r="W10" s="5">
        <v>0</v>
      </c>
      <c r="X10" s="5">
        <v>0</v>
      </c>
      <c r="Y10" s="5">
        <v>0</v>
      </c>
      <c r="Z10" s="9" t="s">
        <v>41</v>
      </c>
      <c r="AA10" s="9" t="s">
        <v>42</v>
      </c>
      <c r="AB10" s="3">
        <v>112.6741083071462</v>
      </c>
      <c r="AC10" s="4">
        <v>4.7244996546971274</v>
      </c>
      <c r="AD10" s="3">
        <v>0</v>
      </c>
      <c r="AE10" s="3">
        <v>0</v>
      </c>
      <c r="AF10" s="4">
        <v>0</v>
      </c>
      <c r="AG10" s="4">
        <v>0</v>
      </c>
      <c r="AH10" s="4">
        <v>4.2999999999999997E-2</v>
      </c>
      <c r="AI10" s="4">
        <v>-3.1465551632885749</v>
      </c>
      <c r="AJ10" s="5"/>
      <c r="AK10" s="5"/>
      <c r="AL10" s="5"/>
    </row>
    <row r="11" spans="1:38" x14ac:dyDescent="0.3">
      <c r="A11" s="2" t="s">
        <v>59</v>
      </c>
      <c r="B11" s="2" t="s">
        <v>60</v>
      </c>
      <c r="C11" s="2">
        <v>2004</v>
      </c>
      <c r="D11" s="2">
        <v>2</v>
      </c>
      <c r="E11" s="2">
        <v>10</v>
      </c>
      <c r="F11" s="2">
        <v>10</v>
      </c>
      <c r="G11" s="6">
        <v>0</v>
      </c>
      <c r="H11" s="5"/>
      <c r="I11" s="10">
        <v>0</v>
      </c>
      <c r="J11" s="10">
        <v>0</v>
      </c>
      <c r="K11" s="4">
        <v>2.3025850929940459</v>
      </c>
      <c r="L11" s="6">
        <v>38019000000</v>
      </c>
      <c r="M11" s="7">
        <v>862</v>
      </c>
      <c r="N11" s="4">
        <v>1.8109048723897909</v>
      </c>
      <c r="O11" s="10">
        <v>68848792343.387466</v>
      </c>
      <c r="P11" s="4">
        <v>24.955178521566189</v>
      </c>
      <c r="Q11" s="6">
        <v>0</v>
      </c>
      <c r="R11" s="3">
        <v>0</v>
      </c>
      <c r="S11" s="3">
        <v>0</v>
      </c>
      <c r="T11" s="4">
        <v>0</v>
      </c>
      <c r="U11" s="3">
        <v>0</v>
      </c>
      <c r="V11" s="4">
        <v>0</v>
      </c>
      <c r="W11" s="5">
        <v>1</v>
      </c>
      <c r="X11" s="5">
        <v>0</v>
      </c>
      <c r="Y11" s="5">
        <v>0</v>
      </c>
      <c r="Z11" s="9" t="s">
        <v>41</v>
      </c>
      <c r="AA11" s="9" t="s">
        <v>42</v>
      </c>
      <c r="AB11" s="3">
        <v>125.6519004338724</v>
      </c>
      <c r="AC11" s="4">
        <v>4.8335153886971272</v>
      </c>
      <c r="AD11" s="3">
        <v>0</v>
      </c>
      <c r="AE11" s="3">
        <v>0</v>
      </c>
      <c r="AF11" s="4">
        <v>0</v>
      </c>
      <c r="AG11" s="4">
        <v>0</v>
      </c>
      <c r="AH11" s="4">
        <v>4.2000000000000003E-2</v>
      </c>
      <c r="AI11" s="4">
        <v>-3.1700856606987688</v>
      </c>
      <c r="AJ11" s="5"/>
      <c r="AK11" s="5"/>
      <c r="AL11" s="5"/>
    </row>
    <row r="12" spans="1:38" x14ac:dyDescent="0.3">
      <c r="A12" s="2" t="s">
        <v>61</v>
      </c>
      <c r="B12" s="2" t="s">
        <v>62</v>
      </c>
      <c r="C12" s="2">
        <v>2004</v>
      </c>
      <c r="D12" s="2">
        <v>3</v>
      </c>
      <c r="E12" s="2">
        <v>11</v>
      </c>
      <c r="F12" s="2">
        <v>11</v>
      </c>
      <c r="G12" s="6">
        <v>0</v>
      </c>
      <c r="H12" s="5"/>
      <c r="I12" s="10">
        <v>0</v>
      </c>
      <c r="J12" s="10">
        <v>0</v>
      </c>
      <c r="K12" s="4">
        <v>2.3978952727983711</v>
      </c>
      <c r="L12" s="6">
        <v>38645000000</v>
      </c>
      <c r="M12" s="7">
        <v>875</v>
      </c>
      <c r="N12" s="4">
        <v>1.784</v>
      </c>
      <c r="O12" s="10">
        <v>68942680000</v>
      </c>
      <c r="P12" s="4">
        <v>24.95654127166306</v>
      </c>
      <c r="Q12" s="6">
        <v>0</v>
      </c>
      <c r="R12" s="3">
        <v>0</v>
      </c>
      <c r="S12" s="3">
        <v>0</v>
      </c>
      <c r="T12" s="4">
        <v>0</v>
      </c>
      <c r="U12" s="3">
        <v>0</v>
      </c>
      <c r="V12" s="4">
        <v>0</v>
      </c>
      <c r="W12" s="5">
        <v>0</v>
      </c>
      <c r="X12" s="5">
        <v>1</v>
      </c>
      <c r="Y12" s="5">
        <v>0</v>
      </c>
      <c r="Z12" s="9" t="s">
        <v>41</v>
      </c>
      <c r="AA12" s="9" t="s">
        <v>42</v>
      </c>
      <c r="AB12" s="3">
        <v>133.3762712132141</v>
      </c>
      <c r="AC12" s="4">
        <v>4.8931742406971273</v>
      </c>
      <c r="AD12" s="3">
        <v>0</v>
      </c>
      <c r="AE12" s="3">
        <v>0</v>
      </c>
      <c r="AF12" s="4">
        <v>0</v>
      </c>
      <c r="AG12" s="4">
        <v>0</v>
      </c>
      <c r="AH12" s="4">
        <v>3.9E-2</v>
      </c>
      <c r="AI12" s="4">
        <v>-3.244193632852491</v>
      </c>
      <c r="AJ12" s="5"/>
      <c r="AK12" s="5"/>
      <c r="AL12" s="5"/>
    </row>
    <row r="13" spans="1:38" x14ac:dyDescent="0.3">
      <c r="A13" s="2" t="s">
        <v>63</v>
      </c>
      <c r="B13" s="2" t="s">
        <v>64</v>
      </c>
      <c r="C13" s="2">
        <v>2004</v>
      </c>
      <c r="D13" s="2">
        <v>4</v>
      </c>
      <c r="E13" s="2">
        <v>12</v>
      </c>
      <c r="F13" s="2">
        <v>12</v>
      </c>
      <c r="G13" s="6">
        <v>0</v>
      </c>
      <c r="H13" s="5"/>
      <c r="I13" s="10">
        <v>0</v>
      </c>
      <c r="J13" s="10">
        <v>0</v>
      </c>
      <c r="K13" s="4">
        <v>2.4849066497879999</v>
      </c>
      <c r="L13" s="6">
        <v>38871000000</v>
      </c>
      <c r="M13" s="7">
        <v>879</v>
      </c>
      <c r="N13" s="4">
        <v>1.775881683731513</v>
      </c>
      <c r="O13" s="10">
        <v>69030296928.327637</v>
      </c>
      <c r="P13" s="4">
        <v>24.957811331091449</v>
      </c>
      <c r="Q13" s="6">
        <v>0</v>
      </c>
      <c r="R13" s="3">
        <v>0</v>
      </c>
      <c r="S13" s="3">
        <v>0</v>
      </c>
      <c r="T13" s="4">
        <v>0</v>
      </c>
      <c r="U13" s="3">
        <v>0</v>
      </c>
      <c r="V13" s="4">
        <v>0</v>
      </c>
      <c r="W13" s="5">
        <v>0</v>
      </c>
      <c r="X13" s="5">
        <v>0</v>
      </c>
      <c r="Y13" s="5">
        <v>1</v>
      </c>
      <c r="Z13" s="9" t="s">
        <v>41</v>
      </c>
      <c r="AA13" s="9" t="s">
        <v>42</v>
      </c>
      <c r="AB13" s="3">
        <v>138.74392761017631</v>
      </c>
      <c r="AC13" s="4">
        <v>4.932629986697127</v>
      </c>
      <c r="AD13" s="3">
        <v>0</v>
      </c>
      <c r="AE13" s="3">
        <v>0</v>
      </c>
      <c r="AF13" s="4">
        <v>0</v>
      </c>
      <c r="AG13" s="4">
        <v>0</v>
      </c>
      <c r="AH13" s="4">
        <v>3.7000000000000012E-2</v>
      </c>
      <c r="AI13" s="4">
        <v>-3.296837366337912</v>
      </c>
      <c r="AJ13" s="5"/>
      <c r="AK13" s="5"/>
      <c r="AL13" s="5"/>
    </row>
    <row r="14" spans="1:38" x14ac:dyDescent="0.3">
      <c r="A14" s="2" t="s">
        <v>65</v>
      </c>
      <c r="B14" s="2" t="s">
        <v>66</v>
      </c>
      <c r="C14" s="2">
        <v>2005</v>
      </c>
      <c r="D14" s="2">
        <v>1</v>
      </c>
      <c r="E14" s="2">
        <v>13</v>
      </c>
      <c r="F14" s="2">
        <v>13</v>
      </c>
      <c r="G14" s="6">
        <v>0</v>
      </c>
      <c r="H14" s="5"/>
      <c r="I14" s="10">
        <v>0</v>
      </c>
      <c r="J14" s="10">
        <v>0</v>
      </c>
      <c r="K14" s="4">
        <v>2.5649493574615372</v>
      </c>
      <c r="L14" s="6">
        <v>39022000000</v>
      </c>
      <c r="M14" s="7">
        <v>880</v>
      </c>
      <c r="N14" s="4">
        <v>1.773863636363636</v>
      </c>
      <c r="O14" s="10">
        <v>69219706818.181824</v>
      </c>
      <c r="P14" s="4">
        <v>24.9605514396373</v>
      </c>
      <c r="Q14" s="6">
        <v>0</v>
      </c>
      <c r="R14" s="3">
        <v>0</v>
      </c>
      <c r="S14" s="3">
        <v>0</v>
      </c>
      <c r="T14" s="4">
        <v>0</v>
      </c>
      <c r="U14" s="3">
        <v>0</v>
      </c>
      <c r="V14" s="4">
        <v>0</v>
      </c>
      <c r="W14" s="5">
        <v>0</v>
      </c>
      <c r="X14" s="5">
        <v>0</v>
      </c>
      <c r="Y14" s="5">
        <v>0</v>
      </c>
      <c r="Z14" s="9" t="s">
        <v>41</v>
      </c>
      <c r="AA14" s="9" t="s">
        <v>42</v>
      </c>
      <c r="AB14" s="3">
        <v>135.96529559138611</v>
      </c>
      <c r="AC14" s="4">
        <v>4.9123996736971272</v>
      </c>
      <c r="AD14" s="3">
        <v>0</v>
      </c>
      <c r="AE14" s="3">
        <v>0</v>
      </c>
      <c r="AF14" s="4">
        <v>0</v>
      </c>
      <c r="AG14" s="4">
        <v>0</v>
      </c>
      <c r="AH14" s="4">
        <v>3.9E-2</v>
      </c>
      <c r="AI14" s="4">
        <v>-3.244193632852491</v>
      </c>
      <c r="AJ14" s="5"/>
      <c r="AK14" s="5"/>
      <c r="AL14" s="5"/>
    </row>
    <row r="15" spans="1:38" x14ac:dyDescent="0.3">
      <c r="A15" s="2" t="s">
        <v>67</v>
      </c>
      <c r="B15" s="2" t="s">
        <v>68</v>
      </c>
      <c r="C15" s="2">
        <v>2005</v>
      </c>
      <c r="D15" s="2">
        <v>2</v>
      </c>
      <c r="E15" s="2">
        <v>14</v>
      </c>
      <c r="F15" s="2">
        <v>14</v>
      </c>
      <c r="G15" s="6">
        <v>0</v>
      </c>
      <c r="H15" s="5"/>
      <c r="I15" s="10">
        <v>0</v>
      </c>
      <c r="J15" s="10">
        <v>0</v>
      </c>
      <c r="K15" s="4">
        <v>2.639057329615258</v>
      </c>
      <c r="L15" s="6">
        <v>40272000000</v>
      </c>
      <c r="M15" s="7">
        <v>886</v>
      </c>
      <c r="N15" s="4">
        <v>1.7618510158013549</v>
      </c>
      <c r="O15" s="10">
        <v>70953264108.352142</v>
      </c>
      <c r="P15" s="4">
        <v>24.985287245249719</v>
      </c>
      <c r="Q15" s="6">
        <v>0</v>
      </c>
      <c r="R15" s="3">
        <v>0</v>
      </c>
      <c r="S15" s="3">
        <v>0</v>
      </c>
      <c r="T15" s="4">
        <v>0</v>
      </c>
      <c r="U15" s="3">
        <v>0</v>
      </c>
      <c r="V15" s="4">
        <v>0</v>
      </c>
      <c r="W15" s="5">
        <v>1</v>
      </c>
      <c r="X15" s="5">
        <v>0</v>
      </c>
      <c r="Y15" s="5">
        <v>0</v>
      </c>
      <c r="Z15" s="9" t="s">
        <v>41</v>
      </c>
      <c r="AA15" s="9" t="s">
        <v>42</v>
      </c>
      <c r="AB15" s="3">
        <v>147.22168362734701</v>
      </c>
      <c r="AC15" s="4">
        <v>4.9919395026971269</v>
      </c>
      <c r="AD15" s="3">
        <v>0</v>
      </c>
      <c r="AE15" s="3">
        <v>0</v>
      </c>
      <c r="AF15" s="4">
        <v>0</v>
      </c>
      <c r="AG15" s="4">
        <v>0</v>
      </c>
      <c r="AH15" s="4">
        <v>3.7999999999999999E-2</v>
      </c>
      <c r="AI15" s="4">
        <v>-3.2701691192557512</v>
      </c>
      <c r="AJ15" s="5"/>
      <c r="AK15" s="5"/>
      <c r="AL15" s="5"/>
    </row>
    <row r="16" spans="1:38" x14ac:dyDescent="0.3">
      <c r="A16" s="2" t="s">
        <v>69</v>
      </c>
      <c r="B16" s="2" t="s">
        <v>70</v>
      </c>
      <c r="C16" s="2">
        <v>2005</v>
      </c>
      <c r="D16" s="2">
        <v>3</v>
      </c>
      <c r="E16" s="2">
        <v>15</v>
      </c>
      <c r="F16" s="2">
        <v>15</v>
      </c>
      <c r="G16" s="6">
        <v>0</v>
      </c>
      <c r="H16" s="5"/>
      <c r="I16" s="10">
        <v>0</v>
      </c>
      <c r="J16" s="10">
        <v>0</v>
      </c>
      <c r="K16" s="4">
        <v>2.7080502011022101</v>
      </c>
      <c r="L16" s="6">
        <v>40823000000</v>
      </c>
      <c r="M16" s="7">
        <v>896</v>
      </c>
      <c r="N16" s="4">
        <v>1.7421875</v>
      </c>
      <c r="O16" s="10">
        <v>71121320312.5</v>
      </c>
      <c r="P16" s="4">
        <v>24.987652992553699</v>
      </c>
      <c r="Q16" s="6">
        <v>0</v>
      </c>
      <c r="R16" s="3">
        <v>0</v>
      </c>
      <c r="S16" s="3">
        <v>0</v>
      </c>
      <c r="T16" s="4">
        <v>0</v>
      </c>
      <c r="U16" s="3">
        <v>0</v>
      </c>
      <c r="V16" s="4">
        <v>0</v>
      </c>
      <c r="W16" s="5">
        <v>0</v>
      </c>
      <c r="X16" s="5">
        <v>1</v>
      </c>
      <c r="Y16" s="5">
        <v>0</v>
      </c>
      <c r="Z16" s="9" t="s">
        <v>41</v>
      </c>
      <c r="AA16" s="9" t="s">
        <v>42</v>
      </c>
      <c r="AB16" s="3">
        <v>164.6311474812228</v>
      </c>
      <c r="AC16" s="4">
        <v>5.1037075016971274</v>
      </c>
      <c r="AD16" s="3">
        <v>0</v>
      </c>
      <c r="AE16" s="3">
        <v>0</v>
      </c>
      <c r="AF16" s="4">
        <v>0</v>
      </c>
      <c r="AG16" s="4">
        <v>0</v>
      </c>
      <c r="AH16" s="4">
        <v>3.7999999999999999E-2</v>
      </c>
      <c r="AI16" s="4">
        <v>-3.2701691192557512</v>
      </c>
      <c r="AJ16" s="5"/>
      <c r="AK16" s="5"/>
      <c r="AL16" s="5"/>
    </row>
    <row r="17" spans="1:38" x14ac:dyDescent="0.3">
      <c r="A17" s="2" t="s">
        <v>71</v>
      </c>
      <c r="B17" s="2" t="s">
        <v>72</v>
      </c>
      <c r="C17" s="2">
        <v>2005</v>
      </c>
      <c r="D17" s="2">
        <v>4</v>
      </c>
      <c r="E17" s="2">
        <v>16</v>
      </c>
      <c r="F17" s="2">
        <v>16</v>
      </c>
      <c r="G17" s="6">
        <v>0</v>
      </c>
      <c r="H17" s="5"/>
      <c r="I17" s="10">
        <v>0</v>
      </c>
      <c r="J17" s="10">
        <v>0</v>
      </c>
      <c r="K17" s="4">
        <v>2.7725887222397811</v>
      </c>
      <c r="L17" s="6">
        <v>40680000000</v>
      </c>
      <c r="M17" s="7">
        <v>893</v>
      </c>
      <c r="N17" s="4">
        <v>1.7480403135498319</v>
      </c>
      <c r="O17" s="10">
        <v>71110279955.207169</v>
      </c>
      <c r="P17" s="4">
        <v>24.987497747765701</v>
      </c>
      <c r="Q17" s="6">
        <v>0</v>
      </c>
      <c r="R17" s="3">
        <v>0</v>
      </c>
      <c r="S17" s="3">
        <v>0</v>
      </c>
      <c r="T17" s="4">
        <v>0</v>
      </c>
      <c r="U17" s="3">
        <v>0</v>
      </c>
      <c r="V17" s="4">
        <v>0</v>
      </c>
      <c r="W17" s="5">
        <v>0</v>
      </c>
      <c r="X17" s="5">
        <v>0</v>
      </c>
      <c r="Y17" s="5">
        <v>1</v>
      </c>
      <c r="Z17" s="9" t="s">
        <v>41</v>
      </c>
      <c r="AA17" s="9" t="s">
        <v>42</v>
      </c>
      <c r="AB17" s="3">
        <v>164.23279100543141</v>
      </c>
      <c r="AC17" s="4">
        <v>5.1012848786971272</v>
      </c>
      <c r="AD17" s="3">
        <v>0</v>
      </c>
      <c r="AE17" s="3">
        <v>0</v>
      </c>
      <c r="AF17" s="4">
        <v>0</v>
      </c>
      <c r="AG17" s="4">
        <v>0</v>
      </c>
      <c r="AH17" s="4">
        <v>3.7000000000000012E-2</v>
      </c>
      <c r="AI17" s="4">
        <v>-3.296837366337912</v>
      </c>
      <c r="AJ17" s="5"/>
      <c r="AK17" s="5"/>
      <c r="AL17" s="5"/>
    </row>
    <row r="18" spans="1:38" x14ac:dyDescent="0.3">
      <c r="A18" s="2" t="s">
        <v>73</v>
      </c>
      <c r="B18" s="2" t="s">
        <v>74</v>
      </c>
      <c r="C18" s="2">
        <v>2006</v>
      </c>
      <c r="D18" s="2">
        <v>1</v>
      </c>
      <c r="E18" s="2">
        <v>17</v>
      </c>
      <c r="F18" s="2">
        <v>17</v>
      </c>
      <c r="G18" s="6">
        <v>0</v>
      </c>
      <c r="H18" s="5"/>
      <c r="I18" s="10">
        <v>0</v>
      </c>
      <c r="J18" s="10">
        <v>0</v>
      </c>
      <c r="K18" s="4">
        <v>2.8332133440562162</v>
      </c>
      <c r="L18" s="6">
        <v>41175000000</v>
      </c>
      <c r="M18" s="7">
        <v>896</v>
      </c>
      <c r="N18" s="4">
        <v>1.7421875</v>
      </c>
      <c r="O18" s="10">
        <v>71734570312.5</v>
      </c>
      <c r="P18" s="4">
        <v>24.996238620550621</v>
      </c>
      <c r="Q18" s="6">
        <v>0</v>
      </c>
      <c r="R18" s="3">
        <v>0</v>
      </c>
      <c r="S18" s="3">
        <v>0</v>
      </c>
      <c r="T18" s="4">
        <v>0</v>
      </c>
      <c r="U18" s="3">
        <v>0</v>
      </c>
      <c r="V18" s="4">
        <v>0</v>
      </c>
      <c r="W18" s="5">
        <v>0</v>
      </c>
      <c r="X18" s="5">
        <v>0</v>
      </c>
      <c r="Y18" s="5">
        <v>0</v>
      </c>
      <c r="Z18" s="9" t="s">
        <v>41</v>
      </c>
      <c r="AA18" s="9" t="s">
        <v>42</v>
      </c>
      <c r="AB18" s="3">
        <v>176.75466995938061</v>
      </c>
      <c r="AC18" s="4">
        <v>5.1747627256971267</v>
      </c>
      <c r="AD18" s="3">
        <v>0</v>
      </c>
      <c r="AE18" s="3">
        <v>0</v>
      </c>
      <c r="AF18" s="4">
        <v>0</v>
      </c>
      <c r="AG18" s="4">
        <v>0</v>
      </c>
      <c r="AH18" s="4">
        <v>4.0999999999999988E-2</v>
      </c>
      <c r="AI18" s="4">
        <v>-3.1941832122778289</v>
      </c>
      <c r="AJ18" s="5"/>
      <c r="AK18" s="5"/>
      <c r="AL18" s="5"/>
    </row>
    <row r="19" spans="1:38" x14ac:dyDescent="0.3">
      <c r="A19" s="2" t="s">
        <v>75</v>
      </c>
      <c r="B19" s="2" t="s">
        <v>76</v>
      </c>
      <c r="C19" s="2">
        <v>2006</v>
      </c>
      <c r="D19" s="2">
        <v>2</v>
      </c>
      <c r="E19" s="2">
        <v>18</v>
      </c>
      <c r="F19" s="2">
        <v>18</v>
      </c>
      <c r="G19" s="6">
        <v>0</v>
      </c>
      <c r="H19" s="5"/>
      <c r="I19" s="10">
        <v>0</v>
      </c>
      <c r="J19" s="10">
        <v>0</v>
      </c>
      <c r="K19" s="4">
        <v>2.890371757896165</v>
      </c>
      <c r="L19" s="6">
        <v>41785000000</v>
      </c>
      <c r="M19" s="7">
        <v>913</v>
      </c>
      <c r="N19" s="4">
        <v>1.7097480832420591</v>
      </c>
      <c r="O19" s="10">
        <v>71441823658.26944</v>
      </c>
      <c r="P19" s="4">
        <v>24.992149300320271</v>
      </c>
      <c r="Q19" s="6">
        <v>0</v>
      </c>
      <c r="R19" s="3">
        <v>0</v>
      </c>
      <c r="S19" s="3">
        <v>0</v>
      </c>
      <c r="T19" s="4">
        <v>0</v>
      </c>
      <c r="U19" s="3">
        <v>0</v>
      </c>
      <c r="V19" s="4">
        <v>0</v>
      </c>
      <c r="W19" s="5">
        <v>1</v>
      </c>
      <c r="X19" s="5">
        <v>0</v>
      </c>
      <c r="Y19" s="5">
        <v>0</v>
      </c>
      <c r="Z19" s="9" t="s">
        <v>41</v>
      </c>
      <c r="AA19" s="9" t="s">
        <v>42</v>
      </c>
      <c r="AB19" s="3">
        <v>205.93688733691079</v>
      </c>
      <c r="AC19" s="4">
        <v>5.327569749697127</v>
      </c>
      <c r="AD19" s="3">
        <v>0</v>
      </c>
      <c r="AE19" s="3">
        <v>0</v>
      </c>
      <c r="AF19" s="4">
        <v>0</v>
      </c>
      <c r="AG19" s="4">
        <v>0</v>
      </c>
      <c r="AH19" s="4">
        <v>3.7000000000000012E-2</v>
      </c>
      <c r="AI19" s="4">
        <v>-3.296837366337912</v>
      </c>
      <c r="AJ19" s="5"/>
      <c r="AK19" s="5"/>
      <c r="AL19" s="5"/>
    </row>
    <row r="20" spans="1:38" x14ac:dyDescent="0.3">
      <c r="A20" s="2" t="s">
        <v>77</v>
      </c>
      <c r="B20" s="2" t="s">
        <v>78</v>
      </c>
      <c r="C20" s="2">
        <v>2006</v>
      </c>
      <c r="D20" s="2">
        <v>3</v>
      </c>
      <c r="E20" s="2">
        <v>19</v>
      </c>
      <c r="F20" s="2">
        <v>19</v>
      </c>
      <c r="G20" s="6">
        <v>0</v>
      </c>
      <c r="H20" s="5"/>
      <c r="I20" s="10">
        <v>0</v>
      </c>
      <c r="J20" s="10">
        <v>0</v>
      </c>
      <c r="K20" s="4">
        <v>2.9444389791664398</v>
      </c>
      <c r="L20" s="6">
        <v>42293000000</v>
      </c>
      <c r="M20" s="7">
        <v>908</v>
      </c>
      <c r="N20" s="4">
        <v>1.7191629955947141</v>
      </c>
      <c r="O20" s="10">
        <v>72708560572.687225</v>
      </c>
      <c r="P20" s="4">
        <v>25.009724966585122</v>
      </c>
      <c r="Q20" s="6">
        <v>0</v>
      </c>
      <c r="R20" s="3">
        <v>0</v>
      </c>
      <c r="S20" s="3">
        <v>0</v>
      </c>
      <c r="T20" s="4">
        <v>0</v>
      </c>
      <c r="U20" s="3">
        <v>0</v>
      </c>
      <c r="V20" s="4">
        <v>0</v>
      </c>
      <c r="W20" s="5">
        <v>0</v>
      </c>
      <c r="X20" s="5">
        <v>1</v>
      </c>
      <c r="Y20" s="5">
        <v>0</v>
      </c>
      <c r="Z20" s="9" t="s">
        <v>41</v>
      </c>
      <c r="AA20" s="9" t="s">
        <v>42</v>
      </c>
      <c r="AB20" s="3">
        <v>198.81132764347399</v>
      </c>
      <c r="AC20" s="4">
        <v>5.2923562726971269</v>
      </c>
      <c r="AD20" s="3">
        <v>0</v>
      </c>
      <c r="AE20" s="3">
        <v>0</v>
      </c>
      <c r="AF20" s="4">
        <v>0</v>
      </c>
      <c r="AG20" s="4">
        <v>0</v>
      </c>
      <c r="AH20" s="4">
        <v>3.9E-2</v>
      </c>
      <c r="AI20" s="4">
        <v>-3.244193632852491</v>
      </c>
      <c r="AJ20" s="5"/>
      <c r="AK20" s="5"/>
      <c r="AL20" s="5"/>
    </row>
    <row r="21" spans="1:38" x14ac:dyDescent="0.3">
      <c r="A21" s="2" t="s">
        <v>79</v>
      </c>
      <c r="B21" s="2" t="s">
        <v>80</v>
      </c>
      <c r="C21" s="2">
        <v>2006</v>
      </c>
      <c r="D21" s="2">
        <v>4</v>
      </c>
      <c r="E21" s="2">
        <v>20</v>
      </c>
      <c r="F21" s="2">
        <v>20</v>
      </c>
      <c r="G21" s="6">
        <v>0</v>
      </c>
      <c r="H21" s="5"/>
      <c r="I21" s="10">
        <v>0</v>
      </c>
      <c r="J21" s="10">
        <v>0</v>
      </c>
      <c r="K21" s="4">
        <v>2.9957322735539909</v>
      </c>
      <c r="L21" s="6">
        <v>43649000000</v>
      </c>
      <c r="M21" s="7">
        <v>930</v>
      </c>
      <c r="N21" s="4">
        <v>1.678494623655914</v>
      </c>
      <c r="O21" s="10">
        <v>73264611827.956985</v>
      </c>
      <c r="P21" s="4">
        <v>25.017343543830279</v>
      </c>
      <c r="Q21" s="6">
        <v>0</v>
      </c>
      <c r="R21" s="3">
        <v>0</v>
      </c>
      <c r="S21" s="3">
        <v>0</v>
      </c>
      <c r="T21" s="4">
        <v>0</v>
      </c>
      <c r="U21" s="3">
        <v>0</v>
      </c>
      <c r="V21" s="4">
        <v>0</v>
      </c>
      <c r="W21" s="5">
        <v>0</v>
      </c>
      <c r="X21" s="5">
        <v>0</v>
      </c>
      <c r="Y21" s="5">
        <v>1</v>
      </c>
      <c r="Z21" s="9" t="s">
        <v>41</v>
      </c>
      <c r="AA21" s="9" t="s">
        <v>42</v>
      </c>
      <c r="AB21" s="3">
        <v>162.9660975523116</v>
      </c>
      <c r="AC21" s="4">
        <v>5.0935421886971266</v>
      </c>
      <c r="AD21" s="3">
        <v>0</v>
      </c>
      <c r="AE21" s="3">
        <v>0</v>
      </c>
      <c r="AF21" s="4">
        <v>0</v>
      </c>
      <c r="AG21" s="4">
        <v>0</v>
      </c>
      <c r="AH21" s="4">
        <v>3.7999999999999999E-2</v>
      </c>
      <c r="AI21" s="4">
        <v>-3.2701691192557512</v>
      </c>
      <c r="AJ21" s="5"/>
      <c r="AK21" s="5"/>
      <c r="AL21" s="5"/>
    </row>
    <row r="22" spans="1:38" x14ac:dyDescent="0.3">
      <c r="A22" s="2" t="s">
        <v>81</v>
      </c>
      <c r="B22" s="2" t="s">
        <v>82</v>
      </c>
      <c r="C22" s="2">
        <v>2007</v>
      </c>
      <c r="D22" s="2">
        <v>1</v>
      </c>
      <c r="E22" s="2">
        <v>21</v>
      </c>
      <c r="F22" s="2">
        <v>21</v>
      </c>
      <c r="G22" s="6">
        <v>0</v>
      </c>
      <c r="H22" s="5"/>
      <c r="I22" s="10">
        <v>0</v>
      </c>
      <c r="J22" s="10">
        <v>0</v>
      </c>
      <c r="K22" s="4">
        <v>3.044522437723423</v>
      </c>
      <c r="L22" s="6">
        <v>44172000000</v>
      </c>
      <c r="M22" s="7">
        <v>934</v>
      </c>
      <c r="N22" s="4">
        <v>1.671306209850107</v>
      </c>
      <c r="O22" s="10">
        <v>73824937901.498932</v>
      </c>
      <c r="P22" s="4">
        <v>25.02496242341789</v>
      </c>
      <c r="Q22" s="6">
        <v>0</v>
      </c>
      <c r="R22" s="3">
        <v>0</v>
      </c>
      <c r="S22" s="3">
        <v>0</v>
      </c>
      <c r="T22" s="4">
        <v>0</v>
      </c>
      <c r="U22" s="3">
        <v>0</v>
      </c>
      <c r="V22" s="4">
        <v>0</v>
      </c>
      <c r="W22" s="5">
        <v>0</v>
      </c>
      <c r="X22" s="5">
        <v>0</v>
      </c>
      <c r="Y22" s="5">
        <v>0</v>
      </c>
      <c r="Z22" s="9" t="s">
        <v>41</v>
      </c>
      <c r="AA22" s="9" t="s">
        <v>42</v>
      </c>
      <c r="AB22" s="3">
        <v>154.04999994676811</v>
      </c>
      <c r="AC22" s="4">
        <v>5.0372772246971271</v>
      </c>
      <c r="AD22" s="3">
        <v>0</v>
      </c>
      <c r="AE22" s="3">
        <v>0</v>
      </c>
      <c r="AF22" s="4">
        <v>0</v>
      </c>
      <c r="AG22" s="4">
        <v>0</v>
      </c>
      <c r="AH22" s="4">
        <v>3.9E-2</v>
      </c>
      <c r="AI22" s="4">
        <v>-3.244193632852491</v>
      </c>
      <c r="AJ22" s="5"/>
      <c r="AK22" s="5"/>
      <c r="AL22" s="5"/>
    </row>
    <row r="23" spans="1:38" x14ac:dyDescent="0.3">
      <c r="A23" s="2" t="s">
        <v>83</v>
      </c>
      <c r="B23" s="2" t="s">
        <v>84</v>
      </c>
      <c r="C23" s="2">
        <v>2007</v>
      </c>
      <c r="D23" s="2">
        <v>2</v>
      </c>
      <c r="E23" s="2">
        <v>22</v>
      </c>
      <c r="F23" s="2">
        <v>22</v>
      </c>
      <c r="G23" s="6">
        <v>0</v>
      </c>
      <c r="H23" s="5"/>
      <c r="I23" s="10">
        <v>0</v>
      </c>
      <c r="J23" s="10">
        <v>0</v>
      </c>
      <c r="K23" s="4">
        <v>3.0910424533583161</v>
      </c>
      <c r="L23" s="6">
        <v>45244000000</v>
      </c>
      <c r="M23" s="7">
        <v>944</v>
      </c>
      <c r="N23" s="4">
        <v>1.6536016949152541</v>
      </c>
      <c r="O23" s="10">
        <v>74815555084.745773</v>
      </c>
      <c r="P23" s="4">
        <v>25.038291655985478</v>
      </c>
      <c r="Q23" s="6">
        <v>0</v>
      </c>
      <c r="R23" s="3">
        <v>0</v>
      </c>
      <c r="S23" s="3">
        <v>0</v>
      </c>
      <c r="T23" s="4">
        <v>0</v>
      </c>
      <c r="U23" s="3">
        <v>0</v>
      </c>
      <c r="V23" s="4">
        <v>0</v>
      </c>
      <c r="W23" s="5">
        <v>1</v>
      </c>
      <c r="X23" s="5">
        <v>0</v>
      </c>
      <c r="Y23" s="5">
        <v>0</v>
      </c>
      <c r="Z23" s="9" t="s">
        <v>41</v>
      </c>
      <c r="AA23" s="9" t="s">
        <v>42</v>
      </c>
      <c r="AB23" s="3">
        <v>159.81093746420819</v>
      </c>
      <c r="AC23" s="4">
        <v>5.0739914756971274</v>
      </c>
      <c r="AD23" s="3">
        <v>0</v>
      </c>
      <c r="AE23" s="3">
        <v>0</v>
      </c>
      <c r="AF23" s="4">
        <v>0</v>
      </c>
      <c r="AG23" s="4">
        <v>0</v>
      </c>
      <c r="AH23" s="4">
        <v>3.5999999999999997E-2</v>
      </c>
      <c r="AI23" s="4">
        <v>-3.3242363405260269</v>
      </c>
      <c r="AJ23" s="5"/>
      <c r="AK23" s="5"/>
      <c r="AL23" s="5"/>
    </row>
    <row r="24" spans="1:38" x14ac:dyDescent="0.3">
      <c r="A24" s="2" t="s">
        <v>85</v>
      </c>
      <c r="B24" s="2" t="s">
        <v>86</v>
      </c>
      <c r="C24" s="2">
        <v>2007</v>
      </c>
      <c r="D24" s="2">
        <v>3</v>
      </c>
      <c r="E24" s="2">
        <v>23</v>
      </c>
      <c r="F24" s="2">
        <v>23</v>
      </c>
      <c r="G24" s="6">
        <v>0</v>
      </c>
      <c r="H24" s="5"/>
      <c r="I24" s="10">
        <v>0</v>
      </c>
      <c r="J24" s="10">
        <v>0</v>
      </c>
      <c r="K24" s="4">
        <v>3.1354942159291501</v>
      </c>
      <c r="L24" s="6">
        <v>46562000000</v>
      </c>
      <c r="M24" s="7">
        <v>962</v>
      </c>
      <c r="N24" s="4">
        <v>1.6226611226611229</v>
      </c>
      <c r="O24" s="10">
        <v>75554347193.347198</v>
      </c>
      <c r="P24" s="4">
        <v>25.048118064623221</v>
      </c>
      <c r="Q24" s="6">
        <v>0</v>
      </c>
      <c r="R24" s="3">
        <v>0</v>
      </c>
      <c r="S24" s="3">
        <v>0</v>
      </c>
      <c r="T24" s="4">
        <v>0</v>
      </c>
      <c r="U24" s="3">
        <v>0</v>
      </c>
      <c r="V24" s="4">
        <v>0</v>
      </c>
      <c r="W24" s="5">
        <v>0</v>
      </c>
      <c r="X24" s="5">
        <v>1</v>
      </c>
      <c r="Y24" s="5">
        <v>0</v>
      </c>
      <c r="Z24" s="9" t="s">
        <v>41</v>
      </c>
      <c r="AA24" s="9" t="s">
        <v>42</v>
      </c>
      <c r="AB24" s="3">
        <v>169.4571769769716</v>
      </c>
      <c r="AC24" s="4">
        <v>5.1326002516971272</v>
      </c>
      <c r="AD24" s="3">
        <v>0</v>
      </c>
      <c r="AE24" s="3">
        <v>0</v>
      </c>
      <c r="AF24" s="4">
        <v>0</v>
      </c>
      <c r="AG24" s="4">
        <v>0</v>
      </c>
      <c r="AH24" s="4">
        <v>3.5999999999999997E-2</v>
      </c>
      <c r="AI24" s="4">
        <v>-3.3242363405260269</v>
      </c>
      <c r="AJ24" s="5"/>
      <c r="AK24" s="5"/>
      <c r="AL24" s="5"/>
    </row>
    <row r="25" spans="1:38" x14ac:dyDescent="0.3">
      <c r="A25" s="2" t="s">
        <v>87</v>
      </c>
      <c r="B25" s="2" t="s">
        <v>88</v>
      </c>
      <c r="C25" s="2">
        <v>2007</v>
      </c>
      <c r="D25" s="2">
        <v>4</v>
      </c>
      <c r="E25" s="2">
        <v>24</v>
      </c>
      <c r="F25" s="2">
        <v>24</v>
      </c>
      <c r="G25" s="6">
        <v>0</v>
      </c>
      <c r="H25" s="5"/>
      <c r="I25" s="10">
        <v>0</v>
      </c>
      <c r="J25" s="10">
        <v>0</v>
      </c>
      <c r="K25" s="4">
        <v>3.1780538303479462</v>
      </c>
      <c r="L25" s="6">
        <v>47184000000</v>
      </c>
      <c r="M25" s="7">
        <v>970</v>
      </c>
      <c r="N25" s="4">
        <v>1.609278350515464</v>
      </c>
      <c r="O25" s="10">
        <v>75932189690.721649</v>
      </c>
      <c r="P25" s="4">
        <v>25.05310653803733</v>
      </c>
      <c r="Q25" s="6">
        <v>0</v>
      </c>
      <c r="R25" s="3">
        <v>0</v>
      </c>
      <c r="S25" s="3">
        <v>0</v>
      </c>
      <c r="T25" s="4">
        <v>0</v>
      </c>
      <c r="U25" s="3">
        <v>0</v>
      </c>
      <c r="V25" s="4">
        <v>0</v>
      </c>
      <c r="W25" s="5">
        <v>0</v>
      </c>
      <c r="X25" s="5">
        <v>0</v>
      </c>
      <c r="Y25" s="5">
        <v>1</v>
      </c>
      <c r="Z25" s="9" t="s">
        <v>41</v>
      </c>
      <c r="AA25" s="9" t="s">
        <v>42</v>
      </c>
      <c r="AB25" s="3">
        <v>187.5549645459451</v>
      </c>
      <c r="AC25" s="4">
        <v>5.2340719466971271</v>
      </c>
      <c r="AD25" s="3">
        <v>0</v>
      </c>
      <c r="AE25" s="3">
        <v>0</v>
      </c>
      <c r="AF25" s="4">
        <v>0</v>
      </c>
      <c r="AG25" s="4">
        <v>0</v>
      </c>
      <c r="AH25" s="4">
        <v>3.4000000000000002E-2</v>
      </c>
      <c r="AI25" s="4">
        <v>-3.3813947543659761</v>
      </c>
      <c r="AJ25" s="5"/>
      <c r="AK25" s="5"/>
      <c r="AL25" s="5"/>
    </row>
    <row r="26" spans="1:38" x14ac:dyDescent="0.3">
      <c r="A26" s="2" t="s">
        <v>89</v>
      </c>
      <c r="B26" s="2" t="s">
        <v>90</v>
      </c>
      <c r="C26" s="2">
        <v>2008</v>
      </c>
      <c r="D26" s="2">
        <v>1</v>
      </c>
      <c r="E26" s="2">
        <v>25</v>
      </c>
      <c r="F26" s="2">
        <v>25</v>
      </c>
      <c r="G26" s="6">
        <v>0</v>
      </c>
      <c r="H26" s="5"/>
      <c r="I26" s="10">
        <v>0</v>
      </c>
      <c r="J26" s="10">
        <v>0</v>
      </c>
      <c r="K26" s="4">
        <v>3.218875824868201</v>
      </c>
      <c r="L26" s="6">
        <v>47595000000</v>
      </c>
      <c r="M26" s="7">
        <v>983</v>
      </c>
      <c r="N26" s="4">
        <v>1.5879959308240079</v>
      </c>
      <c r="O26" s="10">
        <v>75580666327.568665</v>
      </c>
      <c r="P26" s="4">
        <v>25.04846635101795</v>
      </c>
      <c r="Q26" s="6">
        <v>0</v>
      </c>
      <c r="R26" s="3">
        <v>0</v>
      </c>
      <c r="S26" s="3">
        <v>0</v>
      </c>
      <c r="T26" s="4">
        <v>0</v>
      </c>
      <c r="U26" s="3">
        <v>0</v>
      </c>
      <c r="V26" s="4">
        <v>0</v>
      </c>
      <c r="W26" s="5">
        <v>0</v>
      </c>
      <c r="X26" s="5">
        <v>0</v>
      </c>
      <c r="Y26" s="5">
        <v>0</v>
      </c>
      <c r="Z26" s="9" t="s">
        <v>41</v>
      </c>
      <c r="AA26" s="9" t="s">
        <v>42</v>
      </c>
      <c r="AB26" s="3">
        <v>197.2353286904557</v>
      </c>
      <c r="AC26" s="4">
        <v>5.2843975776971268</v>
      </c>
      <c r="AD26" s="3">
        <v>0</v>
      </c>
      <c r="AE26" s="3">
        <v>0</v>
      </c>
      <c r="AF26" s="4">
        <v>0</v>
      </c>
      <c r="AG26" s="4">
        <v>0</v>
      </c>
      <c r="AH26" s="4">
        <v>3.7999999999999999E-2</v>
      </c>
      <c r="AI26" s="4">
        <v>-3.2701691192557512</v>
      </c>
      <c r="AJ26" s="5"/>
      <c r="AK26" s="5"/>
      <c r="AL26" s="5"/>
    </row>
    <row r="27" spans="1:38" x14ac:dyDescent="0.3">
      <c r="A27" s="2" t="s">
        <v>91</v>
      </c>
      <c r="B27" s="2" t="s">
        <v>92</v>
      </c>
      <c r="C27" s="2">
        <v>2008</v>
      </c>
      <c r="D27" s="2">
        <v>2</v>
      </c>
      <c r="E27" s="2">
        <v>26</v>
      </c>
      <c r="F27" s="2">
        <v>26</v>
      </c>
      <c r="G27" s="6">
        <v>0</v>
      </c>
      <c r="H27" s="5"/>
      <c r="I27" s="10">
        <v>0</v>
      </c>
      <c r="J27" s="10">
        <v>0</v>
      </c>
      <c r="K27" s="4">
        <v>3.2580965380214821</v>
      </c>
      <c r="L27" s="6">
        <v>47561000000</v>
      </c>
      <c r="M27" s="7">
        <v>996</v>
      </c>
      <c r="N27" s="4">
        <v>1.5672690763052211</v>
      </c>
      <c r="O27" s="10">
        <v>74540884538.152603</v>
      </c>
      <c r="P27" s="4">
        <v>25.034613597551111</v>
      </c>
      <c r="Q27" s="6">
        <v>0</v>
      </c>
      <c r="R27" s="3">
        <v>0</v>
      </c>
      <c r="S27" s="3">
        <v>0</v>
      </c>
      <c r="T27" s="4">
        <v>0</v>
      </c>
      <c r="U27" s="3">
        <v>0</v>
      </c>
      <c r="V27" s="4">
        <v>0</v>
      </c>
      <c r="W27" s="5">
        <v>1</v>
      </c>
      <c r="X27" s="5">
        <v>0</v>
      </c>
      <c r="Y27" s="5">
        <v>0</v>
      </c>
      <c r="Z27" s="9" t="s">
        <v>41</v>
      </c>
      <c r="AA27" s="9" t="s">
        <v>42</v>
      </c>
      <c r="AB27" s="3">
        <v>250.4626590380434</v>
      </c>
      <c r="AC27" s="4">
        <v>5.5233098436971284</v>
      </c>
      <c r="AD27" s="3">
        <v>0</v>
      </c>
      <c r="AE27" s="3">
        <v>0</v>
      </c>
      <c r="AF27" s="4">
        <v>0</v>
      </c>
      <c r="AG27" s="4">
        <v>0</v>
      </c>
      <c r="AH27" s="4">
        <v>3.7999999999999999E-2</v>
      </c>
      <c r="AI27" s="4">
        <v>-3.2701691192557512</v>
      </c>
      <c r="AJ27" s="5"/>
      <c r="AK27" s="5"/>
      <c r="AL27" s="5"/>
    </row>
    <row r="28" spans="1:38" x14ac:dyDescent="0.3">
      <c r="A28" s="2" t="s">
        <v>93</v>
      </c>
      <c r="B28" s="2" t="s">
        <v>94</v>
      </c>
      <c r="C28" s="2">
        <v>2008</v>
      </c>
      <c r="D28" s="2">
        <v>3</v>
      </c>
      <c r="E28" s="2">
        <v>27</v>
      </c>
      <c r="F28" s="2">
        <v>27</v>
      </c>
      <c r="G28" s="6">
        <v>0</v>
      </c>
      <c r="H28" s="5"/>
      <c r="I28" s="10">
        <v>0</v>
      </c>
      <c r="J28" s="10">
        <v>0</v>
      </c>
      <c r="K28" s="4">
        <v>3.2958368660043291</v>
      </c>
      <c r="L28" s="6">
        <v>47007000000</v>
      </c>
      <c r="M28" s="7">
        <v>983</v>
      </c>
      <c r="N28" s="4">
        <v>1.5879959308240079</v>
      </c>
      <c r="O28" s="10">
        <v>74646924720.244156</v>
      </c>
      <c r="P28" s="4">
        <v>25.036035164105058</v>
      </c>
      <c r="Q28" s="6">
        <v>0</v>
      </c>
      <c r="R28" s="3">
        <v>0</v>
      </c>
      <c r="S28" s="3">
        <v>0</v>
      </c>
      <c r="T28" s="4">
        <v>0</v>
      </c>
      <c r="U28" s="3">
        <v>0</v>
      </c>
      <c r="V28" s="4">
        <v>0</v>
      </c>
      <c r="W28" s="5">
        <v>0</v>
      </c>
      <c r="X28" s="5">
        <v>1</v>
      </c>
      <c r="Y28" s="5">
        <v>0</v>
      </c>
      <c r="Z28" s="9" t="s">
        <v>41</v>
      </c>
      <c r="AA28" s="9" t="s">
        <v>42</v>
      </c>
      <c r="AB28" s="3">
        <v>259.56469235359992</v>
      </c>
      <c r="AC28" s="4">
        <v>5.5590059676971268</v>
      </c>
      <c r="AD28" s="3">
        <v>0</v>
      </c>
      <c r="AE28" s="3">
        <v>0</v>
      </c>
      <c r="AF28" s="4">
        <v>0</v>
      </c>
      <c r="AG28" s="4">
        <v>0</v>
      </c>
      <c r="AH28" s="4">
        <v>4.0999999999999988E-2</v>
      </c>
      <c r="AI28" s="4">
        <v>-3.1941832122778289</v>
      </c>
      <c r="AJ28" s="5"/>
      <c r="AK28" s="5"/>
      <c r="AL28" s="5"/>
    </row>
    <row r="29" spans="1:38" x14ac:dyDescent="0.3">
      <c r="A29" s="2" t="s">
        <v>95</v>
      </c>
      <c r="B29" s="2" t="s">
        <v>96</v>
      </c>
      <c r="C29" s="2">
        <v>2008</v>
      </c>
      <c r="D29" s="2">
        <v>4</v>
      </c>
      <c r="E29" s="2">
        <v>28</v>
      </c>
      <c r="F29" s="2">
        <v>28</v>
      </c>
      <c r="G29" s="6">
        <v>0</v>
      </c>
      <c r="H29" s="5"/>
      <c r="I29" s="10">
        <v>0</v>
      </c>
      <c r="J29" s="10">
        <v>0</v>
      </c>
      <c r="K29" s="4">
        <v>3.3322045101752038</v>
      </c>
      <c r="L29" s="6">
        <v>47621000000</v>
      </c>
      <c r="M29" s="7">
        <v>996</v>
      </c>
      <c r="N29" s="4">
        <v>1.5672690763052211</v>
      </c>
      <c r="O29" s="10">
        <v>74634920682.730927</v>
      </c>
      <c r="P29" s="4">
        <v>25.035874340295479</v>
      </c>
      <c r="Q29" s="6">
        <v>0</v>
      </c>
      <c r="R29" s="3">
        <v>0</v>
      </c>
      <c r="S29" s="3">
        <v>0</v>
      </c>
      <c r="T29" s="4">
        <v>0</v>
      </c>
      <c r="U29" s="3">
        <v>0</v>
      </c>
      <c r="V29" s="4">
        <v>0</v>
      </c>
      <c r="W29" s="5">
        <v>0</v>
      </c>
      <c r="X29" s="5">
        <v>0</v>
      </c>
      <c r="Y29" s="5">
        <v>1</v>
      </c>
      <c r="Z29" s="9" t="s">
        <v>41</v>
      </c>
      <c r="AA29" s="9" t="s">
        <v>42</v>
      </c>
      <c r="AB29" s="3">
        <v>190.58535475900231</v>
      </c>
      <c r="AC29" s="4">
        <v>5.2501001506971274</v>
      </c>
      <c r="AD29" s="3">
        <v>0</v>
      </c>
      <c r="AE29" s="3">
        <v>0</v>
      </c>
      <c r="AF29" s="4">
        <v>0</v>
      </c>
      <c r="AG29" s="4">
        <v>0</v>
      </c>
      <c r="AH29" s="4">
        <v>4.3999999999999997E-2</v>
      </c>
      <c r="AI29" s="4">
        <v>-3.1235656450638758</v>
      </c>
      <c r="AJ29" s="5"/>
      <c r="AK29" s="5"/>
      <c r="AL29" s="5"/>
    </row>
    <row r="30" spans="1:38" x14ac:dyDescent="0.3">
      <c r="A30" s="2" t="s">
        <v>97</v>
      </c>
      <c r="B30" s="2" t="s">
        <v>98</v>
      </c>
      <c r="C30" s="2">
        <v>2009</v>
      </c>
      <c r="D30" s="2">
        <v>1</v>
      </c>
      <c r="E30" s="2">
        <v>29</v>
      </c>
      <c r="F30" s="2">
        <v>29</v>
      </c>
      <c r="G30" s="6">
        <v>0</v>
      </c>
      <c r="H30" s="5"/>
      <c r="I30" s="10">
        <v>0</v>
      </c>
      <c r="J30" s="10">
        <v>0</v>
      </c>
      <c r="K30" s="4">
        <v>3.3672958299864741</v>
      </c>
      <c r="L30" s="6">
        <v>47589000000</v>
      </c>
      <c r="M30" s="7">
        <v>1003</v>
      </c>
      <c r="N30" s="4">
        <v>1.556331006979063</v>
      </c>
      <c r="O30" s="10">
        <v>74064236291.126617</v>
      </c>
      <c r="P30" s="4">
        <v>25.02819861159433</v>
      </c>
      <c r="Q30" s="6">
        <v>0</v>
      </c>
      <c r="R30" s="3">
        <v>0</v>
      </c>
      <c r="S30" s="3">
        <v>0</v>
      </c>
      <c r="T30" s="4">
        <v>0</v>
      </c>
      <c r="U30" s="3">
        <v>0</v>
      </c>
      <c r="V30" s="4">
        <v>0</v>
      </c>
      <c r="W30" s="5">
        <v>0</v>
      </c>
      <c r="X30" s="5">
        <v>0</v>
      </c>
      <c r="Y30" s="5">
        <v>0</v>
      </c>
      <c r="Z30" s="9" t="s">
        <v>41</v>
      </c>
      <c r="AA30" s="9" t="s">
        <v>42</v>
      </c>
      <c r="AB30" s="3">
        <v>153.44298743867509</v>
      </c>
      <c r="AC30" s="4">
        <v>5.0333290806971274</v>
      </c>
      <c r="AD30" s="3">
        <v>0</v>
      </c>
      <c r="AE30" s="3">
        <v>0</v>
      </c>
      <c r="AF30" s="4">
        <v>0</v>
      </c>
      <c r="AG30" s="4">
        <v>0</v>
      </c>
      <c r="AH30" s="4">
        <v>0.05</v>
      </c>
      <c r="AI30" s="4">
        <v>-2.9957322735539909</v>
      </c>
      <c r="AJ30" s="5"/>
      <c r="AK30" s="5"/>
      <c r="AL30" s="5"/>
    </row>
    <row r="31" spans="1:38" x14ac:dyDescent="0.3">
      <c r="A31" s="2" t="s">
        <v>99</v>
      </c>
      <c r="B31" s="2" t="s">
        <v>100</v>
      </c>
      <c r="C31" s="2">
        <v>2009</v>
      </c>
      <c r="D31" s="2">
        <v>2</v>
      </c>
      <c r="E31" s="2">
        <v>30</v>
      </c>
      <c r="F31" s="2">
        <v>30</v>
      </c>
      <c r="G31" s="6">
        <v>0</v>
      </c>
      <c r="H31" s="5"/>
      <c r="I31" s="10">
        <v>0</v>
      </c>
      <c r="J31" s="10">
        <v>0</v>
      </c>
      <c r="K31" s="4">
        <v>3.401197381662155</v>
      </c>
      <c r="L31" s="6">
        <v>47604000000</v>
      </c>
      <c r="M31" s="7">
        <v>991</v>
      </c>
      <c r="N31" s="4">
        <v>1.5751765893037331</v>
      </c>
      <c r="O31" s="10">
        <v>74984706357.214935</v>
      </c>
      <c r="P31" s="4">
        <v>25.040550014452052</v>
      </c>
      <c r="Q31" s="6">
        <v>0</v>
      </c>
      <c r="R31" s="3">
        <v>0</v>
      </c>
      <c r="S31" s="3">
        <v>0</v>
      </c>
      <c r="T31" s="4">
        <v>0</v>
      </c>
      <c r="U31" s="3">
        <v>316.45730769677192</v>
      </c>
      <c r="V31" s="4">
        <v>5.7571883436921496</v>
      </c>
      <c r="W31" s="5">
        <v>1</v>
      </c>
      <c r="X31" s="5">
        <v>0</v>
      </c>
      <c r="Y31" s="5">
        <v>0</v>
      </c>
      <c r="Z31" s="9" t="s">
        <v>41</v>
      </c>
      <c r="AA31" s="9" t="s">
        <v>42</v>
      </c>
      <c r="AB31" s="3">
        <v>151.51043079284119</v>
      </c>
      <c r="AC31" s="4">
        <v>5.0206544726971272</v>
      </c>
      <c r="AD31" s="3">
        <v>0</v>
      </c>
      <c r="AE31" s="3">
        <v>0</v>
      </c>
      <c r="AF31" s="4">
        <v>0</v>
      </c>
      <c r="AG31" s="4">
        <v>0</v>
      </c>
      <c r="AH31" s="4">
        <v>5.8000000000000003E-2</v>
      </c>
      <c r="AI31" s="4">
        <v>-2.8473122684357182</v>
      </c>
      <c r="AJ31" s="5"/>
      <c r="AK31" s="5"/>
      <c r="AL31" s="5"/>
    </row>
    <row r="32" spans="1:38" x14ac:dyDescent="0.3">
      <c r="A32" s="2" t="s">
        <v>101</v>
      </c>
      <c r="B32" s="2" t="s">
        <v>102</v>
      </c>
      <c r="C32" s="2">
        <v>2009</v>
      </c>
      <c r="D32" s="2">
        <v>3</v>
      </c>
      <c r="E32" s="2">
        <v>31</v>
      </c>
      <c r="F32" s="2">
        <v>31</v>
      </c>
      <c r="G32" s="6">
        <v>779203143</v>
      </c>
      <c r="H32" s="4">
        <v>20.473782343908699</v>
      </c>
      <c r="I32" s="10">
        <v>0</v>
      </c>
      <c r="J32" s="10">
        <v>0</v>
      </c>
      <c r="K32" s="4">
        <v>3.4339872044851458</v>
      </c>
      <c r="L32" s="6">
        <v>48369000000</v>
      </c>
      <c r="M32" s="7">
        <v>1001</v>
      </c>
      <c r="N32" s="4">
        <v>1.5594405594405589</v>
      </c>
      <c r="O32" s="10">
        <v>75428580419.580414</v>
      </c>
      <c r="P32" s="4">
        <v>25.04645209079634</v>
      </c>
      <c r="Q32" s="6">
        <v>164451071.09999999</v>
      </c>
      <c r="R32" s="3">
        <v>211.05031797850441</v>
      </c>
      <c r="S32" s="3">
        <v>316.45730769677192</v>
      </c>
      <c r="T32" s="4">
        <v>5.7571883436921496</v>
      </c>
      <c r="U32" s="3">
        <v>324.42653603820798</v>
      </c>
      <c r="V32" s="4">
        <v>5.7820591192601798</v>
      </c>
      <c r="W32" s="5">
        <v>0</v>
      </c>
      <c r="X32" s="5">
        <v>1</v>
      </c>
      <c r="Y32" s="5">
        <v>0</v>
      </c>
      <c r="Z32" s="9" t="s">
        <v>41</v>
      </c>
      <c r="AA32" s="9" t="s">
        <v>42</v>
      </c>
      <c r="AB32" s="3">
        <v>156.09171336669061</v>
      </c>
      <c r="AC32" s="4">
        <v>5.0504437406971272</v>
      </c>
      <c r="AD32" s="3">
        <v>57.861815724070361</v>
      </c>
      <c r="AE32" s="3">
        <v>0</v>
      </c>
      <c r="AF32" s="4">
        <v>4.0580576803910766</v>
      </c>
      <c r="AG32" s="4">
        <v>0</v>
      </c>
      <c r="AH32" s="4">
        <v>6.2E-2</v>
      </c>
      <c r="AI32" s="4">
        <v>-2.780620893937046</v>
      </c>
      <c r="AJ32" s="5"/>
      <c r="AK32" s="5"/>
      <c r="AL32" s="5"/>
    </row>
    <row r="33" spans="1:38" x14ac:dyDescent="0.3">
      <c r="A33" s="2" t="s">
        <v>103</v>
      </c>
      <c r="B33" s="2" t="s">
        <v>104</v>
      </c>
      <c r="C33" s="2">
        <v>2009</v>
      </c>
      <c r="D33" s="2">
        <v>4</v>
      </c>
      <c r="E33" s="2">
        <v>32</v>
      </c>
      <c r="F33" s="2">
        <v>32</v>
      </c>
      <c r="G33" s="6">
        <v>827823758</v>
      </c>
      <c r="H33" s="4">
        <v>20.534310837036191</v>
      </c>
      <c r="I33" s="10">
        <v>779203143</v>
      </c>
      <c r="J33" s="10">
        <v>0</v>
      </c>
      <c r="K33" s="4">
        <v>3.465735902799727</v>
      </c>
      <c r="L33" s="6">
        <v>48783000000</v>
      </c>
      <c r="M33" s="7">
        <v>998</v>
      </c>
      <c r="N33" s="4">
        <v>1.5641282565130259</v>
      </c>
      <c r="O33" s="10">
        <v>76302868737.47496</v>
      </c>
      <c r="P33" s="4">
        <v>25.057976372662079</v>
      </c>
      <c r="Q33" s="6">
        <v>178911613.80000001</v>
      </c>
      <c r="R33" s="3">
        <v>216.12283057959789</v>
      </c>
      <c r="S33" s="3">
        <v>324.42653603820798</v>
      </c>
      <c r="T33" s="4">
        <v>5.7820591192601798</v>
      </c>
      <c r="U33" s="3">
        <v>339.53712163743592</v>
      </c>
      <c r="V33" s="4">
        <v>5.8275832831050991</v>
      </c>
      <c r="W33" s="5">
        <v>0</v>
      </c>
      <c r="X33" s="5">
        <v>0</v>
      </c>
      <c r="Y33" s="5">
        <v>1</v>
      </c>
      <c r="Z33" s="9" t="s">
        <v>41</v>
      </c>
      <c r="AA33" s="9" t="s">
        <v>42</v>
      </c>
      <c r="AB33" s="3">
        <v>155.36603137157451</v>
      </c>
      <c r="AC33" s="4">
        <v>5.0457838256971268</v>
      </c>
      <c r="AD33" s="3">
        <v>63.29111555553623</v>
      </c>
      <c r="AE33" s="3">
        <v>57.861815724070361</v>
      </c>
      <c r="AF33" s="4">
        <v>4.147744964726618</v>
      </c>
      <c r="AG33" s="4">
        <v>4.0580576803910766</v>
      </c>
      <c r="AH33" s="4">
        <v>6.6000000000000003E-2</v>
      </c>
      <c r="AI33" s="4">
        <v>-2.7181005369557121</v>
      </c>
      <c r="AJ33" s="4">
        <v>20.473782343908699</v>
      </c>
      <c r="AK33" s="5"/>
      <c r="AL33" s="5"/>
    </row>
    <row r="34" spans="1:38" x14ac:dyDescent="0.3">
      <c r="A34" s="2" t="s">
        <v>105</v>
      </c>
      <c r="B34" s="2" t="s">
        <v>106</v>
      </c>
      <c r="C34" s="2">
        <v>2010</v>
      </c>
      <c r="D34" s="2">
        <v>1</v>
      </c>
      <c r="E34" s="2">
        <v>33</v>
      </c>
      <c r="F34" s="2">
        <v>33</v>
      </c>
      <c r="G34" s="6">
        <v>825689069</v>
      </c>
      <c r="H34" s="4">
        <v>20.531728830835689</v>
      </c>
      <c r="I34" s="10">
        <v>827823758</v>
      </c>
      <c r="J34" s="10">
        <v>0</v>
      </c>
      <c r="K34" s="4">
        <v>3.4965075614664798</v>
      </c>
      <c r="L34" s="6">
        <v>49947000000</v>
      </c>
      <c r="M34" s="7">
        <v>1010</v>
      </c>
      <c r="N34" s="4">
        <v>1.545544554455446</v>
      </c>
      <c r="O34" s="10">
        <v>77195313861.386139</v>
      </c>
      <c r="P34" s="4">
        <v>25.069604590857359</v>
      </c>
      <c r="Q34" s="6">
        <v>187389933.09999999</v>
      </c>
      <c r="R34" s="3">
        <v>226.9497564342831</v>
      </c>
      <c r="S34" s="3">
        <v>339.53712163743592</v>
      </c>
      <c r="T34" s="4">
        <v>5.8275832831050991</v>
      </c>
      <c r="U34" s="3">
        <v>336.92746803128222</v>
      </c>
      <c r="V34" s="4">
        <v>5.8198676787935861</v>
      </c>
      <c r="W34" s="5">
        <v>0</v>
      </c>
      <c r="X34" s="5">
        <v>0</v>
      </c>
      <c r="Y34" s="5">
        <v>0</v>
      </c>
      <c r="Z34" s="9" t="s">
        <v>41</v>
      </c>
      <c r="AA34" s="9" t="s">
        <v>42</v>
      </c>
      <c r="AB34" s="3">
        <v>165.46748606538449</v>
      </c>
      <c r="AC34" s="4">
        <v>5.1087747166971269</v>
      </c>
      <c r="AD34" s="3">
        <v>63.493332507535108</v>
      </c>
      <c r="AE34" s="3">
        <v>63.29111555553623</v>
      </c>
      <c r="AF34" s="4">
        <v>4.1509349005044358</v>
      </c>
      <c r="AG34" s="4">
        <v>4.147744964726618</v>
      </c>
      <c r="AH34" s="4">
        <v>5.8999999999999997E-2</v>
      </c>
      <c r="AI34" s="4">
        <v>-2.830217835076418</v>
      </c>
      <c r="AJ34" s="4">
        <v>20.534310837036191</v>
      </c>
      <c r="AK34" s="5"/>
      <c r="AL34" s="5"/>
    </row>
    <row r="35" spans="1:38" x14ac:dyDescent="0.3">
      <c r="A35" s="2" t="s">
        <v>107</v>
      </c>
      <c r="B35" s="2" t="s">
        <v>108</v>
      </c>
      <c r="C35" s="2">
        <v>2010</v>
      </c>
      <c r="D35" s="2">
        <v>2</v>
      </c>
      <c r="E35" s="2">
        <v>34</v>
      </c>
      <c r="F35" s="2">
        <v>34</v>
      </c>
      <c r="G35" s="6">
        <v>788255658</v>
      </c>
      <c r="H35" s="4">
        <v>20.485333034289471</v>
      </c>
      <c r="I35" s="10">
        <v>825689069</v>
      </c>
      <c r="J35" s="10">
        <v>0</v>
      </c>
      <c r="K35" s="4">
        <v>3.526360524616162</v>
      </c>
      <c r="L35" s="6">
        <v>50254000000</v>
      </c>
      <c r="M35" s="7">
        <v>1010</v>
      </c>
      <c r="N35" s="4">
        <v>1.545544554455446</v>
      </c>
      <c r="O35" s="10">
        <v>77669796039.603958</v>
      </c>
      <c r="P35" s="4">
        <v>25.075732293387698</v>
      </c>
      <c r="Q35" s="6">
        <v>177717807.90000001</v>
      </c>
      <c r="R35" s="3">
        <v>225.4570659865787</v>
      </c>
      <c r="S35" s="3">
        <v>336.92746803128222</v>
      </c>
      <c r="T35" s="4">
        <v>5.8198676787935861</v>
      </c>
      <c r="U35" s="3">
        <v>329.03856796630532</v>
      </c>
      <c r="V35" s="4">
        <v>5.7961749717558337</v>
      </c>
      <c r="W35" s="5">
        <v>1</v>
      </c>
      <c r="X35" s="5">
        <v>0</v>
      </c>
      <c r="Y35" s="5">
        <v>0</v>
      </c>
      <c r="Z35" s="9" t="s">
        <v>41</v>
      </c>
      <c r="AA35" s="9" t="s">
        <v>42</v>
      </c>
      <c r="AB35" s="3">
        <v>174.39877226708151</v>
      </c>
      <c r="AC35" s="4">
        <v>5.1613444716971273</v>
      </c>
      <c r="AD35" s="3">
        <v>63.400620275136347</v>
      </c>
      <c r="AE35" s="3">
        <v>63.493332507535108</v>
      </c>
      <c r="AF35" s="4">
        <v>4.1494736449148224</v>
      </c>
      <c r="AG35" s="4">
        <v>4.1509349005044358</v>
      </c>
      <c r="AH35" s="4">
        <v>6.6000000000000003E-2</v>
      </c>
      <c r="AI35" s="4">
        <v>-2.7181005369557121</v>
      </c>
      <c r="AJ35" s="4">
        <v>20.531728830835689</v>
      </c>
      <c r="AK35" s="5"/>
      <c r="AL35" s="5"/>
    </row>
    <row r="36" spans="1:38" x14ac:dyDescent="0.3">
      <c r="A36" s="2" t="s">
        <v>109</v>
      </c>
      <c r="B36" s="2" t="s">
        <v>110</v>
      </c>
      <c r="C36" s="2">
        <v>2010</v>
      </c>
      <c r="D36" s="2">
        <v>3</v>
      </c>
      <c r="E36" s="2">
        <v>35</v>
      </c>
      <c r="F36" s="2">
        <v>35</v>
      </c>
      <c r="G36" s="6">
        <v>804586320</v>
      </c>
      <c r="H36" s="4">
        <v>20.50583881509829</v>
      </c>
      <c r="I36" s="10">
        <v>788255658</v>
      </c>
      <c r="J36" s="10">
        <v>779203143</v>
      </c>
      <c r="K36" s="4">
        <v>3.555348061489414</v>
      </c>
      <c r="L36" s="6">
        <v>50570000000</v>
      </c>
      <c r="M36" s="7">
        <v>1031</v>
      </c>
      <c r="N36" s="4">
        <v>1.514064015518914</v>
      </c>
      <c r="O36" s="10">
        <v>76566217264.791473</v>
      </c>
      <c r="P36" s="4">
        <v>25.06142178853678</v>
      </c>
      <c r="Q36" s="6">
        <v>179129482.5</v>
      </c>
      <c r="R36" s="3">
        <v>222.63550603246651</v>
      </c>
      <c r="S36" s="3">
        <v>329.03856796630532</v>
      </c>
      <c r="T36" s="4">
        <v>5.7961749717558337</v>
      </c>
      <c r="U36" s="3">
        <v>345.94642368007192</v>
      </c>
      <c r="V36" s="4">
        <v>5.8462839182127384</v>
      </c>
      <c r="W36" s="5">
        <v>0</v>
      </c>
      <c r="X36" s="5">
        <v>1</v>
      </c>
      <c r="Y36" s="5">
        <v>0</v>
      </c>
      <c r="Z36" s="9" t="s">
        <v>41</v>
      </c>
      <c r="AA36" s="9" t="s">
        <v>42</v>
      </c>
      <c r="AB36" s="3">
        <v>172.62163349449611</v>
      </c>
      <c r="AC36" s="4">
        <v>5.1511021096971268</v>
      </c>
      <c r="AD36" s="3">
        <v>62.67872427394569</v>
      </c>
      <c r="AE36" s="3">
        <v>63.400620275136347</v>
      </c>
      <c r="AF36" s="4">
        <v>4.1380220642804666</v>
      </c>
      <c r="AG36" s="4">
        <v>4.1494736449148224</v>
      </c>
      <c r="AH36" s="4">
        <v>6.0999999999999999E-2</v>
      </c>
      <c r="AI36" s="4">
        <v>-2.7968814148088259</v>
      </c>
      <c r="AJ36" s="4">
        <v>20.485333034289471</v>
      </c>
      <c r="AK36" s="4">
        <v>20.473782343908699</v>
      </c>
      <c r="AL36" s="4">
        <v>1.155069038077272E-2</v>
      </c>
    </row>
    <row r="37" spans="1:38" x14ac:dyDescent="0.3">
      <c r="A37" s="2" t="s">
        <v>111</v>
      </c>
      <c r="B37" s="2" t="s">
        <v>112</v>
      </c>
      <c r="C37" s="2">
        <v>2010</v>
      </c>
      <c r="D37" s="2">
        <v>4</v>
      </c>
      <c r="E37" s="2">
        <v>36</v>
      </c>
      <c r="F37" s="2">
        <v>36</v>
      </c>
      <c r="G37" s="6">
        <v>894140775</v>
      </c>
      <c r="H37" s="4">
        <v>20.611373787184199</v>
      </c>
      <c r="I37" s="10">
        <v>804586320</v>
      </c>
      <c r="J37" s="10">
        <v>827823758</v>
      </c>
      <c r="K37" s="4">
        <v>3.5835189384561099</v>
      </c>
      <c r="L37" s="6">
        <v>51272000000</v>
      </c>
      <c r="M37" s="7">
        <v>1058</v>
      </c>
      <c r="N37" s="4">
        <v>1.475425330812854</v>
      </c>
      <c r="O37" s="10">
        <v>75648007561.436676</v>
      </c>
      <c r="P37" s="4">
        <v>25.04935693924552</v>
      </c>
      <c r="Q37" s="6">
        <v>214147940.80000001</v>
      </c>
      <c r="R37" s="3">
        <v>239.50137024004971</v>
      </c>
      <c r="S37" s="3">
        <v>345.94642368007192</v>
      </c>
      <c r="T37" s="4">
        <v>5.8462839182127384</v>
      </c>
      <c r="U37" s="3">
        <v>353.35052840535798</v>
      </c>
      <c r="V37" s="4">
        <v>5.8674605625520693</v>
      </c>
      <c r="W37" s="5">
        <v>0</v>
      </c>
      <c r="X37" s="5">
        <v>0</v>
      </c>
      <c r="Y37" s="5">
        <v>1</v>
      </c>
      <c r="Z37" s="9" t="s">
        <v>41</v>
      </c>
      <c r="AA37" s="9" t="s">
        <v>42</v>
      </c>
      <c r="AB37" s="3">
        <v>180.12222220165569</v>
      </c>
      <c r="AC37" s="4">
        <v>5.1936356326971271</v>
      </c>
      <c r="AD37" s="3">
        <v>68.241349442948589</v>
      </c>
      <c r="AE37" s="3">
        <v>62.67872427394569</v>
      </c>
      <c r="AF37" s="4">
        <v>4.2230506779431858</v>
      </c>
      <c r="AG37" s="4">
        <v>4.1380220642804666</v>
      </c>
      <c r="AH37" s="4">
        <v>6.2E-2</v>
      </c>
      <c r="AI37" s="4">
        <v>-2.780620893937046</v>
      </c>
      <c r="AJ37" s="4">
        <v>20.50583881509829</v>
      </c>
      <c r="AK37" s="4">
        <v>20.534310837036191</v>
      </c>
      <c r="AL37" s="4">
        <v>-2.8472021937901101E-2</v>
      </c>
    </row>
    <row r="38" spans="1:38" x14ac:dyDescent="0.3">
      <c r="A38" s="2" t="s">
        <v>113</v>
      </c>
      <c r="B38" s="2" t="s">
        <v>114</v>
      </c>
      <c r="C38" s="2">
        <v>2011</v>
      </c>
      <c r="D38" s="2">
        <v>1</v>
      </c>
      <c r="E38" s="2">
        <v>37</v>
      </c>
      <c r="F38" s="2">
        <v>37</v>
      </c>
      <c r="G38" s="6">
        <v>865664139</v>
      </c>
      <c r="H38" s="4">
        <v>20.57900756104706</v>
      </c>
      <c r="I38" s="10">
        <v>894140775</v>
      </c>
      <c r="J38" s="10">
        <v>825689069</v>
      </c>
      <c r="K38" s="4">
        <v>3.6109179126442239</v>
      </c>
      <c r="L38" s="6">
        <v>51700000000</v>
      </c>
      <c r="M38" s="7">
        <v>1049</v>
      </c>
      <c r="N38" s="4">
        <v>1.488083889418494</v>
      </c>
      <c r="O38" s="10">
        <v>76933937082.936127</v>
      </c>
      <c r="P38" s="4">
        <v>25.06621293057993</v>
      </c>
      <c r="Q38" s="6">
        <v>213592601.69999999</v>
      </c>
      <c r="R38" s="3">
        <v>246.73841976027609</v>
      </c>
      <c r="S38" s="3">
        <v>353.35052840535798</v>
      </c>
      <c r="T38" s="4">
        <v>5.8674605625520693</v>
      </c>
      <c r="U38" s="3">
        <v>350.32701148272167</v>
      </c>
      <c r="V38" s="4">
        <v>5.8588670368016524</v>
      </c>
      <c r="W38" s="5">
        <v>0</v>
      </c>
      <c r="X38" s="5">
        <v>0</v>
      </c>
      <c r="Y38" s="5">
        <v>0</v>
      </c>
      <c r="Z38" s="9" t="s">
        <v>41</v>
      </c>
      <c r="AA38" s="9" t="s">
        <v>42</v>
      </c>
      <c r="AB38" s="3">
        <v>205.79069523031239</v>
      </c>
      <c r="AC38" s="4">
        <v>5.3268596096971272</v>
      </c>
      <c r="AD38" s="3">
        <v>68.028120289052026</v>
      </c>
      <c r="AE38" s="3">
        <v>68.241349442948589</v>
      </c>
      <c r="AF38" s="4">
        <v>4.2199211533571566</v>
      </c>
      <c r="AG38" s="4">
        <v>4.2230506779431858</v>
      </c>
      <c r="AH38" s="4">
        <v>0.06</v>
      </c>
      <c r="AI38" s="4">
        <v>-2.813410716760036</v>
      </c>
      <c r="AJ38" s="4">
        <v>20.611373787184199</v>
      </c>
      <c r="AK38" s="4">
        <v>20.531728830835689</v>
      </c>
      <c r="AL38" s="4">
        <v>7.9644956348509766E-2</v>
      </c>
    </row>
    <row r="39" spans="1:38" x14ac:dyDescent="0.3">
      <c r="A39" s="2" t="s">
        <v>115</v>
      </c>
      <c r="B39" s="2" t="s">
        <v>116</v>
      </c>
      <c r="C39" s="2">
        <v>2011</v>
      </c>
      <c r="D39" s="2">
        <v>2</v>
      </c>
      <c r="E39" s="2">
        <v>38</v>
      </c>
      <c r="F39" s="2">
        <v>38</v>
      </c>
      <c r="G39" s="6">
        <v>824051949</v>
      </c>
      <c r="H39" s="4">
        <v>20.52974413078941</v>
      </c>
      <c r="I39" s="10">
        <v>865664139</v>
      </c>
      <c r="J39" s="10">
        <v>788255658</v>
      </c>
      <c r="K39" s="4">
        <v>3.6375861597263861</v>
      </c>
      <c r="L39" s="6">
        <v>52555000000</v>
      </c>
      <c r="M39" s="7">
        <v>1057</v>
      </c>
      <c r="N39" s="4">
        <v>1.4768211920529799</v>
      </c>
      <c r="O39" s="10">
        <v>77614337748.344376</v>
      </c>
      <c r="P39" s="4">
        <v>25.07501801186692</v>
      </c>
      <c r="Q39" s="6">
        <v>203525875.90000001</v>
      </c>
      <c r="R39" s="3">
        <v>246.9818512619039</v>
      </c>
      <c r="S39" s="3">
        <v>350.32701148272167</v>
      </c>
      <c r="T39" s="4">
        <v>5.8588670368016524</v>
      </c>
      <c r="U39" s="3">
        <v>342.81492247529258</v>
      </c>
      <c r="V39" s="4">
        <v>5.8371907169176316</v>
      </c>
      <c r="W39" s="5">
        <v>1</v>
      </c>
      <c r="X39" s="5">
        <v>0</v>
      </c>
      <c r="Y39" s="5">
        <v>0</v>
      </c>
      <c r="Z39" s="9" t="s">
        <v>41</v>
      </c>
      <c r="AA39" s="9" t="s">
        <v>42</v>
      </c>
      <c r="AB39" s="3">
        <v>220.2825211857388</v>
      </c>
      <c r="AC39" s="4">
        <v>5.3949109096971268</v>
      </c>
      <c r="AD39" s="3">
        <v>67.314270437960317</v>
      </c>
      <c r="AE39" s="3">
        <v>68.028120289052026</v>
      </c>
      <c r="AF39" s="4">
        <v>4.2093722563417204</v>
      </c>
      <c r="AG39" s="4">
        <v>4.2199211533571566</v>
      </c>
      <c r="AH39" s="4">
        <v>6.0999999999999999E-2</v>
      </c>
      <c r="AI39" s="4">
        <v>-2.7968814148088259</v>
      </c>
      <c r="AJ39" s="4">
        <v>20.57900756104706</v>
      </c>
      <c r="AK39" s="4">
        <v>20.485333034289471</v>
      </c>
      <c r="AL39" s="4">
        <v>9.36745267575958E-2</v>
      </c>
    </row>
    <row r="40" spans="1:38" x14ac:dyDescent="0.3">
      <c r="A40" s="2" t="s">
        <v>117</v>
      </c>
      <c r="B40" s="2" t="s">
        <v>118</v>
      </c>
      <c r="C40" s="2">
        <v>2011</v>
      </c>
      <c r="D40" s="2">
        <v>3</v>
      </c>
      <c r="E40" s="2">
        <v>39</v>
      </c>
      <c r="F40" s="2">
        <v>39</v>
      </c>
      <c r="G40" s="6">
        <v>822635047</v>
      </c>
      <c r="H40" s="4">
        <v>20.528023218007409</v>
      </c>
      <c r="I40" s="10">
        <v>824051949</v>
      </c>
      <c r="J40" s="10">
        <v>804586320</v>
      </c>
      <c r="K40" s="4">
        <v>3.6635616461296459</v>
      </c>
      <c r="L40" s="6">
        <v>53351000000</v>
      </c>
      <c r="M40" s="7">
        <v>1062</v>
      </c>
      <c r="N40" s="4">
        <v>1.4698681732580039</v>
      </c>
      <c r="O40" s="10">
        <v>78418936911.487747</v>
      </c>
      <c r="P40" s="4">
        <v>25.085331277374511</v>
      </c>
      <c r="Q40" s="6">
        <v>199661664.09999999</v>
      </c>
      <c r="R40" s="3">
        <v>242.7098928353827</v>
      </c>
      <c r="S40" s="3">
        <v>342.81492247529258</v>
      </c>
      <c r="T40" s="4">
        <v>5.8371907169176316</v>
      </c>
      <c r="U40" s="3">
        <v>341.44857760785283</v>
      </c>
      <c r="V40" s="4">
        <v>5.833197089657765</v>
      </c>
      <c r="W40" s="5">
        <v>0</v>
      </c>
      <c r="X40" s="5">
        <v>1</v>
      </c>
      <c r="Y40" s="5">
        <v>0</v>
      </c>
      <c r="Z40" s="9" t="s">
        <v>41</v>
      </c>
      <c r="AA40" s="9" t="s">
        <v>42</v>
      </c>
      <c r="AB40" s="3">
        <v>202.40369206951851</v>
      </c>
      <c r="AC40" s="4">
        <v>5.3102641786971274</v>
      </c>
      <c r="AD40" s="3">
        <v>67.054973394588856</v>
      </c>
      <c r="AE40" s="3">
        <v>67.314270437960317</v>
      </c>
      <c r="AF40" s="4">
        <v>4.2055127813928426</v>
      </c>
      <c r="AG40" s="4">
        <v>4.2093722563417204</v>
      </c>
      <c r="AH40" s="4">
        <v>0.06</v>
      </c>
      <c r="AI40" s="4">
        <v>-2.813410716760036</v>
      </c>
      <c r="AJ40" s="4">
        <v>20.52974413078941</v>
      </c>
      <c r="AK40" s="4">
        <v>20.50583881509829</v>
      </c>
      <c r="AL40" s="4">
        <v>2.390531569112397E-2</v>
      </c>
    </row>
    <row r="41" spans="1:38" x14ac:dyDescent="0.3">
      <c r="A41" s="2" t="s">
        <v>119</v>
      </c>
      <c r="B41" s="2" t="s">
        <v>120</v>
      </c>
      <c r="C41" s="2">
        <v>2011</v>
      </c>
      <c r="D41" s="2">
        <v>4</v>
      </c>
      <c r="E41" s="2">
        <v>40</v>
      </c>
      <c r="F41" s="2">
        <v>40</v>
      </c>
      <c r="G41" s="6">
        <v>895030317</v>
      </c>
      <c r="H41" s="4">
        <v>20.612368149408439</v>
      </c>
      <c r="I41" s="10">
        <v>822635047</v>
      </c>
      <c r="J41" s="10">
        <v>894140775</v>
      </c>
      <c r="K41" s="4">
        <v>3.6888794541139358</v>
      </c>
      <c r="L41" s="6">
        <v>53656000000</v>
      </c>
      <c r="M41" s="7">
        <v>1059</v>
      </c>
      <c r="N41" s="4">
        <v>1.4740321057601511</v>
      </c>
      <c r="O41" s="10">
        <v>79090666666.666672</v>
      </c>
      <c r="P41" s="4">
        <v>25.093860710657871</v>
      </c>
      <c r="Q41" s="6">
        <v>215682190.5</v>
      </c>
      <c r="R41" s="3">
        <v>240.977524898746</v>
      </c>
      <c r="S41" s="3">
        <v>341.44857760785283</v>
      </c>
      <c r="T41" s="4">
        <v>5.833197089657765</v>
      </c>
      <c r="U41" s="3">
        <v>344.83931683873169</v>
      </c>
      <c r="V41" s="4">
        <v>5.843078560243403</v>
      </c>
      <c r="W41" s="5">
        <v>0</v>
      </c>
      <c r="X41" s="5">
        <v>0</v>
      </c>
      <c r="Y41" s="5">
        <v>1</v>
      </c>
      <c r="Z41" s="9" t="s">
        <v>41</v>
      </c>
      <c r="AA41" s="9" t="s">
        <v>42</v>
      </c>
      <c r="AB41" s="3">
        <v>215.09015863082331</v>
      </c>
      <c r="AC41" s="4">
        <v>5.3710572826971266</v>
      </c>
      <c r="AD41" s="3">
        <v>67.290385190588083</v>
      </c>
      <c r="AE41" s="3">
        <v>67.054973394588856</v>
      </c>
      <c r="AF41" s="4">
        <v>4.2090173615201198</v>
      </c>
      <c r="AG41" s="4">
        <v>4.2055127813928426</v>
      </c>
      <c r="AH41" s="4">
        <v>6.0999999999999999E-2</v>
      </c>
      <c r="AI41" s="4">
        <v>-2.7968814148088259</v>
      </c>
      <c r="AJ41" s="4">
        <v>20.528023218007409</v>
      </c>
      <c r="AK41" s="4">
        <v>20.611373787184199</v>
      </c>
      <c r="AL41" s="4">
        <v>-8.3350569176790401E-2</v>
      </c>
    </row>
    <row r="42" spans="1:38" x14ac:dyDescent="0.3">
      <c r="A42" s="2" t="s">
        <v>121</v>
      </c>
      <c r="B42" s="2" t="s">
        <v>122</v>
      </c>
      <c r="C42" s="2">
        <v>2012</v>
      </c>
      <c r="D42" s="2">
        <v>1</v>
      </c>
      <c r="E42" s="2">
        <v>41</v>
      </c>
      <c r="F42" s="2">
        <v>41</v>
      </c>
      <c r="G42" s="6">
        <v>876306571</v>
      </c>
      <c r="H42" s="4">
        <v>20.591226554571509</v>
      </c>
      <c r="I42" s="10">
        <v>895030317</v>
      </c>
      <c r="J42" s="10">
        <v>865664139</v>
      </c>
      <c r="K42" s="4">
        <v>3.713572066704308</v>
      </c>
      <c r="L42" s="6">
        <v>53651000000</v>
      </c>
      <c r="M42" s="7">
        <v>1057</v>
      </c>
      <c r="N42" s="4">
        <v>1.4768211920529799</v>
      </c>
      <c r="O42" s="10">
        <v>79232933774.834442</v>
      </c>
      <c r="P42" s="4">
        <v>25.095657879823591</v>
      </c>
      <c r="Q42" s="6">
        <v>214169922.59999999</v>
      </c>
      <c r="R42" s="3">
        <v>244.40068086628551</v>
      </c>
      <c r="S42" s="3">
        <v>344.83931683873169</v>
      </c>
      <c r="T42" s="4">
        <v>5.843078560243403</v>
      </c>
      <c r="U42" s="3">
        <v>348.03557862041419</v>
      </c>
      <c r="V42" s="4">
        <v>5.8523047119635692</v>
      </c>
      <c r="W42" s="5">
        <v>0</v>
      </c>
      <c r="X42" s="5">
        <v>0</v>
      </c>
      <c r="Y42" s="5">
        <v>0</v>
      </c>
      <c r="Z42" s="9" t="s">
        <v>41</v>
      </c>
      <c r="AA42" s="9" t="s">
        <v>42</v>
      </c>
      <c r="AB42" s="3">
        <v>214.60684939031739</v>
      </c>
      <c r="AC42" s="4">
        <v>5.3688077466971276</v>
      </c>
      <c r="AD42" s="3">
        <v>67.053172370283477</v>
      </c>
      <c r="AE42" s="3">
        <v>67.290385190588083</v>
      </c>
      <c r="AF42" s="4">
        <v>4.2054859221100571</v>
      </c>
      <c r="AG42" s="4">
        <v>4.2090173615201198</v>
      </c>
      <c r="AH42" s="4">
        <v>6.4000000000000001E-2</v>
      </c>
      <c r="AI42" s="4">
        <v>-2.7488721956224649</v>
      </c>
      <c r="AJ42" s="4">
        <v>20.612368149408439</v>
      </c>
      <c r="AK42" s="4">
        <v>20.57900756104706</v>
      </c>
      <c r="AL42" s="4">
        <v>3.3360588361379229E-2</v>
      </c>
    </row>
    <row r="43" spans="1:38" x14ac:dyDescent="0.3">
      <c r="A43" s="2" t="s">
        <v>123</v>
      </c>
      <c r="B43" s="2" t="s">
        <v>124</v>
      </c>
      <c r="C43" s="2">
        <v>2012</v>
      </c>
      <c r="D43" s="2">
        <v>2</v>
      </c>
      <c r="E43" s="2">
        <v>42</v>
      </c>
      <c r="F43" s="2">
        <v>42</v>
      </c>
      <c r="G43" s="6">
        <v>836057248</v>
      </c>
      <c r="H43" s="4">
        <v>20.54420764717333</v>
      </c>
      <c r="I43" s="10">
        <v>876306571</v>
      </c>
      <c r="J43" s="10">
        <v>824051949</v>
      </c>
      <c r="K43" s="4">
        <v>3.737669618283368</v>
      </c>
      <c r="L43" s="6">
        <v>54500000000</v>
      </c>
      <c r="M43" s="7">
        <v>1067</v>
      </c>
      <c r="N43" s="4">
        <v>1.462980318650422</v>
      </c>
      <c r="O43" s="10">
        <v>79732427366.447983</v>
      </c>
      <c r="P43" s="4">
        <v>25.101942207829289</v>
      </c>
      <c r="Q43" s="6">
        <v>207096129.69999999</v>
      </c>
      <c r="R43" s="3">
        <v>247.7056806760678</v>
      </c>
      <c r="S43" s="3">
        <v>348.03557862041419</v>
      </c>
      <c r="T43" s="4">
        <v>5.8523047119635692</v>
      </c>
      <c r="U43" s="3">
        <v>299.39869841688392</v>
      </c>
      <c r="V43" s="4">
        <v>5.7017761246710812</v>
      </c>
      <c r="W43" s="5">
        <v>1</v>
      </c>
      <c r="X43" s="5">
        <v>0</v>
      </c>
      <c r="Y43" s="5">
        <v>0</v>
      </c>
      <c r="Z43" s="9" t="s">
        <v>41</v>
      </c>
      <c r="AA43" s="9" t="s">
        <v>42</v>
      </c>
      <c r="AB43" s="3">
        <v>210.19349425392829</v>
      </c>
      <c r="AC43" s="4">
        <v>5.3480285076971272</v>
      </c>
      <c r="AD43" s="3">
        <v>66.729386600636957</v>
      </c>
      <c r="AE43" s="3">
        <v>67.053172370283477</v>
      </c>
      <c r="AF43" s="4">
        <v>4.2006454346154651</v>
      </c>
      <c r="AG43" s="4">
        <v>4.2054859221100571</v>
      </c>
      <c r="AH43" s="4">
        <v>6.4000000000000001E-2</v>
      </c>
      <c r="AI43" s="4">
        <v>-2.7488721956224649</v>
      </c>
      <c r="AJ43" s="4">
        <v>20.591226554571509</v>
      </c>
      <c r="AK43" s="4">
        <v>20.52974413078941</v>
      </c>
      <c r="AL43" s="4">
        <v>6.1482423782102558E-2</v>
      </c>
    </row>
    <row r="44" spans="1:38" x14ac:dyDescent="0.3">
      <c r="A44" s="2" t="s">
        <v>125</v>
      </c>
      <c r="B44" s="2" t="s">
        <v>126</v>
      </c>
      <c r="C44" s="2">
        <v>2012</v>
      </c>
      <c r="D44" s="2">
        <v>3</v>
      </c>
      <c r="E44" s="2">
        <v>43</v>
      </c>
      <c r="F44" s="2">
        <v>43</v>
      </c>
      <c r="G44" s="6">
        <v>919257321</v>
      </c>
      <c r="H44" s="4">
        <v>20.639076642215109</v>
      </c>
      <c r="I44" s="10">
        <v>836057248</v>
      </c>
      <c r="J44" s="10">
        <v>822635047</v>
      </c>
      <c r="K44" s="4">
        <v>3.7612001156935619</v>
      </c>
      <c r="L44" s="6">
        <v>54003000000</v>
      </c>
      <c r="M44" s="7">
        <v>1051</v>
      </c>
      <c r="N44" s="4">
        <v>1.485252140818268</v>
      </c>
      <c r="O44" s="10">
        <v>80208071360.608948</v>
      </c>
      <c r="P44" s="4">
        <v>25.10788998716157</v>
      </c>
      <c r="Q44" s="6">
        <v>196295254.19999999</v>
      </c>
      <c r="R44" s="3">
        <v>213.53678639889779</v>
      </c>
      <c r="S44" s="3">
        <v>299.39869841688392</v>
      </c>
      <c r="T44" s="4">
        <v>5.7017761246710812</v>
      </c>
      <c r="U44" s="3">
        <v>338.20313404021169</v>
      </c>
      <c r="V44" s="4">
        <v>5.8236467032465331</v>
      </c>
      <c r="W44" s="5">
        <v>0</v>
      </c>
      <c r="X44" s="5">
        <v>1</v>
      </c>
      <c r="Y44" s="5">
        <v>0</v>
      </c>
      <c r="Z44" s="9" t="s">
        <v>41</v>
      </c>
      <c r="AA44" s="9" t="s">
        <v>42</v>
      </c>
      <c r="AB44" s="3">
        <v>209.0522512495281</v>
      </c>
      <c r="AC44" s="4">
        <v>5.3425842266971273</v>
      </c>
      <c r="AD44" s="3">
        <v>67.436999431413909</v>
      </c>
      <c r="AE44" s="3">
        <v>66.729386600636957</v>
      </c>
      <c r="AF44" s="4">
        <v>4.2111938202870256</v>
      </c>
      <c r="AG44" s="4">
        <v>4.2006454346154651</v>
      </c>
      <c r="AH44" s="4">
        <v>6.7000000000000004E-2</v>
      </c>
      <c r="AI44" s="4">
        <v>-2.7030626595911711</v>
      </c>
      <c r="AJ44" s="4">
        <v>20.54420764717333</v>
      </c>
      <c r="AK44" s="4">
        <v>20.528023218007409</v>
      </c>
      <c r="AL44" s="4">
        <v>1.618442916592144E-2</v>
      </c>
    </row>
    <row r="45" spans="1:38" x14ac:dyDescent="0.3">
      <c r="A45" s="2" t="s">
        <v>127</v>
      </c>
      <c r="B45" s="2" t="s">
        <v>128</v>
      </c>
      <c r="C45" s="2">
        <v>2012</v>
      </c>
      <c r="D45" s="2">
        <v>4</v>
      </c>
      <c r="E45" s="2">
        <v>44</v>
      </c>
      <c r="F45" s="2">
        <v>44</v>
      </c>
      <c r="G45" s="6">
        <v>913751876</v>
      </c>
      <c r="H45" s="4">
        <v>20.633069622104131</v>
      </c>
      <c r="I45" s="10">
        <v>919257321</v>
      </c>
      <c r="J45" s="10">
        <v>895030317</v>
      </c>
      <c r="K45" s="4">
        <v>3.784189633918261</v>
      </c>
      <c r="L45" s="6">
        <v>54148000000</v>
      </c>
      <c r="M45" s="7">
        <v>1042</v>
      </c>
      <c r="N45" s="4">
        <v>1.4980806142034551</v>
      </c>
      <c r="O45" s="10">
        <v>81118069097.888672</v>
      </c>
      <c r="P45" s="4">
        <v>25.11917157347207</v>
      </c>
      <c r="Q45" s="6">
        <v>220177890.80000001</v>
      </c>
      <c r="R45" s="3">
        <v>240.9602612952666</v>
      </c>
      <c r="S45" s="3">
        <v>338.20313404021169</v>
      </c>
      <c r="T45" s="4">
        <v>5.8236467032465331</v>
      </c>
      <c r="U45" s="3">
        <v>339.08529871475622</v>
      </c>
      <c r="V45" s="4">
        <v>5.8262516943573921</v>
      </c>
      <c r="W45" s="5">
        <v>0</v>
      </c>
      <c r="X45" s="5">
        <v>0</v>
      </c>
      <c r="Y45" s="5">
        <v>1</v>
      </c>
      <c r="Z45" s="9" t="s">
        <v>41</v>
      </c>
      <c r="AA45" s="9" t="s">
        <v>42</v>
      </c>
      <c r="AB45" s="3">
        <v>210.5345912703369</v>
      </c>
      <c r="AC45" s="4">
        <v>5.3496499686971273</v>
      </c>
      <c r="AD45" s="3">
        <v>69.251947467680807</v>
      </c>
      <c r="AE45" s="3">
        <v>67.436999431413909</v>
      </c>
      <c r="AF45" s="4">
        <v>4.2377512669490036</v>
      </c>
      <c r="AG45" s="4">
        <v>4.2111938202870256</v>
      </c>
      <c r="AH45" s="4">
        <v>6.3E-2</v>
      </c>
      <c r="AI45" s="4">
        <v>-2.7646205525906038</v>
      </c>
      <c r="AJ45" s="4">
        <v>20.639076642215109</v>
      </c>
      <c r="AK45" s="4">
        <v>20.612368149408439</v>
      </c>
      <c r="AL45" s="4">
        <v>2.670849280666943E-2</v>
      </c>
    </row>
    <row r="46" spans="1:38" x14ac:dyDescent="0.3">
      <c r="A46" s="2" t="s">
        <v>129</v>
      </c>
      <c r="B46" s="2" t="s">
        <v>130</v>
      </c>
      <c r="C46" s="2">
        <v>2013</v>
      </c>
      <c r="D46" s="2">
        <v>1</v>
      </c>
      <c r="E46" s="2">
        <v>45</v>
      </c>
      <c r="F46" s="2">
        <v>45</v>
      </c>
      <c r="G46" s="6">
        <v>866434532</v>
      </c>
      <c r="H46" s="4">
        <v>20.579897109735828</v>
      </c>
      <c r="I46" s="10">
        <v>913751876</v>
      </c>
      <c r="J46" s="10">
        <v>876306571</v>
      </c>
      <c r="K46" s="4">
        <v>3.8066624897703201</v>
      </c>
      <c r="L46" s="6">
        <v>55225000000</v>
      </c>
      <c r="M46" s="7">
        <v>1057</v>
      </c>
      <c r="N46" s="4">
        <v>1.4768211920529799</v>
      </c>
      <c r="O46" s="10">
        <v>81557450331.125824</v>
      </c>
      <c r="P46" s="4">
        <v>25.124573520897791</v>
      </c>
      <c r="Q46" s="6">
        <v>210198516.19999999</v>
      </c>
      <c r="R46" s="3">
        <v>242.60172977500861</v>
      </c>
      <c r="S46" s="3">
        <v>339.08529871475622</v>
      </c>
      <c r="T46" s="4">
        <v>5.8262516943573921</v>
      </c>
      <c r="U46" s="3">
        <v>338.26329891039381</v>
      </c>
      <c r="V46" s="4">
        <v>5.8238245830862718</v>
      </c>
      <c r="W46" s="5">
        <v>0</v>
      </c>
      <c r="X46" s="5">
        <v>0</v>
      </c>
      <c r="Y46" s="5">
        <v>0</v>
      </c>
      <c r="Z46" s="9" t="s">
        <v>41</v>
      </c>
      <c r="AA46" s="9" t="s">
        <v>42</v>
      </c>
      <c r="AB46" s="3">
        <v>206.44081428696899</v>
      </c>
      <c r="AC46" s="4">
        <v>5.3300137576971274</v>
      </c>
      <c r="AD46" s="3">
        <v>69.126206994641564</v>
      </c>
      <c r="AE46" s="3">
        <v>69.251947467680807</v>
      </c>
      <c r="AF46" s="4">
        <v>4.2359339207336957</v>
      </c>
      <c r="AG46" s="4">
        <v>4.2377512669490036</v>
      </c>
      <c r="AH46" s="4">
        <v>5.8000000000000003E-2</v>
      </c>
      <c r="AI46" s="4">
        <v>-2.8473122684357182</v>
      </c>
      <c r="AJ46" s="4">
        <v>20.633069622104131</v>
      </c>
      <c r="AK46" s="4">
        <v>20.591226554571509</v>
      </c>
      <c r="AL46" s="4">
        <v>4.1843067532617788E-2</v>
      </c>
    </row>
    <row r="47" spans="1:38" x14ac:dyDescent="0.3">
      <c r="A47" s="2" t="s">
        <v>131</v>
      </c>
      <c r="B47" s="2" t="s">
        <v>132</v>
      </c>
      <c r="C47" s="2">
        <v>2013</v>
      </c>
      <c r="D47" s="2">
        <v>2</v>
      </c>
      <c r="E47" s="2">
        <v>46</v>
      </c>
      <c r="F47" s="2">
        <v>46</v>
      </c>
      <c r="G47" s="6">
        <v>852866288</v>
      </c>
      <c r="H47" s="4">
        <v>20.564113338186189</v>
      </c>
      <c r="I47" s="10">
        <v>866434532</v>
      </c>
      <c r="J47" s="10">
        <v>836057248</v>
      </c>
      <c r="K47" s="4">
        <v>3.8286413964890951</v>
      </c>
      <c r="L47" s="6">
        <v>55741000000</v>
      </c>
      <c r="M47" s="7">
        <v>1072</v>
      </c>
      <c r="N47" s="4">
        <v>1.456156716417911</v>
      </c>
      <c r="O47" s="10">
        <v>81167631529.850754</v>
      </c>
      <c r="P47" s="4">
        <v>25.11978237816172</v>
      </c>
      <c r="Q47" s="6">
        <v>206620714.09999999</v>
      </c>
      <c r="R47" s="3">
        <v>242.2662461949721</v>
      </c>
      <c r="S47" s="3">
        <v>338.26329891039381</v>
      </c>
      <c r="T47" s="4">
        <v>5.8238245830862718</v>
      </c>
      <c r="U47" s="3">
        <v>332.88250780781232</v>
      </c>
      <c r="V47" s="4">
        <v>5.8077895983155354</v>
      </c>
      <c r="W47" s="5">
        <v>1</v>
      </c>
      <c r="X47" s="5">
        <v>0</v>
      </c>
      <c r="Y47" s="5">
        <v>0</v>
      </c>
      <c r="Z47" s="9" t="s">
        <v>41</v>
      </c>
      <c r="AA47" s="9" t="s">
        <v>42</v>
      </c>
      <c r="AB47" s="3">
        <v>197.1499478288907</v>
      </c>
      <c r="AC47" s="4">
        <v>5.2839645956971273</v>
      </c>
      <c r="AD47" s="3">
        <v>68.950781923776006</v>
      </c>
      <c r="AE47" s="3">
        <v>69.126206994641564</v>
      </c>
      <c r="AF47" s="4">
        <v>4.233392944621361</v>
      </c>
      <c r="AG47" s="4">
        <v>4.2359339207336957</v>
      </c>
      <c r="AH47" s="4">
        <v>0.06</v>
      </c>
      <c r="AI47" s="4">
        <v>-2.813410716760036</v>
      </c>
      <c r="AJ47" s="4">
        <v>20.579897109735828</v>
      </c>
      <c r="AK47" s="4">
        <v>20.54420764717333</v>
      </c>
      <c r="AL47" s="4">
        <v>3.5689462562498157E-2</v>
      </c>
    </row>
    <row r="48" spans="1:38" x14ac:dyDescent="0.3">
      <c r="A48" s="2" t="s">
        <v>133</v>
      </c>
      <c r="B48" s="2" t="s">
        <v>134</v>
      </c>
      <c r="C48" s="2">
        <v>2013</v>
      </c>
      <c r="D48" s="2">
        <v>3</v>
      </c>
      <c r="E48" s="2">
        <v>47</v>
      </c>
      <c r="F48" s="2">
        <v>47</v>
      </c>
      <c r="G48" s="6">
        <v>887793202</v>
      </c>
      <c r="H48" s="4">
        <v>20.60424939320491</v>
      </c>
      <c r="I48" s="10">
        <v>852866288</v>
      </c>
      <c r="J48" s="10">
        <v>919257321</v>
      </c>
      <c r="K48" s="4">
        <v>3.850147601710058</v>
      </c>
      <c r="L48" s="6">
        <v>57553000000</v>
      </c>
      <c r="M48" s="7">
        <v>1097</v>
      </c>
      <c r="N48" s="4">
        <v>1.4229717411121241</v>
      </c>
      <c r="O48" s="10">
        <v>81896292616.226059</v>
      </c>
      <c r="P48" s="4">
        <v>25.1287195595797</v>
      </c>
      <c r="Q48" s="6">
        <v>213647379.40000001</v>
      </c>
      <c r="R48" s="3">
        <v>240.64993843014361</v>
      </c>
      <c r="S48" s="3">
        <v>332.88250780781232</v>
      </c>
      <c r="T48" s="4">
        <v>5.8077895983155354</v>
      </c>
      <c r="U48" s="3">
        <v>348.54885260678469</v>
      </c>
      <c r="V48" s="4">
        <v>5.8537784000227706</v>
      </c>
      <c r="W48" s="5">
        <v>0</v>
      </c>
      <c r="X48" s="5">
        <v>1</v>
      </c>
      <c r="Y48" s="5">
        <v>0</v>
      </c>
      <c r="Z48" s="9" t="s">
        <v>41</v>
      </c>
      <c r="AA48" s="9" t="s">
        <v>42</v>
      </c>
      <c r="AB48" s="3">
        <v>208.3196280818286</v>
      </c>
      <c r="AC48" s="4">
        <v>5.3390735736971271</v>
      </c>
      <c r="AD48" s="3">
        <v>74.773364882746392</v>
      </c>
      <c r="AE48" s="3">
        <v>68.950781923776006</v>
      </c>
      <c r="AF48" s="4">
        <v>4.3144617371120457</v>
      </c>
      <c r="AG48" s="4">
        <v>4.233392944621361</v>
      </c>
      <c r="AH48" s="4">
        <v>5.8000000000000003E-2</v>
      </c>
      <c r="AI48" s="4">
        <v>-2.8473122684357182</v>
      </c>
      <c r="AJ48" s="4">
        <v>20.564113338186189</v>
      </c>
      <c r="AK48" s="4">
        <v>20.639076642215109</v>
      </c>
      <c r="AL48" s="4">
        <v>-7.4963304028919708E-2</v>
      </c>
    </row>
    <row r="49" spans="1:38" x14ac:dyDescent="0.3">
      <c r="A49" s="2" t="s">
        <v>135</v>
      </c>
      <c r="B49" s="2" t="s">
        <v>136</v>
      </c>
      <c r="C49" s="2">
        <v>2013</v>
      </c>
      <c r="D49" s="2">
        <v>4</v>
      </c>
      <c r="E49" s="2">
        <v>48</v>
      </c>
      <c r="F49" s="2">
        <v>48</v>
      </c>
      <c r="G49" s="6">
        <v>948741075</v>
      </c>
      <c r="H49" s="4">
        <v>20.670646479515241</v>
      </c>
      <c r="I49" s="10">
        <v>887793202</v>
      </c>
      <c r="J49" s="10">
        <v>913751876</v>
      </c>
      <c r="K49" s="4">
        <v>3.8712010109078911</v>
      </c>
      <c r="L49" s="6">
        <v>59579000000</v>
      </c>
      <c r="M49" s="7">
        <v>1129</v>
      </c>
      <c r="N49" s="4">
        <v>1.3826395039858279</v>
      </c>
      <c r="O49" s="10">
        <v>82376279007.971649</v>
      </c>
      <c r="P49" s="4">
        <v>25.13456335630071</v>
      </c>
      <c r="Q49" s="6">
        <v>239306536.30000001</v>
      </c>
      <c r="R49" s="3">
        <v>252.235876158308</v>
      </c>
      <c r="S49" s="3">
        <v>348.54885260678469</v>
      </c>
      <c r="T49" s="4">
        <v>5.8537784000227706</v>
      </c>
      <c r="U49" s="3">
        <v>349.89873712523928</v>
      </c>
      <c r="V49" s="4">
        <v>5.8576437901223146</v>
      </c>
      <c r="W49" s="5">
        <v>0</v>
      </c>
      <c r="X49" s="5">
        <v>0</v>
      </c>
      <c r="Y49" s="5">
        <v>1</v>
      </c>
      <c r="Z49" s="9" t="s">
        <v>41</v>
      </c>
      <c r="AA49" s="9" t="s">
        <v>42</v>
      </c>
      <c r="AB49" s="3">
        <v>205.75552119837229</v>
      </c>
      <c r="AC49" s="4">
        <v>5.3266886736971273</v>
      </c>
      <c r="AD49" s="3">
        <v>75.115645193713661</v>
      </c>
      <c r="AE49" s="3">
        <v>74.773364882746392</v>
      </c>
      <c r="AF49" s="4">
        <v>4.3190288618899144</v>
      </c>
      <c r="AG49" s="4">
        <v>4.3144617371120457</v>
      </c>
      <c r="AH49" s="4">
        <v>5.7000000000000002E-2</v>
      </c>
      <c r="AI49" s="4">
        <v>-2.864704011147587</v>
      </c>
      <c r="AJ49" s="4">
        <v>20.60424939320491</v>
      </c>
      <c r="AK49" s="4">
        <v>20.633069622104131</v>
      </c>
      <c r="AL49" s="4">
        <v>-2.8820228899220979E-2</v>
      </c>
    </row>
    <row r="50" spans="1:38" x14ac:dyDescent="0.3">
      <c r="A50" s="2" t="s">
        <v>137</v>
      </c>
      <c r="B50" s="2" t="s">
        <v>138</v>
      </c>
      <c r="C50" s="2">
        <v>2014</v>
      </c>
      <c r="D50" s="2">
        <v>1</v>
      </c>
      <c r="E50" s="2">
        <v>49</v>
      </c>
      <c r="F50" s="2">
        <v>49</v>
      </c>
      <c r="G50" s="6">
        <v>921251411</v>
      </c>
      <c r="H50" s="4">
        <v>20.641243533081301</v>
      </c>
      <c r="I50" s="10">
        <v>948741075</v>
      </c>
      <c r="J50" s="10">
        <v>866434532</v>
      </c>
      <c r="K50" s="4">
        <v>3.891820298110626</v>
      </c>
      <c r="L50" s="6">
        <v>59843000000</v>
      </c>
      <c r="M50" s="7">
        <v>1122</v>
      </c>
      <c r="N50" s="4">
        <v>1.39126559714795</v>
      </c>
      <c r="O50" s="10">
        <v>83257507130.124786</v>
      </c>
      <c r="P50" s="4">
        <v>25.145204137478611</v>
      </c>
      <c r="Q50" s="6">
        <v>233994812.19999999</v>
      </c>
      <c r="R50" s="3">
        <v>253.99669341727599</v>
      </c>
      <c r="S50" s="3">
        <v>349.89873712523928</v>
      </c>
      <c r="T50" s="4">
        <v>5.8576437901223146</v>
      </c>
      <c r="U50" s="3">
        <v>348.69896812663382</v>
      </c>
      <c r="V50" s="4">
        <v>5.8542089944762914</v>
      </c>
      <c r="W50" s="5">
        <v>0</v>
      </c>
      <c r="X50" s="5">
        <v>0</v>
      </c>
      <c r="Y50" s="5">
        <v>0</v>
      </c>
      <c r="Z50" s="9" t="s">
        <v>41</v>
      </c>
      <c r="AA50" s="9" t="s">
        <v>42</v>
      </c>
      <c r="AB50" s="3">
        <v>201.26327154651969</v>
      </c>
      <c r="AC50" s="4">
        <v>5.3046138596971284</v>
      </c>
      <c r="AD50" s="3">
        <v>74.926032766157448</v>
      </c>
      <c r="AE50" s="3">
        <v>75.115645193713661</v>
      </c>
      <c r="AF50" s="4">
        <v>4.3165013971071602</v>
      </c>
      <c r="AG50" s="4">
        <v>4.3190288618899144</v>
      </c>
      <c r="AH50" s="4">
        <v>5.5999999999999987E-2</v>
      </c>
      <c r="AI50" s="4">
        <v>-2.8824035882469881</v>
      </c>
      <c r="AJ50" s="4">
        <v>20.670646479515241</v>
      </c>
      <c r="AK50" s="4">
        <v>20.579897109735828</v>
      </c>
      <c r="AL50" s="4">
        <v>9.0749369779409506E-2</v>
      </c>
    </row>
    <row r="51" spans="1:38" x14ac:dyDescent="0.3">
      <c r="A51" s="2" t="s">
        <v>139</v>
      </c>
      <c r="B51" s="2" t="s">
        <v>140</v>
      </c>
      <c r="C51" s="2">
        <v>2014</v>
      </c>
      <c r="D51" s="2">
        <v>2</v>
      </c>
      <c r="E51" s="2">
        <v>50</v>
      </c>
      <c r="F51" s="2">
        <v>50</v>
      </c>
      <c r="G51" s="6">
        <v>888721068</v>
      </c>
      <c r="H51" s="4">
        <v>20.60529398496535</v>
      </c>
      <c r="I51" s="10">
        <v>921251411</v>
      </c>
      <c r="J51" s="10">
        <v>852866288</v>
      </c>
      <c r="K51" s="4">
        <v>3.912023005428146</v>
      </c>
      <c r="L51" s="6">
        <v>59983000000</v>
      </c>
      <c r="M51" s="7">
        <v>1119</v>
      </c>
      <c r="N51" s="4">
        <v>1.394995531724754</v>
      </c>
      <c r="O51" s="10">
        <v>83676016979.445938</v>
      </c>
      <c r="P51" s="4">
        <v>25.150218237892211</v>
      </c>
      <c r="Q51" s="6">
        <v>225652514.09999999</v>
      </c>
      <c r="R51" s="3">
        <v>253.90701562618969</v>
      </c>
      <c r="S51" s="3">
        <v>348.69896812663382</v>
      </c>
      <c r="T51" s="4">
        <v>5.8542089944762914</v>
      </c>
      <c r="U51" s="3">
        <v>330.15572382341958</v>
      </c>
      <c r="V51" s="4">
        <v>5.7995644335292766</v>
      </c>
      <c r="W51" s="5">
        <v>1</v>
      </c>
      <c r="X51" s="5">
        <v>0</v>
      </c>
      <c r="Y51" s="5">
        <v>0</v>
      </c>
      <c r="Z51" s="9" t="s">
        <v>41</v>
      </c>
      <c r="AA51" s="9" t="s">
        <v>42</v>
      </c>
      <c r="AB51" s="3">
        <v>198.03466669695661</v>
      </c>
      <c r="AC51" s="4">
        <v>5.2884420996971269</v>
      </c>
      <c r="AD51" s="3">
        <v>74.486094762441866</v>
      </c>
      <c r="AE51" s="3">
        <v>74.926032766157448</v>
      </c>
      <c r="AF51" s="4">
        <v>4.3106124604807023</v>
      </c>
      <c r="AG51" s="4">
        <v>4.3165013971071602</v>
      </c>
      <c r="AH51" s="4">
        <v>5.2999999999999999E-2</v>
      </c>
      <c r="AI51" s="4">
        <v>-2.9374633654300148</v>
      </c>
      <c r="AJ51" s="4">
        <v>20.641243533081301</v>
      </c>
      <c r="AK51" s="4">
        <v>20.564113338186189</v>
      </c>
      <c r="AL51" s="4">
        <v>7.7130194895108417E-2</v>
      </c>
    </row>
    <row r="52" spans="1:38" x14ac:dyDescent="0.3">
      <c r="A52" s="2" t="s">
        <v>141</v>
      </c>
      <c r="B52" s="2" t="s">
        <v>142</v>
      </c>
      <c r="C52" s="2">
        <v>2014</v>
      </c>
      <c r="D52" s="2">
        <v>3</v>
      </c>
      <c r="E52" s="2">
        <v>51</v>
      </c>
      <c r="F52" s="2">
        <v>51</v>
      </c>
      <c r="G52" s="6">
        <v>938396028</v>
      </c>
      <c r="H52" s="4">
        <v>20.659682622558009</v>
      </c>
      <c r="I52" s="10">
        <v>888721068</v>
      </c>
      <c r="J52" s="10">
        <v>887793202</v>
      </c>
      <c r="K52" s="4">
        <v>3.9318256327243262</v>
      </c>
      <c r="L52" s="6">
        <v>60330000000</v>
      </c>
      <c r="M52" s="7">
        <v>1112</v>
      </c>
      <c r="N52" s="4">
        <v>1.403776978417266</v>
      </c>
      <c r="O52" s="10">
        <v>84689865107.913666</v>
      </c>
      <c r="P52" s="4">
        <v>25.162261775103989</v>
      </c>
      <c r="Q52" s="6">
        <v>226288909.5</v>
      </c>
      <c r="R52" s="3">
        <v>241.14435989492489</v>
      </c>
      <c r="S52" s="3">
        <v>330.15572382341958</v>
      </c>
      <c r="T52" s="4">
        <v>5.7995644335292766</v>
      </c>
      <c r="U52" s="3">
        <v>353.45335930967798</v>
      </c>
      <c r="V52" s="4">
        <v>5.8677515369137918</v>
      </c>
      <c r="W52" s="5">
        <v>0</v>
      </c>
      <c r="X52" s="5">
        <v>1</v>
      </c>
      <c r="Y52" s="5">
        <v>0</v>
      </c>
      <c r="Z52" s="9" t="s">
        <v>41</v>
      </c>
      <c r="AA52" s="9" t="s">
        <v>42</v>
      </c>
      <c r="AB52" s="3">
        <v>196.19498981559391</v>
      </c>
      <c r="AC52" s="4">
        <v>5.2791090106971268</v>
      </c>
      <c r="AD52" s="3">
        <v>80.391988416381309</v>
      </c>
      <c r="AE52" s="3">
        <v>74.486094762441866</v>
      </c>
      <c r="AF52" s="4">
        <v>4.3869145246574508</v>
      </c>
      <c r="AG52" s="4">
        <v>4.3106124604807023</v>
      </c>
      <c r="AH52" s="4">
        <v>5.2999999999999999E-2</v>
      </c>
      <c r="AI52" s="4">
        <v>-2.9374633654300148</v>
      </c>
      <c r="AJ52" s="4">
        <v>20.60529398496535</v>
      </c>
      <c r="AK52" s="4">
        <v>20.60424939320491</v>
      </c>
      <c r="AL52" s="4">
        <v>1.044591760436475E-3</v>
      </c>
    </row>
    <row r="53" spans="1:38" x14ac:dyDescent="0.3">
      <c r="A53" s="2" t="s">
        <v>143</v>
      </c>
      <c r="B53" s="2" t="s">
        <v>144</v>
      </c>
      <c r="C53" s="2">
        <v>2014</v>
      </c>
      <c r="D53" s="2">
        <v>4</v>
      </c>
      <c r="E53" s="2">
        <v>52</v>
      </c>
      <c r="F53" s="2">
        <v>52</v>
      </c>
      <c r="G53" s="6">
        <v>959954697</v>
      </c>
      <c r="H53" s="4">
        <v>20.68239665068764</v>
      </c>
      <c r="I53" s="10">
        <v>938396028</v>
      </c>
      <c r="J53" s="10">
        <v>948741075</v>
      </c>
      <c r="K53" s="4">
        <v>3.951243718581428</v>
      </c>
      <c r="L53" s="6">
        <v>60828000000</v>
      </c>
      <c r="M53" s="7">
        <v>1106</v>
      </c>
      <c r="N53" s="4">
        <v>1.4113924050632909</v>
      </c>
      <c r="O53" s="10">
        <v>85852177215.189865</v>
      </c>
      <c r="P53" s="4">
        <v>25.17589278465778</v>
      </c>
      <c r="Q53" s="6">
        <v>247315930.80000001</v>
      </c>
      <c r="R53" s="3">
        <v>257.63291910847329</v>
      </c>
      <c r="S53" s="3">
        <v>353.45335930967798</v>
      </c>
      <c r="T53" s="4">
        <v>5.8677515369137918</v>
      </c>
      <c r="U53" s="3">
        <v>355.47184961340997</v>
      </c>
      <c r="V53" s="4">
        <v>5.8734460607729782</v>
      </c>
      <c r="W53" s="5">
        <v>0</v>
      </c>
      <c r="X53" s="5">
        <v>0</v>
      </c>
      <c r="Y53" s="5">
        <v>1</v>
      </c>
      <c r="Z53" s="9" t="s">
        <v>41</v>
      </c>
      <c r="AA53" s="9" t="s">
        <v>42</v>
      </c>
      <c r="AB53" s="3">
        <v>181.50584021804801</v>
      </c>
      <c r="AC53" s="4">
        <v>5.2012878306971269</v>
      </c>
      <c r="AD53" s="3">
        <v>81.299448541956238</v>
      </c>
      <c r="AE53" s="3">
        <v>80.391988416381309</v>
      </c>
      <c r="AF53" s="4">
        <v>4.3981392335289922</v>
      </c>
      <c r="AG53" s="4">
        <v>4.3869145246574508</v>
      </c>
      <c r="AH53" s="4">
        <v>5.5E-2</v>
      </c>
      <c r="AI53" s="4">
        <v>-2.9004220937496661</v>
      </c>
      <c r="AJ53" s="4">
        <v>20.659682622558009</v>
      </c>
      <c r="AK53" s="4">
        <v>20.670646479515241</v>
      </c>
      <c r="AL53" s="4">
        <v>-1.096385695723257E-2</v>
      </c>
    </row>
    <row r="54" spans="1:38" x14ac:dyDescent="0.3">
      <c r="A54" s="2" t="s">
        <v>145</v>
      </c>
      <c r="B54" s="2" t="s">
        <v>146</v>
      </c>
      <c r="C54" s="2">
        <v>2015</v>
      </c>
      <c r="D54" s="2">
        <v>1</v>
      </c>
      <c r="E54" s="2">
        <v>53</v>
      </c>
      <c r="F54" s="2">
        <v>53</v>
      </c>
      <c r="G54" s="6">
        <v>929371695</v>
      </c>
      <c r="H54" s="4">
        <v>20.650019319019041</v>
      </c>
      <c r="I54" s="10">
        <v>959954697</v>
      </c>
      <c r="J54" s="10">
        <v>921251411</v>
      </c>
      <c r="K54" s="4">
        <v>3.970291913552122</v>
      </c>
      <c r="L54" s="6">
        <v>61674000000</v>
      </c>
      <c r="M54" s="7">
        <v>1113</v>
      </c>
      <c r="N54" s="4">
        <v>1.4025157232704399</v>
      </c>
      <c r="O54" s="10">
        <v>86498754716.981125</v>
      </c>
      <c r="P54" s="4">
        <v>25.183395854445141</v>
      </c>
      <c r="Q54" s="6">
        <v>240557385</v>
      </c>
      <c r="R54" s="3">
        <v>258.8387254466578</v>
      </c>
      <c r="S54" s="3">
        <v>355.47184961340997</v>
      </c>
      <c r="T54" s="4">
        <v>5.8734460607729782</v>
      </c>
      <c r="U54" s="3">
        <v>353.89628446265482</v>
      </c>
      <c r="V54" s="4">
        <v>5.8690038884623252</v>
      </c>
      <c r="W54" s="5">
        <v>0</v>
      </c>
      <c r="X54" s="5">
        <v>0</v>
      </c>
      <c r="Y54" s="5">
        <v>0</v>
      </c>
      <c r="Z54" s="9" t="s">
        <v>41</v>
      </c>
      <c r="AA54" s="9" t="s">
        <v>42</v>
      </c>
      <c r="AB54" s="3">
        <v>150.79199998919901</v>
      </c>
      <c r="AC54" s="4">
        <v>5.0159014036971268</v>
      </c>
      <c r="AD54" s="3">
        <v>81.437016349918167</v>
      </c>
      <c r="AE54" s="3">
        <v>81.299448541956238</v>
      </c>
      <c r="AF54" s="4">
        <v>4.3998299159562162</v>
      </c>
      <c r="AG54" s="4">
        <v>4.3981392335289922</v>
      </c>
      <c r="AH54" s="4">
        <v>5.5E-2</v>
      </c>
      <c r="AI54" s="4">
        <v>-2.9004220937496661</v>
      </c>
      <c r="AJ54" s="4">
        <v>20.68239665068764</v>
      </c>
      <c r="AK54" s="4">
        <v>20.641243533081301</v>
      </c>
      <c r="AL54" s="4">
        <v>4.1153117606341993E-2</v>
      </c>
    </row>
    <row r="55" spans="1:38" x14ac:dyDescent="0.3">
      <c r="A55" s="2" t="s">
        <v>147</v>
      </c>
      <c r="B55" s="2" t="s">
        <v>148</v>
      </c>
      <c r="C55" s="2">
        <v>2015</v>
      </c>
      <c r="D55" s="2">
        <v>2</v>
      </c>
      <c r="E55" s="2">
        <v>54</v>
      </c>
      <c r="F55" s="2">
        <v>54</v>
      </c>
      <c r="G55" s="6">
        <v>871071228</v>
      </c>
      <c r="H55" s="4">
        <v>20.585234308740709</v>
      </c>
      <c r="I55" s="10">
        <v>929371695</v>
      </c>
      <c r="J55" s="10">
        <v>888721068</v>
      </c>
      <c r="K55" s="4">
        <v>3.988984046564275</v>
      </c>
      <c r="L55" s="6">
        <v>62935000000</v>
      </c>
      <c r="M55" s="7">
        <v>1126</v>
      </c>
      <c r="N55" s="4">
        <v>1.3863232682060389</v>
      </c>
      <c r="O55" s="10">
        <v>87248254884.547073</v>
      </c>
      <c r="P55" s="4">
        <v>25.192023396505679</v>
      </c>
      <c r="Q55" s="6">
        <v>225388517.40000001</v>
      </c>
      <c r="R55" s="3">
        <v>258.74866504028307</v>
      </c>
      <c r="S55" s="3">
        <v>353.89628446265482</v>
      </c>
      <c r="T55" s="4">
        <v>5.8690038884623252</v>
      </c>
      <c r="U55" s="3">
        <v>345.74313872358249</v>
      </c>
      <c r="V55" s="4">
        <v>5.8456961257307007</v>
      </c>
      <c r="W55" s="5">
        <v>1</v>
      </c>
      <c r="X55" s="5">
        <v>0</v>
      </c>
      <c r="Y55" s="5">
        <v>0</v>
      </c>
      <c r="Z55" s="9" t="s">
        <v>41</v>
      </c>
      <c r="AA55" s="9" t="s">
        <v>42</v>
      </c>
      <c r="AB55" s="3">
        <v>166.31501532248839</v>
      </c>
      <c r="AC55" s="4">
        <v>5.1138836726971268</v>
      </c>
      <c r="AD55" s="3">
        <v>80.95875752956205</v>
      </c>
      <c r="AE55" s="3">
        <v>81.437016349918167</v>
      </c>
      <c r="AF55" s="4">
        <v>4.3939398587015566</v>
      </c>
      <c r="AG55" s="4">
        <v>4.3998299159562162</v>
      </c>
      <c r="AH55" s="4">
        <v>5.5E-2</v>
      </c>
      <c r="AI55" s="4">
        <v>-2.9004220937496661</v>
      </c>
      <c r="AJ55" s="4">
        <v>20.650019319019041</v>
      </c>
      <c r="AK55" s="4">
        <v>20.60529398496535</v>
      </c>
      <c r="AL55" s="4">
        <v>4.472533405369461E-2</v>
      </c>
    </row>
    <row r="56" spans="1:38" x14ac:dyDescent="0.3">
      <c r="A56" s="2" t="s">
        <v>149</v>
      </c>
      <c r="B56" s="2" t="s">
        <v>150</v>
      </c>
      <c r="C56" s="2">
        <v>2015</v>
      </c>
      <c r="D56" s="2">
        <v>3</v>
      </c>
      <c r="E56" s="2">
        <v>55</v>
      </c>
      <c r="F56" s="2">
        <v>55</v>
      </c>
      <c r="G56" s="6">
        <v>941192499</v>
      </c>
      <c r="H56" s="4">
        <v>20.662658245172469</v>
      </c>
      <c r="I56" s="10">
        <v>871071228</v>
      </c>
      <c r="J56" s="10">
        <v>938396028</v>
      </c>
      <c r="K56" s="4">
        <v>4.0073331852324712</v>
      </c>
      <c r="L56" s="6">
        <v>63542000000</v>
      </c>
      <c r="M56" s="7">
        <v>1122</v>
      </c>
      <c r="N56" s="4">
        <v>1.39126559714795</v>
      </c>
      <c r="O56" s="10">
        <v>88403798573.975052</v>
      </c>
      <c r="P56" s="4">
        <v>25.205180775960649</v>
      </c>
      <c r="Q56" s="6">
        <v>238650824.09999999</v>
      </c>
      <c r="R56" s="3">
        <v>253.56218239474089</v>
      </c>
      <c r="S56" s="3">
        <v>345.74313872358249</v>
      </c>
      <c r="T56" s="4">
        <v>5.8456961257307007</v>
      </c>
      <c r="U56" s="3">
        <v>367.31888174033509</v>
      </c>
      <c r="V56" s="4">
        <v>5.9062303583661233</v>
      </c>
      <c r="W56" s="5">
        <v>0</v>
      </c>
      <c r="X56" s="5">
        <v>1</v>
      </c>
      <c r="Y56" s="5">
        <v>0</v>
      </c>
      <c r="Z56" s="9" t="s">
        <v>41</v>
      </c>
      <c r="AA56" s="9" t="s">
        <v>42</v>
      </c>
      <c r="AB56" s="3">
        <v>161.98900210661901</v>
      </c>
      <c r="AC56" s="4">
        <v>5.087528444697127</v>
      </c>
      <c r="AD56" s="3">
        <v>85.585537089549391</v>
      </c>
      <c r="AE56" s="3">
        <v>80.95875752956205</v>
      </c>
      <c r="AF56" s="4">
        <v>4.4495163096382413</v>
      </c>
      <c r="AG56" s="4">
        <v>4.3939398587015566</v>
      </c>
      <c r="AH56" s="4">
        <v>5.7000000000000002E-2</v>
      </c>
      <c r="AI56" s="4">
        <v>-2.864704011147587</v>
      </c>
      <c r="AJ56" s="4">
        <v>20.585234308740709</v>
      </c>
      <c r="AK56" s="4">
        <v>20.659682622558009</v>
      </c>
      <c r="AL56" s="4">
        <v>-7.4448313817303102E-2</v>
      </c>
    </row>
    <row r="57" spans="1:38" x14ac:dyDescent="0.3">
      <c r="A57" s="2" t="s">
        <v>151</v>
      </c>
      <c r="B57" s="2" t="s">
        <v>152</v>
      </c>
      <c r="C57" s="2">
        <v>2015</v>
      </c>
      <c r="D57" s="2">
        <v>4</v>
      </c>
      <c r="E57" s="2">
        <v>56</v>
      </c>
      <c r="F57" s="2">
        <v>56</v>
      </c>
      <c r="G57" s="6">
        <v>952243538</v>
      </c>
      <c r="H57" s="4">
        <v>20.674331377266881</v>
      </c>
      <c r="I57" s="10">
        <v>941192499</v>
      </c>
      <c r="J57" s="10">
        <v>959954697</v>
      </c>
      <c r="K57" s="4">
        <v>4.0253516907351496</v>
      </c>
      <c r="L57" s="6">
        <v>63719000000</v>
      </c>
      <c r="M57" s="7">
        <v>1114</v>
      </c>
      <c r="N57" s="4">
        <v>1.4012567324955121</v>
      </c>
      <c r="O57" s="10">
        <v>89286677737.8815</v>
      </c>
      <c r="P57" s="4">
        <v>25.215118128233549</v>
      </c>
      <c r="Q57" s="6">
        <v>255214458.40000001</v>
      </c>
      <c r="R57" s="3">
        <v>268.01385172539761</v>
      </c>
      <c r="S57" s="3">
        <v>367.31888174033509</v>
      </c>
      <c r="T57" s="4">
        <v>5.9062303583661233</v>
      </c>
      <c r="U57" s="3">
        <v>368.15049835574712</v>
      </c>
      <c r="V57" s="4">
        <v>5.9084918174896126</v>
      </c>
      <c r="W57" s="5">
        <v>0</v>
      </c>
      <c r="X57" s="5">
        <v>0</v>
      </c>
      <c r="Y57" s="5">
        <v>1</v>
      </c>
      <c r="Z57" s="9" t="s">
        <v>41</v>
      </c>
      <c r="AA57" s="9" t="s">
        <v>42</v>
      </c>
      <c r="AB57" s="3">
        <v>148.29048101055821</v>
      </c>
      <c r="AC57" s="4">
        <v>4.9991730596971271</v>
      </c>
      <c r="AD57" s="3">
        <v>86.593362263320628</v>
      </c>
      <c r="AE57" s="3">
        <v>85.585537089549391</v>
      </c>
      <c r="AF57" s="4">
        <v>4.4612231644012086</v>
      </c>
      <c r="AG57" s="4">
        <v>4.4495163096382413</v>
      </c>
      <c r="AH57" s="4">
        <v>0.05</v>
      </c>
      <c r="AI57" s="4">
        <v>-2.9957322735539909</v>
      </c>
      <c r="AJ57" s="4">
        <v>20.662658245172469</v>
      </c>
      <c r="AK57" s="4">
        <v>20.68239665068764</v>
      </c>
      <c r="AL57" s="4">
        <v>-1.9738405515177249E-2</v>
      </c>
    </row>
    <row r="58" spans="1:38" x14ac:dyDescent="0.3">
      <c r="A58" s="2" t="s">
        <v>153</v>
      </c>
      <c r="B58" s="2" t="s">
        <v>154</v>
      </c>
      <c r="C58" s="2">
        <v>2016</v>
      </c>
      <c r="D58" s="2">
        <v>1</v>
      </c>
      <c r="E58" s="2">
        <v>57</v>
      </c>
      <c r="F58" s="2">
        <v>57</v>
      </c>
      <c r="G58" s="6">
        <v>920125016</v>
      </c>
      <c r="H58" s="4">
        <v>20.640020105732081</v>
      </c>
      <c r="I58" s="10">
        <v>952243538</v>
      </c>
      <c r="J58" s="10">
        <v>929371695</v>
      </c>
      <c r="K58" s="4">
        <v>4.0430512678345503</v>
      </c>
      <c r="L58" s="6">
        <v>65293000000</v>
      </c>
      <c r="M58" s="7">
        <v>1130</v>
      </c>
      <c r="N58" s="4">
        <v>1.3814159292035399</v>
      </c>
      <c r="O58" s="10">
        <v>90196790265.486725</v>
      </c>
      <c r="P58" s="4">
        <v>25.225259678741999</v>
      </c>
      <c r="Q58" s="6">
        <v>247670537</v>
      </c>
      <c r="R58" s="3">
        <v>269.17052867085619</v>
      </c>
      <c r="S58" s="3">
        <v>368.15049835574712</v>
      </c>
      <c r="T58" s="4">
        <v>5.9084918174896126</v>
      </c>
      <c r="U58" s="3">
        <v>367.85173747719313</v>
      </c>
      <c r="V58" s="4">
        <v>5.9076799696978064</v>
      </c>
      <c r="W58" s="5">
        <v>0</v>
      </c>
      <c r="X58" s="5">
        <v>0</v>
      </c>
      <c r="Y58" s="5">
        <v>0</v>
      </c>
      <c r="Z58" s="9" t="s">
        <v>41</v>
      </c>
      <c r="AA58" s="9" t="s">
        <v>42</v>
      </c>
      <c r="AB58" s="3">
        <v>121.72727270345381</v>
      </c>
      <c r="AC58" s="4">
        <v>4.8017830726971269</v>
      </c>
      <c r="AD58" s="3">
        <v>86.366512334780452</v>
      </c>
      <c r="AE58" s="3">
        <v>86.593362263320628</v>
      </c>
      <c r="AF58" s="4">
        <v>4.4586000119602698</v>
      </c>
      <c r="AG58" s="4">
        <v>4.4612231644012086</v>
      </c>
      <c r="AH58" s="4">
        <v>5.2999999999999999E-2</v>
      </c>
      <c r="AI58" s="4">
        <v>-2.9374633654300148</v>
      </c>
      <c r="AJ58" s="4">
        <v>20.674331377266881</v>
      </c>
      <c r="AK58" s="4">
        <v>20.650019319019041</v>
      </c>
      <c r="AL58" s="4">
        <v>2.431205824784044E-2</v>
      </c>
    </row>
    <row r="59" spans="1:38" x14ac:dyDescent="0.3">
      <c r="A59" s="2" t="s">
        <v>155</v>
      </c>
      <c r="B59" s="2" t="s">
        <v>156</v>
      </c>
      <c r="C59" s="2">
        <v>2016</v>
      </c>
      <c r="D59" s="2">
        <v>2</v>
      </c>
      <c r="E59" s="2">
        <v>58</v>
      </c>
      <c r="F59" s="2">
        <v>58</v>
      </c>
      <c r="G59" s="6">
        <v>903149015</v>
      </c>
      <c r="H59" s="4">
        <v>20.621398119915</v>
      </c>
      <c r="I59" s="10">
        <v>920125016</v>
      </c>
      <c r="J59" s="10">
        <v>871071228</v>
      </c>
      <c r="K59" s="4">
        <v>4.0604430105464191</v>
      </c>
      <c r="L59" s="6">
        <v>66273000000</v>
      </c>
      <c r="M59" s="7">
        <v>1134</v>
      </c>
      <c r="N59" s="4">
        <v>1.3765432098765431</v>
      </c>
      <c r="O59" s="10">
        <v>91227648148.148148</v>
      </c>
      <c r="P59" s="4">
        <v>25.236623847602299</v>
      </c>
      <c r="Q59" s="6">
        <v>243896273.69999999</v>
      </c>
      <c r="R59" s="3">
        <v>270.05097680364509</v>
      </c>
      <c r="S59" s="3">
        <v>367.85173747719313</v>
      </c>
      <c r="T59" s="4">
        <v>5.9076799696978064</v>
      </c>
      <c r="U59" s="3">
        <v>364.22908831444238</v>
      </c>
      <c r="V59" s="4">
        <v>5.8977830331718053</v>
      </c>
      <c r="W59" s="5">
        <v>1</v>
      </c>
      <c r="X59" s="5">
        <v>0</v>
      </c>
      <c r="Y59" s="5">
        <v>0</v>
      </c>
      <c r="Z59" s="9" t="s">
        <v>41</v>
      </c>
      <c r="AA59" s="9" t="s">
        <v>42</v>
      </c>
      <c r="AB59" s="3">
        <v>137.4416072961431</v>
      </c>
      <c r="AC59" s="4">
        <v>4.9231991526971273</v>
      </c>
      <c r="AD59" s="3">
        <v>85.903125632639558</v>
      </c>
      <c r="AE59" s="3">
        <v>86.366512334780452</v>
      </c>
      <c r="AF59" s="4">
        <v>4.4532202152041203</v>
      </c>
      <c r="AG59" s="4">
        <v>4.4586000119602698</v>
      </c>
      <c r="AH59" s="4">
        <v>5.0999999999999997E-2</v>
      </c>
      <c r="AI59" s="4">
        <v>-2.975929646257812</v>
      </c>
      <c r="AJ59" s="4">
        <v>20.640020105732081</v>
      </c>
      <c r="AK59" s="4">
        <v>20.585234308740709</v>
      </c>
      <c r="AL59" s="4">
        <v>5.4785796991378533E-2</v>
      </c>
    </row>
    <row r="60" spans="1:38" x14ac:dyDescent="0.3">
      <c r="A60" s="2" t="s">
        <v>157</v>
      </c>
      <c r="B60" s="2" t="s">
        <v>158</v>
      </c>
      <c r="C60" s="2">
        <v>2016</v>
      </c>
      <c r="D60" s="2">
        <v>3</v>
      </c>
      <c r="E60" s="2">
        <v>59</v>
      </c>
      <c r="F60" s="2">
        <v>59</v>
      </c>
      <c r="G60" s="6">
        <v>917814423</v>
      </c>
      <c r="H60" s="4">
        <v>20.637505774554199</v>
      </c>
      <c r="I60" s="10">
        <v>903149015</v>
      </c>
      <c r="J60" s="10">
        <v>941192499</v>
      </c>
      <c r="K60" s="4">
        <v>4.0775374439057197</v>
      </c>
      <c r="L60" s="6">
        <v>67138000000</v>
      </c>
      <c r="M60" s="7">
        <v>1139</v>
      </c>
      <c r="N60" s="4">
        <v>1.3705004389815629</v>
      </c>
      <c r="O60" s="10">
        <v>92012658472.344162</v>
      </c>
      <c r="P60" s="4">
        <v>25.24519199662123</v>
      </c>
      <c r="Q60" s="6">
        <v>246164738.30000001</v>
      </c>
      <c r="R60" s="3">
        <v>268.20752881108302</v>
      </c>
      <c r="S60" s="3">
        <v>364.22908831444238</v>
      </c>
      <c r="T60" s="4">
        <v>5.8977830331718053</v>
      </c>
      <c r="U60" s="3">
        <v>363.14135518412428</v>
      </c>
      <c r="V60" s="4">
        <v>5.8947921666858756</v>
      </c>
      <c r="W60" s="5">
        <v>0</v>
      </c>
      <c r="X60" s="5">
        <v>1</v>
      </c>
      <c r="Y60" s="5">
        <v>0</v>
      </c>
      <c r="Z60" s="9" t="s">
        <v>41</v>
      </c>
      <c r="AA60" s="9" t="s">
        <v>42</v>
      </c>
      <c r="AB60" s="3">
        <v>139.60365105803569</v>
      </c>
      <c r="AC60" s="4">
        <v>4.9388073436971274</v>
      </c>
      <c r="AD60" s="3">
        <v>85.556235049578248</v>
      </c>
      <c r="AE60" s="3">
        <v>85.903125632639558</v>
      </c>
      <c r="AF60" s="4">
        <v>4.4491738796178986</v>
      </c>
      <c r="AG60" s="4">
        <v>4.4532202152041203</v>
      </c>
      <c r="AH60" s="4">
        <v>0.05</v>
      </c>
      <c r="AI60" s="4">
        <v>-2.9957322735539909</v>
      </c>
      <c r="AJ60" s="4">
        <v>20.621398119915</v>
      </c>
      <c r="AK60" s="4">
        <v>20.662658245172469</v>
      </c>
      <c r="AL60" s="4">
        <v>-4.1260125257469582E-2</v>
      </c>
    </row>
    <row r="61" spans="1:38" x14ac:dyDescent="0.3">
      <c r="A61" s="2" t="s">
        <v>159</v>
      </c>
      <c r="B61" s="2" t="s">
        <v>160</v>
      </c>
      <c r="C61" s="2">
        <v>2016</v>
      </c>
      <c r="D61" s="2">
        <v>4</v>
      </c>
      <c r="E61" s="2">
        <v>60</v>
      </c>
      <c r="F61" s="2">
        <v>60</v>
      </c>
      <c r="G61" s="6">
        <v>977369221</v>
      </c>
      <c r="H61" s="4">
        <v>20.700375051614898</v>
      </c>
      <c r="I61" s="10">
        <v>917814423</v>
      </c>
      <c r="J61" s="10">
        <v>952243538</v>
      </c>
      <c r="K61" s="4">
        <v>4.0943445622221004</v>
      </c>
      <c r="L61" s="6">
        <v>68058000000</v>
      </c>
      <c r="M61" s="7">
        <v>1153</v>
      </c>
      <c r="N61" s="4">
        <v>1.3538594969644411</v>
      </c>
      <c r="O61" s="10">
        <v>92140969644.405899</v>
      </c>
      <c r="P61" s="4">
        <v>25.24658551999774</v>
      </c>
      <c r="Q61" s="6">
        <v>262415199.09999999</v>
      </c>
      <c r="R61" s="3">
        <v>268.49136791059232</v>
      </c>
      <c r="S61" s="3">
        <v>363.14135518412428</v>
      </c>
      <c r="T61" s="4">
        <v>5.8947921666858756</v>
      </c>
      <c r="U61" s="3">
        <v>360.24751069269138</v>
      </c>
      <c r="V61" s="4">
        <v>5.8867913249118056</v>
      </c>
      <c r="W61" s="5">
        <v>0</v>
      </c>
      <c r="X61" s="5">
        <v>0</v>
      </c>
      <c r="Y61" s="5">
        <v>1</v>
      </c>
      <c r="Z61" s="9" t="s">
        <v>41</v>
      </c>
      <c r="AA61" s="9" t="s">
        <v>42</v>
      </c>
      <c r="AB61" s="3">
        <v>150.8065656919172</v>
      </c>
      <c r="AC61" s="4">
        <v>5.0159979936971268</v>
      </c>
      <c r="AD61" s="3">
        <v>85.263882951066407</v>
      </c>
      <c r="AE61" s="3">
        <v>85.556235049578248</v>
      </c>
      <c r="AF61" s="4">
        <v>4.4457509527709078</v>
      </c>
      <c r="AG61" s="4">
        <v>4.4491738796178986</v>
      </c>
      <c r="AH61" s="4">
        <v>5.2999999999999999E-2</v>
      </c>
      <c r="AI61" s="4">
        <v>-2.9374633654300148</v>
      </c>
      <c r="AJ61" s="4">
        <v>20.637505774554199</v>
      </c>
      <c r="AK61" s="4">
        <v>20.674331377266881</v>
      </c>
      <c r="AL61" s="4">
        <v>-3.6825602712678318E-2</v>
      </c>
    </row>
    <row r="62" spans="1:38" x14ac:dyDescent="0.3">
      <c r="A62" s="2" t="s">
        <v>161</v>
      </c>
      <c r="B62" s="2" t="s">
        <v>162</v>
      </c>
      <c r="C62" s="2">
        <v>2017</v>
      </c>
      <c r="D62" s="2">
        <v>1</v>
      </c>
      <c r="E62" s="2">
        <v>61</v>
      </c>
      <c r="F62" s="2">
        <v>61</v>
      </c>
      <c r="G62" s="6">
        <v>987496699</v>
      </c>
      <c r="H62" s="4">
        <v>20.710683711949159</v>
      </c>
      <c r="I62" s="10">
        <v>977369221</v>
      </c>
      <c r="J62" s="10">
        <v>920125016</v>
      </c>
      <c r="K62" s="4">
        <v>4.1108738641733114</v>
      </c>
      <c r="L62" s="6">
        <v>70034000000</v>
      </c>
      <c r="M62" s="7">
        <v>1169</v>
      </c>
      <c r="N62" s="4">
        <v>1.335329341317365</v>
      </c>
      <c r="O62" s="10">
        <v>93518455089.820358</v>
      </c>
      <c r="P62" s="4">
        <v>25.261424634403848</v>
      </c>
      <c r="Q62" s="6">
        <v>265678288</v>
      </c>
      <c r="R62" s="3">
        <v>269.04220365398908</v>
      </c>
      <c r="S62" s="3">
        <v>360.24751069269138</v>
      </c>
      <c r="T62" s="4">
        <v>5.8867913249118056</v>
      </c>
      <c r="U62" s="3">
        <v>362.72056590206688</v>
      </c>
      <c r="V62" s="4">
        <v>5.8936327469202947</v>
      </c>
      <c r="W62" s="5">
        <v>0</v>
      </c>
      <c r="X62" s="5">
        <v>0</v>
      </c>
      <c r="Y62" s="5">
        <v>0</v>
      </c>
      <c r="Z62" s="9" t="s">
        <v>41</v>
      </c>
      <c r="AA62" s="9" t="s">
        <v>42</v>
      </c>
      <c r="AB62" s="3">
        <v>159.2071000463859</v>
      </c>
      <c r="AC62" s="4">
        <v>5.0702058706971274</v>
      </c>
      <c r="AD62" s="3">
        <v>84.433210821259408</v>
      </c>
      <c r="AE62" s="3">
        <v>85.263882951066407</v>
      </c>
      <c r="AF62" s="4">
        <v>4.4359608173466718</v>
      </c>
      <c r="AG62" s="4">
        <v>4.4457509527709078</v>
      </c>
      <c r="AH62" s="4">
        <v>4.9000000000000002E-2</v>
      </c>
      <c r="AI62" s="4">
        <v>-3.0159349808715099</v>
      </c>
      <c r="AJ62" s="4">
        <v>20.700375051614898</v>
      </c>
      <c r="AK62" s="4">
        <v>20.640020105732081</v>
      </c>
      <c r="AL62" s="4">
        <v>6.0354945882817652E-2</v>
      </c>
    </row>
    <row r="63" spans="1:38" x14ac:dyDescent="0.3">
      <c r="A63" s="2" t="s">
        <v>163</v>
      </c>
      <c r="B63" s="2" t="s">
        <v>164</v>
      </c>
      <c r="C63" s="2">
        <v>2017</v>
      </c>
      <c r="D63" s="2">
        <v>2</v>
      </c>
      <c r="E63" s="2">
        <v>62</v>
      </c>
      <c r="F63" s="2">
        <v>62</v>
      </c>
      <c r="G63" s="6">
        <v>960003244</v>
      </c>
      <c r="H63" s="4">
        <v>20.682447221587111</v>
      </c>
      <c r="I63" s="10">
        <v>987496699</v>
      </c>
      <c r="J63" s="10">
        <v>903149015</v>
      </c>
      <c r="K63" s="4">
        <v>4.1271343850450917</v>
      </c>
      <c r="L63" s="6">
        <v>70463000000</v>
      </c>
      <c r="M63" s="7">
        <v>1164</v>
      </c>
      <c r="N63" s="4">
        <v>1.3410652920962201</v>
      </c>
      <c r="O63" s="10">
        <v>94495483676.975937</v>
      </c>
      <c r="P63" s="4">
        <v>25.271817878526011</v>
      </c>
      <c r="Q63" s="6">
        <v>260054458.5</v>
      </c>
      <c r="R63" s="3">
        <v>270.889145557929</v>
      </c>
      <c r="S63" s="3">
        <v>362.72056590206688</v>
      </c>
      <c r="T63" s="4">
        <v>5.8936327469202947</v>
      </c>
      <c r="U63" s="3">
        <v>360.96074171907583</v>
      </c>
      <c r="V63" s="4">
        <v>5.8887692037186916</v>
      </c>
      <c r="W63" s="5">
        <v>1</v>
      </c>
      <c r="X63" s="5">
        <v>0</v>
      </c>
      <c r="Y63" s="5">
        <v>0</v>
      </c>
      <c r="Z63" s="9" t="s">
        <v>41</v>
      </c>
      <c r="AA63" s="9" t="s">
        <v>42</v>
      </c>
      <c r="AB63" s="3">
        <v>154.52059998672561</v>
      </c>
      <c r="AC63" s="4">
        <v>5.0403274206971274</v>
      </c>
      <c r="AD63" s="3">
        <v>84.309925642273754</v>
      </c>
      <c r="AE63" s="3">
        <v>84.433210821259408</v>
      </c>
      <c r="AF63" s="4">
        <v>4.4344995999780066</v>
      </c>
      <c r="AG63" s="4">
        <v>4.4359608173466718</v>
      </c>
      <c r="AH63" s="4">
        <v>4.9000000000000002E-2</v>
      </c>
      <c r="AI63" s="4">
        <v>-3.0159349808715099</v>
      </c>
      <c r="AJ63" s="4">
        <v>20.710683711949159</v>
      </c>
      <c r="AK63" s="4">
        <v>20.621398119915</v>
      </c>
      <c r="AL63" s="4">
        <v>8.9285592034158867E-2</v>
      </c>
    </row>
    <row r="64" spans="1:38" x14ac:dyDescent="0.3">
      <c r="A64" s="2" t="s">
        <v>165</v>
      </c>
      <c r="B64" s="2" t="s">
        <v>166</v>
      </c>
      <c r="C64" s="2">
        <v>2017</v>
      </c>
      <c r="D64" s="2">
        <v>3</v>
      </c>
      <c r="E64" s="2">
        <v>63</v>
      </c>
      <c r="F64" s="2">
        <v>63</v>
      </c>
      <c r="G64" s="6">
        <v>975147170</v>
      </c>
      <c r="H64" s="4">
        <v>20.69809896116103</v>
      </c>
      <c r="I64" s="10">
        <v>960003244</v>
      </c>
      <c r="J64" s="10">
        <v>917814423</v>
      </c>
      <c r="K64" s="4">
        <v>4.1431347263915326</v>
      </c>
      <c r="L64" s="6">
        <v>72079000000</v>
      </c>
      <c r="M64" s="7">
        <v>1178</v>
      </c>
      <c r="N64" s="4">
        <v>1.325127334465195</v>
      </c>
      <c r="O64" s="10">
        <v>95513853140.916809</v>
      </c>
      <c r="P64" s="4">
        <v>25.282537132980242</v>
      </c>
      <c r="Q64" s="6">
        <v>264189540.69999999</v>
      </c>
      <c r="R64" s="3">
        <v>270.92273743664771</v>
      </c>
      <c r="S64" s="3">
        <v>360.96074171907583</v>
      </c>
      <c r="T64" s="4">
        <v>5.8887692037186916</v>
      </c>
      <c r="U64" s="3">
        <v>360.33207359946181</v>
      </c>
      <c r="V64" s="4">
        <v>5.887026032941292</v>
      </c>
      <c r="W64" s="5">
        <v>0</v>
      </c>
      <c r="X64" s="5">
        <v>1</v>
      </c>
      <c r="Y64" s="5">
        <v>0</v>
      </c>
      <c r="Z64" s="9" t="s">
        <v>41</v>
      </c>
      <c r="AA64" s="9" t="s">
        <v>42</v>
      </c>
      <c r="AB64" s="3">
        <v>149.48835827032539</v>
      </c>
      <c r="AC64" s="4">
        <v>5.007218518697127</v>
      </c>
      <c r="AD64" s="3">
        <v>83.746054164126932</v>
      </c>
      <c r="AE64" s="3">
        <v>84.309925642273754</v>
      </c>
      <c r="AF64" s="4">
        <v>4.4277890551370689</v>
      </c>
      <c r="AG64" s="4">
        <v>4.4344995999780066</v>
      </c>
      <c r="AH64" s="4">
        <v>4.7E-2</v>
      </c>
      <c r="AI64" s="4">
        <v>-3.0576076772720779</v>
      </c>
      <c r="AJ64" s="4">
        <v>20.682447221587111</v>
      </c>
      <c r="AK64" s="4">
        <v>20.637505774554199</v>
      </c>
      <c r="AL64" s="4">
        <v>4.4941447032911697E-2</v>
      </c>
    </row>
    <row r="65" spans="1:38" x14ac:dyDescent="0.3">
      <c r="A65" s="2" t="s">
        <v>167</v>
      </c>
      <c r="B65" s="2" t="s">
        <v>168</v>
      </c>
      <c r="C65" s="2">
        <v>2017</v>
      </c>
      <c r="D65" s="2">
        <v>4</v>
      </c>
      <c r="E65" s="2">
        <v>64</v>
      </c>
      <c r="F65" s="2">
        <v>64</v>
      </c>
      <c r="G65" s="6">
        <v>1057176543</v>
      </c>
      <c r="H65" s="4">
        <v>20.778867552593539</v>
      </c>
      <c r="I65" s="10">
        <v>975147170</v>
      </c>
      <c r="J65" s="10">
        <v>977369221</v>
      </c>
      <c r="K65" s="4">
        <v>4.1588830833596706</v>
      </c>
      <c r="L65" s="6">
        <v>73799000000</v>
      </c>
      <c r="M65" s="7">
        <v>1191</v>
      </c>
      <c r="N65" s="4">
        <v>1.310663308144417</v>
      </c>
      <c r="O65" s="10">
        <v>96725641477.749802</v>
      </c>
      <c r="P65" s="4">
        <v>25.295144369485669</v>
      </c>
      <c r="Q65" s="6">
        <v>286198822.69999999</v>
      </c>
      <c r="R65" s="3">
        <v>270.71998957509982</v>
      </c>
      <c r="S65" s="3">
        <v>360.33207359946181</v>
      </c>
      <c r="T65" s="4">
        <v>5.887026032941292</v>
      </c>
      <c r="U65" s="3">
        <v>357.95105682912128</v>
      </c>
      <c r="V65" s="4">
        <v>5.8803962642868406</v>
      </c>
      <c r="W65" s="5">
        <v>0</v>
      </c>
      <c r="X65" s="5">
        <v>0</v>
      </c>
      <c r="Y65" s="5">
        <v>1</v>
      </c>
      <c r="Z65" s="9" t="s">
        <v>41</v>
      </c>
      <c r="AA65" s="9" t="s">
        <v>42</v>
      </c>
      <c r="AB65" s="3">
        <v>165.84433404781481</v>
      </c>
      <c r="AC65" s="4">
        <v>5.1110496016971272</v>
      </c>
      <c r="AD65" s="3">
        <v>83.893648639331644</v>
      </c>
      <c r="AE65" s="3">
        <v>83.746054164126932</v>
      </c>
      <c r="AF65" s="4">
        <v>4.4295499090502233</v>
      </c>
      <c r="AG65" s="4">
        <v>4.4277890551370689</v>
      </c>
      <c r="AH65" s="4">
        <v>4.4999999999999998E-2</v>
      </c>
      <c r="AI65" s="4">
        <v>-3.1010927892118172</v>
      </c>
      <c r="AJ65" s="4">
        <v>20.69809896116103</v>
      </c>
      <c r="AK65" s="4">
        <v>20.700375051614898</v>
      </c>
      <c r="AL65" s="4">
        <v>-2.2760904538756681E-3</v>
      </c>
    </row>
    <row r="66" spans="1:38" x14ac:dyDescent="0.3">
      <c r="A66" s="2" t="s">
        <v>169</v>
      </c>
      <c r="B66" s="2" t="s">
        <v>170</v>
      </c>
      <c r="C66" s="2">
        <v>2018</v>
      </c>
      <c r="D66" s="2">
        <v>1</v>
      </c>
      <c r="E66" s="2">
        <v>65</v>
      </c>
      <c r="F66" s="2">
        <v>65</v>
      </c>
      <c r="G66" s="6">
        <v>1005850627</v>
      </c>
      <c r="H66" s="4">
        <v>20.72909941549204</v>
      </c>
      <c r="I66" s="10">
        <v>1057176543</v>
      </c>
      <c r="J66" s="10">
        <v>987496699</v>
      </c>
      <c r="K66" s="4">
        <v>4.1743872698956368</v>
      </c>
      <c r="L66" s="6">
        <v>74376000000</v>
      </c>
      <c r="M66" s="7">
        <v>1187</v>
      </c>
      <c r="N66" s="4">
        <v>1.315080033698399</v>
      </c>
      <c r="O66" s="10">
        <v>97810392586.352158</v>
      </c>
      <c r="P66" s="4">
        <v>25.306296672005729</v>
      </c>
      <c r="Q66" s="6">
        <v>271848986.69999999</v>
      </c>
      <c r="R66" s="3">
        <v>270.26775089935887</v>
      </c>
      <c r="S66" s="3">
        <v>357.95105682912128</v>
      </c>
      <c r="T66" s="4">
        <v>5.8803962642868406</v>
      </c>
      <c r="U66" s="3">
        <v>359.03908889807269</v>
      </c>
      <c r="V66" s="4">
        <v>5.8834312652854219</v>
      </c>
      <c r="W66" s="5">
        <v>0</v>
      </c>
      <c r="X66" s="5">
        <v>0</v>
      </c>
      <c r="Y66" s="5">
        <v>0</v>
      </c>
      <c r="Z66" s="9" t="s">
        <v>41</v>
      </c>
      <c r="AA66" s="9" t="s">
        <v>42</v>
      </c>
      <c r="AB66" s="3">
        <v>173.89782388760079</v>
      </c>
      <c r="AC66" s="4">
        <v>5.1584679076971272</v>
      </c>
      <c r="AD66" s="3">
        <v>83.241289760751542</v>
      </c>
      <c r="AE66" s="3">
        <v>83.893648639331644</v>
      </c>
      <c r="AF66" s="4">
        <v>4.4217434958882347</v>
      </c>
      <c r="AG66" s="4">
        <v>4.4295499090502233</v>
      </c>
      <c r="AH66" s="4">
        <v>4.3999999999999997E-2</v>
      </c>
      <c r="AI66" s="4">
        <v>-3.1235656450638758</v>
      </c>
      <c r="AJ66" s="4">
        <v>20.778867552593539</v>
      </c>
      <c r="AK66" s="4">
        <v>20.710683711949159</v>
      </c>
      <c r="AL66" s="4">
        <v>6.8183840644387317E-2</v>
      </c>
    </row>
    <row r="67" spans="1:38" x14ac:dyDescent="0.3">
      <c r="A67" s="2" t="s">
        <v>171</v>
      </c>
      <c r="B67" s="2" t="s">
        <v>172</v>
      </c>
      <c r="C67" s="2">
        <v>2018</v>
      </c>
      <c r="D67" s="2">
        <v>2</v>
      </c>
      <c r="E67" s="2">
        <v>66</v>
      </c>
      <c r="F67" s="2">
        <v>66</v>
      </c>
      <c r="G67" s="6">
        <v>983918062</v>
      </c>
      <c r="H67" s="4">
        <v>20.707053181224161</v>
      </c>
      <c r="I67" s="10">
        <v>1005850627</v>
      </c>
      <c r="J67" s="10">
        <v>960003244</v>
      </c>
      <c r="K67" s="4">
        <v>4.1896547420264252</v>
      </c>
      <c r="L67" s="6">
        <v>75236000000</v>
      </c>
      <c r="M67" s="7">
        <v>1191</v>
      </c>
      <c r="N67" s="4">
        <v>1.310663308144417</v>
      </c>
      <c r="O67" s="10">
        <v>98609064651.553329</v>
      </c>
      <c r="P67" s="4">
        <v>25.3144290279151</v>
      </c>
      <c r="Q67" s="6">
        <v>267784929.19999999</v>
      </c>
      <c r="R67" s="3">
        <v>272.16181869420751</v>
      </c>
      <c r="S67" s="3">
        <v>359.03908889807269</v>
      </c>
      <c r="T67" s="4">
        <v>5.8834312652854219</v>
      </c>
      <c r="U67" s="3">
        <v>354.91180928877611</v>
      </c>
      <c r="V67" s="4">
        <v>5.8718693340742698</v>
      </c>
      <c r="W67" s="5">
        <v>1</v>
      </c>
      <c r="X67" s="5">
        <v>0</v>
      </c>
      <c r="Y67" s="5">
        <v>0</v>
      </c>
      <c r="Z67" s="9" t="s">
        <v>41</v>
      </c>
      <c r="AA67" s="9" t="s">
        <v>42</v>
      </c>
      <c r="AB67" s="3">
        <v>181.5235467948709</v>
      </c>
      <c r="AC67" s="4">
        <v>5.2013853796971272</v>
      </c>
      <c r="AD67" s="3">
        <v>82.97633592505403</v>
      </c>
      <c r="AE67" s="3">
        <v>83.241289760751542</v>
      </c>
      <c r="AF67" s="4">
        <v>4.4185554578085053</v>
      </c>
      <c r="AG67" s="4">
        <v>4.4217434958882347</v>
      </c>
      <c r="AH67" s="4">
        <v>4.5999999999999999E-2</v>
      </c>
      <c r="AI67" s="4">
        <v>-3.0791138824930422</v>
      </c>
      <c r="AJ67" s="4">
        <v>20.72909941549204</v>
      </c>
      <c r="AK67" s="4">
        <v>20.682447221587111</v>
      </c>
      <c r="AL67" s="4">
        <v>4.6652193904929362E-2</v>
      </c>
    </row>
    <row r="68" spans="1:38" x14ac:dyDescent="0.3">
      <c r="A68" s="2" t="s">
        <v>173</v>
      </c>
      <c r="B68" s="2" t="s">
        <v>174</v>
      </c>
      <c r="C68" s="2">
        <v>2018</v>
      </c>
      <c r="D68" s="2">
        <v>3</v>
      </c>
      <c r="E68" s="2">
        <v>67</v>
      </c>
      <c r="F68" s="2">
        <v>67</v>
      </c>
      <c r="G68" s="6">
        <v>987441652</v>
      </c>
      <c r="H68" s="4">
        <v>20.71062796641159</v>
      </c>
      <c r="I68" s="10">
        <v>983918062</v>
      </c>
      <c r="J68" s="10">
        <v>975147170</v>
      </c>
      <c r="K68" s="4">
        <v>4.2046926193909657</v>
      </c>
      <c r="L68" s="6">
        <v>75785000000</v>
      </c>
      <c r="M68" s="7">
        <v>1199</v>
      </c>
      <c r="N68" s="4">
        <v>1.3019182652210179</v>
      </c>
      <c r="O68" s="10">
        <v>98665875729.774811</v>
      </c>
      <c r="P68" s="4">
        <v>25.315004986317948</v>
      </c>
      <c r="Q68" s="6">
        <v>268010168.90000001</v>
      </c>
      <c r="R68" s="3">
        <v>271.41873988925067</v>
      </c>
      <c r="S68" s="3">
        <v>354.91180928877611</v>
      </c>
      <c r="T68" s="4">
        <v>5.8718693340742698</v>
      </c>
      <c r="U68" s="3">
        <v>355.95151147984501</v>
      </c>
      <c r="V68" s="4">
        <v>5.8747945178671621</v>
      </c>
      <c r="W68" s="5">
        <v>0</v>
      </c>
      <c r="X68" s="5">
        <v>1</v>
      </c>
      <c r="Y68" s="5">
        <v>0</v>
      </c>
      <c r="Z68" s="9" t="s">
        <v>41</v>
      </c>
      <c r="AA68" s="9" t="s">
        <v>42</v>
      </c>
      <c r="AB68" s="3">
        <v>196.53486325107781</v>
      </c>
      <c r="AC68" s="4">
        <v>5.280839836697127</v>
      </c>
      <c r="AD68" s="3">
        <v>82.097129587241596</v>
      </c>
      <c r="AE68" s="3">
        <v>82.97633592505403</v>
      </c>
      <c r="AF68" s="4">
        <v>4.4079030534506138</v>
      </c>
      <c r="AG68" s="4">
        <v>4.4185554578085053</v>
      </c>
      <c r="AH68" s="4">
        <v>0.04</v>
      </c>
      <c r="AI68" s="4">
        <v>-3.218875824868201</v>
      </c>
      <c r="AJ68" s="4">
        <v>20.707053181224161</v>
      </c>
      <c r="AK68" s="4">
        <v>20.69809896116103</v>
      </c>
      <c r="AL68" s="4">
        <v>8.9542200631314017E-3</v>
      </c>
    </row>
    <row r="69" spans="1:38" x14ac:dyDescent="0.3">
      <c r="A69" s="2" t="s">
        <v>175</v>
      </c>
      <c r="B69" s="2" t="s">
        <v>176</v>
      </c>
      <c r="C69" s="2">
        <v>2018</v>
      </c>
      <c r="D69" s="2">
        <v>4</v>
      </c>
      <c r="E69" s="2">
        <v>68</v>
      </c>
      <c r="F69" s="2">
        <v>68</v>
      </c>
      <c r="G69" s="6">
        <v>1082003936</v>
      </c>
      <c r="H69" s="4">
        <v>20.802080655072029</v>
      </c>
      <c r="I69" s="10">
        <v>987441652</v>
      </c>
      <c r="J69" s="10">
        <v>1057176543</v>
      </c>
      <c r="K69" s="4">
        <v>4.219507705176107</v>
      </c>
      <c r="L69" s="6">
        <v>76787000000</v>
      </c>
      <c r="M69" s="7">
        <v>1195</v>
      </c>
      <c r="N69" s="4">
        <v>1.306276150627615</v>
      </c>
      <c r="O69" s="10">
        <v>100305026778.24271</v>
      </c>
      <c r="P69" s="4">
        <v>25.331481648088602</v>
      </c>
      <c r="Q69" s="6">
        <v>294824092.5</v>
      </c>
      <c r="R69" s="3">
        <v>272.47968578554219</v>
      </c>
      <c r="S69" s="3">
        <v>355.95151147984501</v>
      </c>
      <c r="T69" s="4">
        <v>5.8747945178671621</v>
      </c>
      <c r="U69" s="3">
        <v>368.77983587239311</v>
      </c>
      <c r="V69" s="4">
        <v>5.9101998152213122</v>
      </c>
      <c r="W69" s="5">
        <v>0</v>
      </c>
      <c r="X69" s="5">
        <v>0</v>
      </c>
      <c r="Y69" s="5">
        <v>1</v>
      </c>
      <c r="Z69" s="9" t="s">
        <v>41</v>
      </c>
      <c r="AA69" s="9" t="s">
        <v>42</v>
      </c>
      <c r="AB69" s="3">
        <v>201.04595116595971</v>
      </c>
      <c r="AC69" s="4">
        <v>5.3035334946971284</v>
      </c>
      <c r="AD69" s="3">
        <v>89.41533810214294</v>
      </c>
      <c r="AE69" s="3">
        <v>82.097129587241596</v>
      </c>
      <c r="AF69" s="4">
        <v>4.493292234601574</v>
      </c>
      <c r="AG69" s="4">
        <v>4.4079030534506138</v>
      </c>
      <c r="AH69" s="4">
        <v>4.2999999999999997E-2</v>
      </c>
      <c r="AI69" s="4">
        <v>-3.1465551632885749</v>
      </c>
      <c r="AJ69" s="4">
        <v>20.71062796641159</v>
      </c>
      <c r="AK69" s="4">
        <v>20.778867552593539</v>
      </c>
      <c r="AL69" s="4">
        <v>-6.8239586181949363E-2</v>
      </c>
    </row>
    <row r="70" spans="1:38" x14ac:dyDescent="0.3">
      <c r="A70" s="2" t="s">
        <v>177</v>
      </c>
      <c r="B70" s="2" t="s">
        <v>178</v>
      </c>
      <c r="C70" s="2">
        <v>2019</v>
      </c>
      <c r="D70" s="2">
        <v>1</v>
      </c>
      <c r="E70" s="2">
        <v>69</v>
      </c>
      <c r="F70" s="2">
        <v>69</v>
      </c>
      <c r="G70" s="6">
        <v>1015128136</v>
      </c>
      <c r="H70" s="4">
        <v>20.738280683836798</v>
      </c>
      <c r="I70" s="10">
        <v>1082003936</v>
      </c>
      <c r="J70" s="10">
        <v>1005850627</v>
      </c>
      <c r="K70" s="4">
        <v>4.2341065045972597</v>
      </c>
      <c r="L70" s="6">
        <v>78271000000</v>
      </c>
      <c r="M70" s="7">
        <v>1203</v>
      </c>
      <c r="N70" s="4">
        <v>1.2975893599335</v>
      </c>
      <c r="O70" s="10">
        <v>101563616791.3549</v>
      </c>
      <c r="P70" s="4">
        <v>25.343951205509509</v>
      </c>
      <c r="Q70" s="6">
        <v>286849974.5</v>
      </c>
      <c r="R70" s="3">
        <v>282.57513936151997</v>
      </c>
      <c r="S70" s="3">
        <v>368.77983587239311</v>
      </c>
      <c r="T70" s="4">
        <v>5.9101998152213122</v>
      </c>
      <c r="U70" s="3">
        <v>367.64351050410778</v>
      </c>
      <c r="V70" s="4">
        <v>5.9071137471988289</v>
      </c>
      <c r="W70" s="5">
        <v>0</v>
      </c>
      <c r="X70" s="5">
        <v>0</v>
      </c>
      <c r="Y70" s="5">
        <v>0</v>
      </c>
      <c r="Z70" s="9" t="s">
        <v>41</v>
      </c>
      <c r="AA70" s="9" t="s">
        <v>42</v>
      </c>
      <c r="AB70" s="3">
        <v>189.49590649830921</v>
      </c>
      <c r="AC70" s="4">
        <v>5.2443674226971284</v>
      </c>
      <c r="AD70" s="3">
        <v>89.884089026652873</v>
      </c>
      <c r="AE70" s="3">
        <v>89.41533810214294</v>
      </c>
      <c r="AF70" s="4">
        <v>4.4985209405708222</v>
      </c>
      <c r="AG70" s="4">
        <v>4.493292234601574</v>
      </c>
      <c r="AH70" s="4">
        <v>4.2000000000000003E-2</v>
      </c>
      <c r="AI70" s="4">
        <v>-3.1700856606987688</v>
      </c>
      <c r="AJ70" s="4">
        <v>20.802080655072029</v>
      </c>
      <c r="AK70" s="4">
        <v>20.72909941549204</v>
      </c>
      <c r="AL70" s="4">
        <v>7.2981239579988255E-2</v>
      </c>
    </row>
    <row r="71" spans="1:38" x14ac:dyDescent="0.3">
      <c r="A71" s="2" t="s">
        <v>179</v>
      </c>
      <c r="B71" s="2" t="s">
        <v>180</v>
      </c>
      <c r="C71" s="2">
        <v>2019</v>
      </c>
      <c r="D71" s="2">
        <v>2</v>
      </c>
      <c r="E71" s="2">
        <v>70</v>
      </c>
      <c r="F71" s="2">
        <v>70</v>
      </c>
      <c r="G71" s="6">
        <v>986591092</v>
      </c>
      <c r="H71" s="4">
        <v>20.70976621773471</v>
      </c>
      <c r="I71" s="10">
        <v>1015128136</v>
      </c>
      <c r="J71" s="10">
        <v>983918062</v>
      </c>
      <c r="K71" s="4">
        <v>4.2484952420493594</v>
      </c>
      <c r="L71" s="6">
        <v>79331000000</v>
      </c>
      <c r="M71" s="7">
        <v>1220</v>
      </c>
      <c r="N71" s="4">
        <v>1.279508196721312</v>
      </c>
      <c r="O71" s="10">
        <v>101504664754.0984</v>
      </c>
      <c r="P71" s="4">
        <v>25.343370592540669</v>
      </c>
      <c r="Q71" s="6">
        <v>279552393.19999999</v>
      </c>
      <c r="R71" s="3">
        <v>283.3518318448389</v>
      </c>
      <c r="S71" s="3">
        <v>367.64351050410778</v>
      </c>
      <c r="T71" s="4">
        <v>5.9071137471988289</v>
      </c>
      <c r="U71" s="3">
        <v>366.21978956511651</v>
      </c>
      <c r="V71" s="4">
        <v>5.9032336711001001</v>
      </c>
      <c r="W71" s="5">
        <v>1</v>
      </c>
      <c r="X71" s="5">
        <v>0</v>
      </c>
      <c r="Y71" s="5">
        <v>0</v>
      </c>
      <c r="Z71" s="9" t="s">
        <v>41</v>
      </c>
      <c r="AA71" s="9" t="s">
        <v>42</v>
      </c>
      <c r="AB71" s="3">
        <v>196.04932166009371</v>
      </c>
      <c r="AC71" s="4">
        <v>5.2783662686971269</v>
      </c>
      <c r="AD71" s="3">
        <v>89.264575893833637</v>
      </c>
      <c r="AE71" s="3">
        <v>89.884089026652873</v>
      </c>
      <c r="AF71" s="4">
        <v>4.4916047226623226</v>
      </c>
      <c r="AG71" s="4">
        <v>4.4985209405708222</v>
      </c>
      <c r="AH71" s="4">
        <v>4.0999999999999988E-2</v>
      </c>
      <c r="AI71" s="4">
        <v>-3.1941832122778289</v>
      </c>
      <c r="AJ71" s="4">
        <v>20.738280683836798</v>
      </c>
      <c r="AK71" s="4">
        <v>20.707053181224161</v>
      </c>
      <c r="AL71" s="4">
        <v>3.1227502612640731E-2</v>
      </c>
    </row>
    <row r="72" spans="1:38" x14ac:dyDescent="0.3">
      <c r="A72" s="2" t="s">
        <v>181</v>
      </c>
      <c r="B72" s="2" t="s">
        <v>182</v>
      </c>
      <c r="C72" s="2">
        <v>2019</v>
      </c>
      <c r="D72" s="2">
        <v>3</v>
      </c>
      <c r="E72" s="2">
        <v>71</v>
      </c>
      <c r="F72" s="2">
        <v>71</v>
      </c>
      <c r="G72" s="6">
        <v>1005832806</v>
      </c>
      <c r="H72" s="4">
        <v>20.729081697992651</v>
      </c>
      <c r="I72" s="10">
        <v>986591092</v>
      </c>
      <c r="J72" s="10">
        <v>987441652</v>
      </c>
      <c r="K72" s="4">
        <v>4.2626798770413146</v>
      </c>
      <c r="L72" s="6">
        <v>80380000000</v>
      </c>
      <c r="M72" s="7">
        <v>1226</v>
      </c>
      <c r="N72" s="4">
        <v>1.273246329526917</v>
      </c>
      <c r="O72" s="10">
        <v>102343539967.3736</v>
      </c>
      <c r="P72" s="4">
        <v>25.351601029986739</v>
      </c>
      <c r="Q72" s="6">
        <v>285826555.5</v>
      </c>
      <c r="R72" s="3">
        <v>284.16905254529951</v>
      </c>
      <c r="S72" s="3">
        <v>366.21978956511651</v>
      </c>
      <c r="T72" s="4">
        <v>5.9032336711001001</v>
      </c>
      <c r="U72" s="3">
        <v>381.61698020478428</v>
      </c>
      <c r="V72" s="4">
        <v>5.9444174359761446</v>
      </c>
      <c r="W72" s="5">
        <v>0</v>
      </c>
      <c r="X72" s="5">
        <v>1</v>
      </c>
      <c r="Y72" s="5">
        <v>0</v>
      </c>
      <c r="Z72" s="9" t="s">
        <v>41</v>
      </c>
      <c r="AA72" s="9" t="s">
        <v>42</v>
      </c>
      <c r="AB72" s="3">
        <v>183.25871024999111</v>
      </c>
      <c r="AC72" s="4">
        <v>5.2108988716971272</v>
      </c>
      <c r="AD72" s="3">
        <v>93.404943312090182</v>
      </c>
      <c r="AE72" s="3">
        <v>89.264575893833637</v>
      </c>
      <c r="AF72" s="4">
        <v>4.5369442700878944</v>
      </c>
      <c r="AG72" s="4">
        <v>4.4916047226623226</v>
      </c>
      <c r="AH72" s="4">
        <v>4.0999999999999988E-2</v>
      </c>
      <c r="AI72" s="4">
        <v>-3.1941832122778289</v>
      </c>
      <c r="AJ72" s="4">
        <v>20.70976621773471</v>
      </c>
      <c r="AK72" s="4">
        <v>20.71062796641159</v>
      </c>
      <c r="AL72" s="4">
        <v>-8.6174867688626478E-4</v>
      </c>
    </row>
    <row r="73" spans="1:38" x14ac:dyDescent="0.3">
      <c r="A73" s="2" t="s">
        <v>183</v>
      </c>
      <c r="B73" s="2" t="s">
        <v>184</v>
      </c>
      <c r="C73" s="2">
        <v>2019</v>
      </c>
      <c r="D73" s="2">
        <v>4</v>
      </c>
      <c r="E73" s="2">
        <v>72</v>
      </c>
      <c r="F73" s="2">
        <v>72</v>
      </c>
      <c r="G73" s="6">
        <v>1040676846</v>
      </c>
      <c r="H73" s="4">
        <v>20.763137151873991</v>
      </c>
      <c r="I73" s="10">
        <v>1005832806</v>
      </c>
      <c r="J73" s="10">
        <v>1082003936</v>
      </c>
      <c r="K73" s="4">
        <v>4.2766661190160553</v>
      </c>
      <c r="L73" s="6">
        <v>81861000000</v>
      </c>
      <c r="M73" s="7">
        <v>1240</v>
      </c>
      <c r="N73" s="4">
        <v>1.258870967741935</v>
      </c>
      <c r="O73" s="10">
        <v>103052436290.3226</v>
      </c>
      <c r="P73" s="4">
        <v>25.358503785830901</v>
      </c>
      <c r="Q73" s="6">
        <v>309644595.5</v>
      </c>
      <c r="R73" s="3">
        <v>297.54154393860699</v>
      </c>
      <c r="S73" s="3">
        <v>381.61698020478428</v>
      </c>
      <c r="T73" s="4">
        <v>5.9444174359761446</v>
      </c>
      <c r="U73" s="3">
        <v>380.65080947512052</v>
      </c>
      <c r="V73" s="4">
        <v>5.9418824443101093</v>
      </c>
      <c r="W73" s="5">
        <v>0</v>
      </c>
      <c r="X73" s="5">
        <v>0</v>
      </c>
      <c r="Y73" s="5">
        <v>1</v>
      </c>
      <c r="Z73" s="9" t="s">
        <v>41</v>
      </c>
      <c r="AA73" s="9" t="s">
        <v>42</v>
      </c>
      <c r="AB73" s="3">
        <v>182.12452104498249</v>
      </c>
      <c r="AC73" s="4">
        <v>5.2046906346971271</v>
      </c>
      <c r="AD73" s="3">
        <v>93.488930358206673</v>
      </c>
      <c r="AE73" s="3">
        <v>93.404943312090182</v>
      </c>
      <c r="AF73" s="4">
        <v>4.5378430373949303</v>
      </c>
      <c r="AG73" s="4">
        <v>4.5369442700878944</v>
      </c>
      <c r="AH73" s="4">
        <v>4.0999999999999988E-2</v>
      </c>
      <c r="AI73" s="4">
        <v>-3.1941832122778289</v>
      </c>
      <c r="AJ73" s="4">
        <v>20.729081697992651</v>
      </c>
      <c r="AK73" s="4">
        <v>20.802080655072029</v>
      </c>
      <c r="AL73" s="4">
        <v>-7.2998957079381199E-2</v>
      </c>
    </row>
    <row r="74" spans="1:38" x14ac:dyDescent="0.3">
      <c r="A74" s="2" t="s">
        <v>185</v>
      </c>
      <c r="B74" s="2" t="s">
        <v>186</v>
      </c>
      <c r="C74" s="2">
        <v>2020</v>
      </c>
      <c r="D74" s="2">
        <v>1</v>
      </c>
      <c r="E74" s="2">
        <v>73</v>
      </c>
      <c r="F74" s="2">
        <v>73</v>
      </c>
      <c r="G74" s="6">
        <v>982808668</v>
      </c>
      <c r="H74" s="4">
        <v>20.70592501827122</v>
      </c>
      <c r="I74" s="10">
        <v>1040676846</v>
      </c>
      <c r="J74" s="10">
        <v>1015128136</v>
      </c>
      <c r="K74" s="4">
        <v>4.290459441148391</v>
      </c>
      <c r="L74" s="6">
        <v>81939000000</v>
      </c>
      <c r="M74" s="7">
        <v>1251</v>
      </c>
      <c r="N74" s="4">
        <v>1.247801758593126</v>
      </c>
      <c r="O74" s="10">
        <v>102243628297.36211</v>
      </c>
      <c r="P74" s="4">
        <v>25.350624314987439</v>
      </c>
      <c r="Q74" s="6">
        <v>293921190.89999998</v>
      </c>
      <c r="R74" s="3">
        <v>299.0624731649192</v>
      </c>
      <c r="S74" s="3">
        <v>380.65080947512052</v>
      </c>
      <c r="T74" s="4">
        <v>5.9418824443101093</v>
      </c>
      <c r="U74" s="3">
        <v>382.53401015415591</v>
      </c>
      <c r="V74" s="4">
        <v>5.9468175647495496</v>
      </c>
      <c r="W74" s="5">
        <v>0</v>
      </c>
      <c r="X74" s="5">
        <v>0</v>
      </c>
      <c r="Y74" s="5">
        <v>0</v>
      </c>
      <c r="Z74" s="9" t="s">
        <v>41</v>
      </c>
      <c r="AA74" s="9" t="s">
        <v>42</v>
      </c>
      <c r="AB74" s="3">
        <v>175.9028517057566</v>
      </c>
      <c r="AC74" s="4">
        <v>5.1699318636971272</v>
      </c>
      <c r="AD74" s="3">
        <v>92.768386448013842</v>
      </c>
      <c r="AE74" s="3">
        <v>93.488930358206673</v>
      </c>
      <c r="AF74" s="4">
        <v>4.5301059184775267</v>
      </c>
      <c r="AG74" s="4">
        <v>4.5378430373949303</v>
      </c>
      <c r="AH74" s="4">
        <v>4.2000000000000003E-2</v>
      </c>
      <c r="AI74" s="4">
        <v>-3.1700856606987688</v>
      </c>
      <c r="AJ74" s="4">
        <v>20.763137151873991</v>
      </c>
      <c r="AK74" s="4">
        <v>20.738280683836798</v>
      </c>
      <c r="AL74" s="4">
        <v>2.4856468037192769E-2</v>
      </c>
    </row>
    <row r="75" spans="1:38" x14ac:dyDescent="0.3">
      <c r="A75" s="2" t="s">
        <v>187</v>
      </c>
      <c r="B75" s="2" t="s">
        <v>188</v>
      </c>
      <c r="C75" s="2">
        <v>2020</v>
      </c>
      <c r="D75" s="2">
        <v>2</v>
      </c>
      <c r="E75" s="2">
        <v>74</v>
      </c>
      <c r="F75" s="2">
        <v>74</v>
      </c>
      <c r="G75" s="6">
        <v>838199112</v>
      </c>
      <c r="H75" s="4">
        <v>20.546766234041659</v>
      </c>
      <c r="I75" s="10">
        <v>982808668</v>
      </c>
      <c r="J75" s="10">
        <v>986591092</v>
      </c>
      <c r="K75" s="4">
        <v>4.3040650932041702</v>
      </c>
      <c r="L75" s="6">
        <v>73696000000</v>
      </c>
      <c r="M75" s="7">
        <v>1250</v>
      </c>
      <c r="N75" s="4">
        <v>1.2487999999999999</v>
      </c>
      <c r="O75" s="10">
        <v>92031564800</v>
      </c>
      <c r="P75" s="4">
        <v>25.245397450803772</v>
      </c>
      <c r="Q75" s="6">
        <v>250716752.80000001</v>
      </c>
      <c r="R75" s="3">
        <v>299.11359867916451</v>
      </c>
      <c r="S75" s="3">
        <v>382.53401015415591</v>
      </c>
      <c r="T75" s="4">
        <v>5.9468175647495496</v>
      </c>
      <c r="U75" s="3">
        <v>384.88161836876452</v>
      </c>
      <c r="V75" s="4">
        <v>5.9529358022481977</v>
      </c>
      <c r="W75" s="5">
        <v>1</v>
      </c>
      <c r="X75" s="5">
        <v>0</v>
      </c>
      <c r="Y75" s="5">
        <v>0</v>
      </c>
      <c r="Z75" s="9" t="s">
        <v>41</v>
      </c>
      <c r="AA75" s="9" t="s">
        <v>42</v>
      </c>
      <c r="AB75" s="3">
        <v>148.60725890292929</v>
      </c>
      <c r="AC75" s="4">
        <v>5.0013069796971266</v>
      </c>
      <c r="AD75" s="3">
        <v>93.11162894157124</v>
      </c>
      <c r="AE75" s="3">
        <v>92.768386448013842</v>
      </c>
      <c r="AF75" s="4">
        <v>4.5337990845553886</v>
      </c>
      <c r="AG75" s="4">
        <v>4.5301059184775267</v>
      </c>
      <c r="AH75" s="4">
        <v>4.0999999999999988E-2</v>
      </c>
      <c r="AI75" s="4">
        <v>-3.1941832122778289</v>
      </c>
      <c r="AJ75" s="4">
        <v>20.70592501827122</v>
      </c>
      <c r="AK75" s="4">
        <v>20.70976621773471</v>
      </c>
      <c r="AL75" s="4">
        <v>-3.8411994634834912E-3</v>
      </c>
    </row>
    <row r="76" spans="1:38" x14ac:dyDescent="0.3">
      <c r="A76" s="2" t="s">
        <v>189</v>
      </c>
      <c r="B76" s="2" t="s">
        <v>190</v>
      </c>
      <c r="C76" s="2">
        <v>2020</v>
      </c>
      <c r="D76" s="2">
        <v>3</v>
      </c>
      <c r="E76" s="2">
        <v>75</v>
      </c>
      <c r="F76" s="2">
        <v>75</v>
      </c>
      <c r="G76" s="6">
        <v>1013891291</v>
      </c>
      <c r="H76" s="4">
        <v>20.737061528281419</v>
      </c>
      <c r="I76" s="10">
        <v>838199112</v>
      </c>
      <c r="J76" s="10">
        <v>1005832806</v>
      </c>
      <c r="K76" s="4">
        <v>4.3174881135363101</v>
      </c>
      <c r="L76" s="6">
        <v>84045000000</v>
      </c>
      <c r="M76" s="7">
        <v>1250</v>
      </c>
      <c r="N76" s="4">
        <v>1.2487999999999999</v>
      </c>
      <c r="O76" s="10">
        <v>104955396000</v>
      </c>
      <c r="P76" s="4">
        <v>25.37680129685085</v>
      </c>
      <c r="Q76" s="6">
        <v>307169857.69999999</v>
      </c>
      <c r="R76" s="3">
        <v>302.96133365248522</v>
      </c>
      <c r="S76" s="3">
        <v>384.88161836876452</v>
      </c>
      <c r="T76" s="4">
        <v>5.9529358022481977</v>
      </c>
      <c r="U76" s="3">
        <v>398.07341060870971</v>
      </c>
      <c r="V76" s="4">
        <v>5.986636437041458</v>
      </c>
      <c r="W76" s="5">
        <v>0</v>
      </c>
      <c r="X76" s="5">
        <v>1</v>
      </c>
      <c r="Y76" s="5">
        <v>0</v>
      </c>
      <c r="Z76" s="9" t="s">
        <v>41</v>
      </c>
      <c r="AA76" s="9" t="s">
        <v>42</v>
      </c>
      <c r="AB76" s="3">
        <v>145.20654653406899</v>
      </c>
      <c r="AC76" s="4">
        <v>4.9781571876971276</v>
      </c>
      <c r="AD76" s="3">
        <v>97.194910278694508</v>
      </c>
      <c r="AE76" s="3">
        <v>93.11162894157124</v>
      </c>
      <c r="AF76" s="4">
        <v>4.5767183467074668</v>
      </c>
      <c r="AG76" s="4">
        <v>4.5337990845553886</v>
      </c>
      <c r="AH76" s="4">
        <v>5.1999999999999998E-2</v>
      </c>
      <c r="AI76" s="4">
        <v>-2.9565115604007102</v>
      </c>
      <c r="AJ76" s="4">
        <v>20.546766234041659</v>
      </c>
      <c r="AK76" s="4">
        <v>20.729081697992651</v>
      </c>
      <c r="AL76" s="4">
        <v>-0.18231546395099579</v>
      </c>
    </row>
    <row r="77" spans="1:38" x14ac:dyDescent="0.3">
      <c r="A77" s="2" t="s">
        <v>191</v>
      </c>
      <c r="B77" s="2" t="s">
        <v>192</v>
      </c>
      <c r="C77" s="2">
        <v>2020</v>
      </c>
      <c r="D77" s="2">
        <v>4</v>
      </c>
      <c r="E77" s="2">
        <v>76</v>
      </c>
      <c r="F77" s="2">
        <v>76</v>
      </c>
      <c r="G77" s="6">
        <v>1067609932</v>
      </c>
      <c r="H77" s="4">
        <v>20.78868827856115</v>
      </c>
      <c r="I77" s="10">
        <v>1013891291</v>
      </c>
      <c r="J77" s="10">
        <v>1040676846</v>
      </c>
      <c r="K77" s="4">
        <v>4.3307333402863311</v>
      </c>
      <c r="L77" s="6">
        <v>84539000000</v>
      </c>
      <c r="M77" s="7">
        <v>1252</v>
      </c>
      <c r="N77" s="4">
        <v>1.2468051118210861</v>
      </c>
      <c r="O77" s="10">
        <v>105403657348.2428</v>
      </c>
      <c r="P77" s="4">
        <v>25.381063172150348</v>
      </c>
      <c r="Q77" s="6">
        <v>336117526</v>
      </c>
      <c r="R77" s="3">
        <v>314.83177134773979</v>
      </c>
      <c r="S77" s="3">
        <v>398.07341060870971</v>
      </c>
      <c r="T77" s="4">
        <v>5.986636437041458</v>
      </c>
      <c r="U77" s="3">
        <v>395.71221568473612</v>
      </c>
      <c r="V77" s="4">
        <v>5.9806872189907816</v>
      </c>
      <c r="W77" s="5">
        <v>0</v>
      </c>
      <c r="X77" s="5">
        <v>0</v>
      </c>
      <c r="Y77" s="5">
        <v>1</v>
      </c>
      <c r="Z77" s="9" t="s">
        <v>41</v>
      </c>
      <c r="AA77" s="9" t="s">
        <v>42</v>
      </c>
      <c r="AB77" s="3">
        <v>143.76232292473651</v>
      </c>
      <c r="AC77" s="4">
        <v>4.9681614006971273</v>
      </c>
      <c r="AD77" s="3">
        <v>97.16056644876663</v>
      </c>
      <c r="AE77" s="3">
        <v>97.194910278694508</v>
      </c>
      <c r="AF77" s="4">
        <v>4.576364934178387</v>
      </c>
      <c r="AG77" s="4">
        <v>4.5767183467074668</v>
      </c>
      <c r="AH77" s="4">
        <v>4.9000000000000002E-2</v>
      </c>
      <c r="AI77" s="4">
        <v>-3.0159349808715099</v>
      </c>
      <c r="AJ77" s="4">
        <v>20.737061528281419</v>
      </c>
      <c r="AK77" s="4">
        <v>20.763137151873991</v>
      </c>
      <c r="AL77" s="4">
        <v>-2.6075623592571869E-2</v>
      </c>
    </row>
    <row r="78" spans="1:38" x14ac:dyDescent="0.3">
      <c r="A78" s="2" t="s">
        <v>193</v>
      </c>
      <c r="B78" s="2" t="s">
        <v>194</v>
      </c>
      <c r="C78" s="2">
        <v>2021</v>
      </c>
      <c r="D78" s="2">
        <v>1</v>
      </c>
      <c r="E78" s="2">
        <v>77</v>
      </c>
      <c r="F78" s="2">
        <v>77</v>
      </c>
      <c r="G78" s="6">
        <v>1036782044</v>
      </c>
      <c r="H78" s="4">
        <v>20.75938756473947</v>
      </c>
      <c r="I78" s="10">
        <v>1067609932</v>
      </c>
      <c r="J78" s="10">
        <v>982808668</v>
      </c>
      <c r="K78" s="4">
        <v>4.3438054218536841</v>
      </c>
      <c r="L78" s="6">
        <v>86716000000</v>
      </c>
      <c r="M78" s="7">
        <v>1258</v>
      </c>
      <c r="N78" s="4">
        <v>1.2408585055643879</v>
      </c>
      <c r="O78" s="10">
        <v>107602286168.5215</v>
      </c>
      <c r="P78" s="4">
        <v>25.401707731367729</v>
      </c>
      <c r="Q78" s="6">
        <v>327233381.30000001</v>
      </c>
      <c r="R78" s="3">
        <v>315.62408241321742</v>
      </c>
      <c r="S78" s="3">
        <v>395.71221568473612</v>
      </c>
      <c r="T78" s="4">
        <v>5.9806872189907816</v>
      </c>
      <c r="U78" s="3">
        <v>393.40072908592481</v>
      </c>
      <c r="V78" s="4">
        <v>5.9748287592474068</v>
      </c>
      <c r="W78" s="5">
        <v>0</v>
      </c>
      <c r="X78" s="5">
        <v>0</v>
      </c>
      <c r="Y78" s="5">
        <v>0</v>
      </c>
      <c r="Z78" s="9" t="s">
        <v>41</v>
      </c>
      <c r="AA78" s="9" t="s">
        <v>42</v>
      </c>
      <c r="AB78" s="3">
        <v>160.4794006859114</v>
      </c>
      <c r="AC78" s="4">
        <v>5.0781655896971269</v>
      </c>
      <c r="AD78" s="3">
        <v>96.438367412711258</v>
      </c>
      <c r="AE78" s="3">
        <v>97.16056644876663</v>
      </c>
      <c r="AF78" s="4">
        <v>4.568904124641179</v>
      </c>
      <c r="AG78" s="4">
        <v>4.576364934178387</v>
      </c>
      <c r="AH78" s="4">
        <v>4.5999999999999999E-2</v>
      </c>
      <c r="AI78" s="4">
        <v>-3.0791138824930422</v>
      </c>
      <c r="AJ78" s="4">
        <v>20.78868827856115</v>
      </c>
      <c r="AK78" s="4">
        <v>20.70592501827122</v>
      </c>
      <c r="AL78" s="4">
        <v>8.2763260289926421E-2</v>
      </c>
    </row>
    <row r="79" spans="1:38" x14ac:dyDescent="0.3">
      <c r="A79" s="2" t="s">
        <v>195</v>
      </c>
      <c r="B79" s="2" t="s">
        <v>196</v>
      </c>
      <c r="C79" s="2">
        <v>2021</v>
      </c>
      <c r="D79" s="2">
        <v>2</v>
      </c>
      <c r="E79" s="2">
        <v>78</v>
      </c>
      <c r="F79" s="2">
        <v>78</v>
      </c>
      <c r="G79" s="6">
        <v>1022952236</v>
      </c>
      <c r="H79" s="4">
        <v>20.745958632698809</v>
      </c>
      <c r="I79" s="10">
        <v>1036782044</v>
      </c>
      <c r="J79" s="10">
        <v>838199112</v>
      </c>
      <c r="K79" s="4">
        <v>4.3567088266895917</v>
      </c>
      <c r="L79" s="6">
        <v>88442000000</v>
      </c>
      <c r="M79" s="7">
        <v>1273</v>
      </c>
      <c r="N79" s="4">
        <v>1.22623723487824</v>
      </c>
      <c r="O79" s="10">
        <v>108450873527.1013</v>
      </c>
      <c r="P79" s="4">
        <v>25.4095631288397</v>
      </c>
      <c r="Q79" s="6">
        <v>325190013.60000002</v>
      </c>
      <c r="R79" s="3">
        <v>317.89364366764039</v>
      </c>
      <c r="S79" s="3">
        <v>393.40072908592481</v>
      </c>
      <c r="T79" s="4">
        <v>5.9748287592474068</v>
      </c>
      <c r="U79" s="3">
        <v>382.25254987461398</v>
      </c>
      <c r="V79" s="4">
        <v>5.9460815154857167</v>
      </c>
      <c r="W79" s="5">
        <v>1</v>
      </c>
      <c r="X79" s="5">
        <v>0</v>
      </c>
      <c r="Y79" s="5">
        <v>0</v>
      </c>
      <c r="Z79" s="9" t="s">
        <v>41</v>
      </c>
      <c r="AA79" s="9" t="s">
        <v>42</v>
      </c>
      <c r="AB79" s="3">
        <v>172.75822552284859</v>
      </c>
      <c r="AC79" s="4">
        <v>5.1518930766971271</v>
      </c>
      <c r="AD79" s="3">
        <v>95.144236647805499</v>
      </c>
      <c r="AE79" s="3">
        <v>96.438367412711258</v>
      </c>
      <c r="AF79" s="4">
        <v>4.5553940206812209</v>
      </c>
      <c r="AG79" s="4">
        <v>4.568904124641179</v>
      </c>
      <c r="AH79" s="4">
        <v>0.04</v>
      </c>
      <c r="AI79" s="4">
        <v>-3.218875824868201</v>
      </c>
      <c r="AJ79" s="4">
        <v>20.75938756473947</v>
      </c>
      <c r="AK79" s="4">
        <v>20.546766234041659</v>
      </c>
      <c r="AL79" s="4">
        <v>0.212621330697818</v>
      </c>
    </row>
    <row r="80" spans="1:38" x14ac:dyDescent="0.3">
      <c r="A80" s="2" t="s">
        <v>197</v>
      </c>
      <c r="B80" s="2" t="s">
        <v>198</v>
      </c>
      <c r="C80" s="2">
        <v>2021</v>
      </c>
      <c r="D80" s="2">
        <v>3</v>
      </c>
      <c r="E80" s="2">
        <v>79</v>
      </c>
      <c r="F80" s="2">
        <v>79</v>
      </c>
      <c r="G80" s="6">
        <v>953154685</v>
      </c>
      <c r="H80" s="4">
        <v>20.67528776219309</v>
      </c>
      <c r="I80" s="10">
        <v>1022952236</v>
      </c>
      <c r="J80" s="10">
        <v>1013891291</v>
      </c>
      <c r="K80" s="4">
        <v>4.3694478524670206</v>
      </c>
      <c r="L80" s="6">
        <v>86465000000</v>
      </c>
      <c r="M80" s="7">
        <v>1302</v>
      </c>
      <c r="N80" s="4">
        <v>1.198924731182796</v>
      </c>
      <c r="O80" s="10">
        <v>103665026881.7204</v>
      </c>
      <c r="P80" s="4">
        <v>25.364430642471209</v>
      </c>
      <c r="Q80" s="6">
        <v>300945828.60000002</v>
      </c>
      <c r="R80" s="3">
        <v>315.73660953048773</v>
      </c>
      <c r="S80" s="3">
        <v>382.25254987461398</v>
      </c>
      <c r="T80" s="4">
        <v>5.9460815154857167</v>
      </c>
      <c r="U80" s="3">
        <v>379.14541303145751</v>
      </c>
      <c r="V80" s="4">
        <v>5.9379198070425288</v>
      </c>
      <c r="W80" s="5">
        <v>0</v>
      </c>
      <c r="X80" s="5">
        <v>1</v>
      </c>
      <c r="Y80" s="5">
        <v>0</v>
      </c>
      <c r="Z80" s="9" t="s">
        <v>41</v>
      </c>
      <c r="AA80" s="9" t="s">
        <v>42</v>
      </c>
      <c r="AB80" s="3">
        <v>184.26383357218981</v>
      </c>
      <c r="AC80" s="4">
        <v>5.2163686086971266</v>
      </c>
      <c r="AD80" s="3">
        <v>92.925080572873199</v>
      </c>
      <c r="AE80" s="3">
        <v>95.144236647805499</v>
      </c>
      <c r="AF80" s="4">
        <v>4.5317935832571736</v>
      </c>
      <c r="AG80" s="4">
        <v>4.5553940206812209</v>
      </c>
      <c r="AH80" s="4">
        <v>3.3000000000000002E-2</v>
      </c>
      <c r="AI80" s="4">
        <v>-3.411247717515657</v>
      </c>
      <c r="AJ80" s="4">
        <v>20.745958632698809</v>
      </c>
      <c r="AK80" s="4">
        <v>20.737061528281419</v>
      </c>
      <c r="AL80" s="4">
        <v>8.8971044173860037E-3</v>
      </c>
    </row>
    <row r="81" spans="1:38" x14ac:dyDescent="0.3">
      <c r="A81" s="2" t="s">
        <v>199</v>
      </c>
      <c r="B81" s="2" t="s">
        <v>200</v>
      </c>
      <c r="C81" s="2">
        <v>2021</v>
      </c>
      <c r="D81" s="2">
        <v>4</v>
      </c>
      <c r="E81" s="2">
        <v>80</v>
      </c>
      <c r="F81" s="2">
        <v>80</v>
      </c>
      <c r="G81" s="6">
        <v>1071312282</v>
      </c>
      <c r="H81" s="4">
        <v>20.792150165742822</v>
      </c>
      <c r="I81" s="10">
        <v>953154685</v>
      </c>
      <c r="J81" s="10">
        <v>1067609932</v>
      </c>
      <c r="K81" s="4">
        <v>4.3820266346738812</v>
      </c>
      <c r="L81" s="6">
        <v>91173000000</v>
      </c>
      <c r="M81" s="7">
        <v>1320</v>
      </c>
      <c r="N81" s="4">
        <v>1.1825757575757581</v>
      </c>
      <c r="O81" s="10">
        <v>107818979545.4545</v>
      </c>
      <c r="P81" s="4">
        <v>25.4037195424979</v>
      </c>
      <c r="Q81" s="6">
        <v>340356594.80000001</v>
      </c>
      <c r="R81" s="3">
        <v>317.70063735720339</v>
      </c>
      <c r="S81" s="3">
        <v>379.14541303145751</v>
      </c>
      <c r="T81" s="4">
        <v>5.9379198070425288</v>
      </c>
      <c r="U81" s="3">
        <v>370.43343129193909</v>
      </c>
      <c r="V81" s="4">
        <v>5.9146737559667359</v>
      </c>
      <c r="W81" s="5">
        <v>0</v>
      </c>
      <c r="X81" s="5">
        <v>0</v>
      </c>
      <c r="Y81" s="5">
        <v>1</v>
      </c>
      <c r="Z81" s="9" t="s">
        <v>41</v>
      </c>
      <c r="AA81" s="9" t="s">
        <v>42</v>
      </c>
      <c r="AB81" s="3">
        <v>203.47549027035191</v>
      </c>
      <c r="AC81" s="4">
        <v>5.3155455566971268</v>
      </c>
      <c r="AD81" s="3">
        <v>91.514649986058558</v>
      </c>
      <c r="AE81" s="3">
        <v>92.925080572873199</v>
      </c>
      <c r="AF81" s="4">
        <v>4.5164990686026281</v>
      </c>
      <c r="AG81" s="4">
        <v>4.5317935832571736</v>
      </c>
      <c r="AH81" s="4">
        <v>3.2000000000000001E-2</v>
      </c>
      <c r="AI81" s="4">
        <v>-3.4420193761824098</v>
      </c>
      <c r="AJ81" s="4">
        <v>20.67528776219309</v>
      </c>
      <c r="AK81" s="4">
        <v>20.78868827856115</v>
      </c>
      <c r="AL81" s="4">
        <v>-0.1134005163680598</v>
      </c>
    </row>
    <row r="82" spans="1:38" x14ac:dyDescent="0.3">
      <c r="A82" s="2" t="s">
        <v>201</v>
      </c>
      <c r="B82" s="2" t="s">
        <v>202</v>
      </c>
      <c r="C82" s="2">
        <v>2022</v>
      </c>
      <c r="D82" s="2">
        <v>1</v>
      </c>
      <c r="E82" s="2">
        <v>81</v>
      </c>
      <c r="F82" s="2">
        <v>81</v>
      </c>
      <c r="G82" s="6">
        <v>1033597376</v>
      </c>
      <c r="H82" s="4">
        <v>20.756311152289701</v>
      </c>
      <c r="I82" s="10">
        <v>1071312282</v>
      </c>
      <c r="J82" s="10">
        <v>1036782044</v>
      </c>
      <c r="K82" s="4">
        <v>4.3944491546724391</v>
      </c>
      <c r="L82" s="6">
        <v>92559000000</v>
      </c>
      <c r="M82" s="7">
        <v>1339</v>
      </c>
      <c r="N82" s="4">
        <v>1.165795369678865</v>
      </c>
      <c r="O82" s="10">
        <v>107904853622.106</v>
      </c>
      <c r="P82" s="4">
        <v>25.404515690794788</v>
      </c>
      <c r="Q82" s="6">
        <v>326548053.60000002</v>
      </c>
      <c r="R82" s="3">
        <v>315.93351645660528</v>
      </c>
      <c r="S82" s="3">
        <v>370.43343129193909</v>
      </c>
      <c r="T82" s="4">
        <v>5.9146737559667359</v>
      </c>
      <c r="U82" s="3">
        <v>238.2221467262876</v>
      </c>
      <c r="V82" s="4">
        <v>5.4732036279405181</v>
      </c>
      <c r="W82" s="5">
        <v>0</v>
      </c>
      <c r="X82" s="5">
        <v>0</v>
      </c>
      <c r="Y82" s="5">
        <v>0</v>
      </c>
      <c r="Z82" s="9" t="s">
        <v>41</v>
      </c>
      <c r="AA82" s="9" t="s">
        <v>42</v>
      </c>
      <c r="AB82" s="3">
        <v>232.62486873782439</v>
      </c>
      <c r="AC82" s="4">
        <v>5.4494271506971268</v>
      </c>
      <c r="AD82" s="3">
        <v>90.055360115591753</v>
      </c>
      <c r="AE82" s="3">
        <v>91.514649986058558</v>
      </c>
      <c r="AF82" s="4">
        <v>4.5004245936216423</v>
      </c>
      <c r="AG82" s="4">
        <v>4.5164990686026281</v>
      </c>
      <c r="AH82" s="4">
        <v>3.3000000000000002E-2</v>
      </c>
      <c r="AI82" s="4">
        <v>-3.411247717515657</v>
      </c>
      <c r="AJ82" s="4">
        <v>20.792150165742822</v>
      </c>
      <c r="AK82" s="4">
        <v>20.75938756473947</v>
      </c>
      <c r="AL82" s="4">
        <v>3.2762601003344827E-2</v>
      </c>
    </row>
    <row r="83" spans="1:38" x14ac:dyDescent="0.3">
      <c r="A83" s="2" t="s">
        <v>203</v>
      </c>
      <c r="B83" s="2" t="s">
        <v>204</v>
      </c>
      <c r="C83" s="2">
        <v>2022</v>
      </c>
      <c r="D83" s="2">
        <v>2</v>
      </c>
      <c r="E83" s="2">
        <v>82</v>
      </c>
      <c r="F83" s="2">
        <v>82</v>
      </c>
      <c r="G83" s="6">
        <v>1112864573</v>
      </c>
      <c r="H83" s="4">
        <v>20.830203224388178</v>
      </c>
      <c r="I83" s="10">
        <v>1033597376</v>
      </c>
      <c r="J83" s="10">
        <v>1022952236</v>
      </c>
      <c r="K83" s="4">
        <v>4.4067192472642533</v>
      </c>
      <c r="L83" s="6">
        <v>95107000000</v>
      </c>
      <c r="M83" s="7">
        <v>1358</v>
      </c>
      <c r="N83" s="4">
        <v>1.1494845360824739</v>
      </c>
      <c r="O83" s="10">
        <v>109324025773.19591</v>
      </c>
      <c r="P83" s="4">
        <v>25.417582022915461</v>
      </c>
      <c r="Q83" s="6">
        <v>229866717.40000001</v>
      </c>
      <c r="R83" s="3">
        <v>206.55407942436139</v>
      </c>
      <c r="S83" s="3">
        <v>238.2221467262876</v>
      </c>
      <c r="T83" s="4">
        <v>5.4732036279405181</v>
      </c>
      <c r="U83" s="3">
        <v>228.9725998275228</v>
      </c>
      <c r="V83" s="4">
        <v>5.433602344987241</v>
      </c>
      <c r="W83" s="5">
        <v>1</v>
      </c>
      <c r="X83" s="5">
        <v>0</v>
      </c>
      <c r="Y83" s="5">
        <v>0</v>
      </c>
      <c r="Z83" s="9" t="s">
        <v>41</v>
      </c>
      <c r="AA83" s="9" t="s">
        <v>42</v>
      </c>
      <c r="AB83" s="3">
        <v>296.63290277108041</v>
      </c>
      <c r="AC83" s="4">
        <v>5.692495356697127</v>
      </c>
      <c r="AD83" s="3">
        <v>59.779448264610217</v>
      </c>
      <c r="AE83" s="3">
        <v>90.055360115591753</v>
      </c>
      <c r="AF83" s="4">
        <v>4.090661927382123</v>
      </c>
      <c r="AG83" s="4">
        <v>4.5004245936216423</v>
      </c>
      <c r="AH83" s="4">
        <v>3.3000000000000002E-2</v>
      </c>
      <c r="AI83" s="4">
        <v>-3.411247717515657</v>
      </c>
      <c r="AJ83" s="4">
        <v>20.756311152289701</v>
      </c>
      <c r="AK83" s="4">
        <v>20.745958632698809</v>
      </c>
      <c r="AL83" s="4">
        <v>1.035251959089223E-2</v>
      </c>
    </row>
    <row r="84" spans="1:38" x14ac:dyDescent="0.3">
      <c r="A84" s="2" t="s">
        <v>205</v>
      </c>
      <c r="B84" s="2" t="s">
        <v>206</v>
      </c>
      <c r="C84" s="2">
        <v>2022</v>
      </c>
      <c r="D84" s="2">
        <v>3</v>
      </c>
      <c r="E84" s="2">
        <v>83</v>
      </c>
      <c r="F84" s="2">
        <v>83</v>
      </c>
      <c r="G84" s="6">
        <v>1009704192</v>
      </c>
      <c r="H84" s="4">
        <v>20.73292324569417</v>
      </c>
      <c r="I84" s="10">
        <v>1112864573</v>
      </c>
      <c r="J84" s="10">
        <v>953154685</v>
      </c>
      <c r="K84" s="4">
        <v>4.4188406077965983</v>
      </c>
      <c r="L84" s="6">
        <v>97704000000</v>
      </c>
      <c r="M84" s="7">
        <v>1364</v>
      </c>
      <c r="N84" s="4">
        <v>1.1444281524926689</v>
      </c>
      <c r="O84" s="10">
        <v>111815208211.14371</v>
      </c>
      <c r="P84" s="4">
        <v>25.440113418927218</v>
      </c>
      <c r="Q84" s="6">
        <v>204777287.80000001</v>
      </c>
      <c r="R84" s="3">
        <v>202.80918849547569</v>
      </c>
      <c r="S84" s="3">
        <v>228.9725998275228</v>
      </c>
      <c r="T84" s="4">
        <v>5.433602344987241</v>
      </c>
      <c r="U84" s="3">
        <v>226.91245450540151</v>
      </c>
      <c r="V84" s="4">
        <v>5.4245642801225129</v>
      </c>
      <c r="W84" s="5">
        <v>0</v>
      </c>
      <c r="X84" s="5">
        <v>1</v>
      </c>
      <c r="Y84" s="5">
        <v>0</v>
      </c>
      <c r="Z84" s="9" t="s">
        <v>41</v>
      </c>
      <c r="AA84" s="9" t="s">
        <v>42</v>
      </c>
      <c r="AB84" s="3">
        <v>297.60573353891567</v>
      </c>
      <c r="AC84" s="4">
        <v>5.695769568697127</v>
      </c>
      <c r="AD84" s="3">
        <v>55.670548539621947</v>
      </c>
      <c r="AE84" s="3">
        <v>59.779448264610217</v>
      </c>
      <c r="AF84" s="4">
        <v>4.0194512555620321</v>
      </c>
      <c r="AG84" s="4">
        <v>4.090661927382123</v>
      </c>
      <c r="AH84" s="4">
        <v>3.3000000000000002E-2</v>
      </c>
      <c r="AI84" s="4">
        <v>-3.411247717515657</v>
      </c>
      <c r="AJ84" s="4">
        <v>20.830203224388178</v>
      </c>
      <c r="AK84" s="4">
        <v>20.67528776219309</v>
      </c>
      <c r="AL84" s="4">
        <v>0.15491546219508831</v>
      </c>
    </row>
    <row r="85" spans="1:38" x14ac:dyDescent="0.3">
      <c r="A85" s="2" t="s">
        <v>207</v>
      </c>
      <c r="B85" s="2" t="s">
        <v>208</v>
      </c>
      <c r="C85" s="2">
        <v>2022</v>
      </c>
      <c r="D85" s="2">
        <v>4</v>
      </c>
      <c r="E85" s="2">
        <v>84</v>
      </c>
      <c r="F85" s="2">
        <v>84</v>
      </c>
      <c r="G85" s="6">
        <v>1062856785</v>
      </c>
      <c r="H85" s="4">
        <v>20.78422620004249</v>
      </c>
      <c r="I85" s="10">
        <v>1009704192</v>
      </c>
      <c r="J85" s="10">
        <v>1071312282</v>
      </c>
      <c r="K85" s="4">
        <v>4.4308167988433134</v>
      </c>
      <c r="L85" s="6">
        <v>99981000000</v>
      </c>
      <c r="M85" s="7">
        <v>1392</v>
      </c>
      <c r="N85" s="4">
        <v>1.121408045977011</v>
      </c>
      <c r="O85" s="10">
        <v>112119497844.82761</v>
      </c>
      <c r="P85" s="4">
        <v>25.442831084503279</v>
      </c>
      <c r="Q85" s="6">
        <v>216679653.90000001</v>
      </c>
      <c r="R85" s="3">
        <v>203.8653344062719</v>
      </c>
      <c r="S85" s="3">
        <v>226.91245450540151</v>
      </c>
      <c r="T85" s="4">
        <v>5.4245642801225129</v>
      </c>
      <c r="U85" s="3">
        <v>252.75024058896</v>
      </c>
      <c r="V85" s="4">
        <v>5.5324018097852319</v>
      </c>
      <c r="W85" s="5">
        <v>0</v>
      </c>
      <c r="X85" s="5">
        <v>0</v>
      </c>
      <c r="Y85" s="5">
        <v>1</v>
      </c>
      <c r="Z85" s="9" t="s">
        <v>41</v>
      </c>
      <c r="AA85" s="9" t="s">
        <v>42</v>
      </c>
      <c r="AB85" s="3">
        <v>281.26791343315119</v>
      </c>
      <c r="AC85" s="4">
        <v>5.6393076436971272</v>
      </c>
      <c r="AD85" s="3">
        <v>55.149674685205582</v>
      </c>
      <c r="AE85" s="3">
        <v>55.670548539621947</v>
      </c>
      <c r="AF85" s="4">
        <v>4.0100508469551066</v>
      </c>
      <c r="AG85" s="4">
        <v>4.0194512555620321</v>
      </c>
      <c r="AH85" s="4">
        <v>3.4000000000000002E-2</v>
      </c>
      <c r="AI85" s="4">
        <v>-3.3813947543659761</v>
      </c>
      <c r="AJ85" s="4">
        <v>20.73292324569417</v>
      </c>
      <c r="AK85" s="4">
        <v>20.792150165742822</v>
      </c>
      <c r="AL85" s="4">
        <v>-5.9226920048651273E-2</v>
      </c>
    </row>
    <row r="86" spans="1:38" x14ac:dyDescent="0.3">
      <c r="A86" s="2" t="s">
        <v>209</v>
      </c>
      <c r="B86" s="2" t="s">
        <v>210</v>
      </c>
      <c r="C86" s="2">
        <v>2023</v>
      </c>
      <c r="D86" s="2">
        <v>1</v>
      </c>
      <c r="E86" s="2">
        <v>85</v>
      </c>
      <c r="F86" s="2">
        <v>85</v>
      </c>
      <c r="G86" s="6">
        <v>1023827987</v>
      </c>
      <c r="H86" s="4">
        <v>20.74681436800795</v>
      </c>
      <c r="I86" s="10">
        <v>1062856785</v>
      </c>
      <c r="J86" s="10">
        <v>1033597376</v>
      </c>
      <c r="K86" s="4">
        <v>4.4426512564903167</v>
      </c>
      <c r="L86" s="6">
        <v>100996000000</v>
      </c>
      <c r="M86" s="7">
        <v>1409</v>
      </c>
      <c r="N86" s="4">
        <v>1.1078779276082329</v>
      </c>
      <c r="O86" s="10">
        <v>111891239176.7211</v>
      </c>
      <c r="P86" s="4">
        <v>25.440793157659769</v>
      </c>
      <c r="Q86" s="6">
        <v>235388524.19999999</v>
      </c>
      <c r="R86" s="3">
        <v>229.91022631617119</v>
      </c>
      <c r="S86" s="3">
        <v>252.75024058896</v>
      </c>
      <c r="T86" s="4">
        <v>5.5324018097852319</v>
      </c>
      <c r="U86" s="3">
        <v>220.41541980139661</v>
      </c>
      <c r="V86" s="4">
        <v>5.395514037632732</v>
      </c>
      <c r="W86" s="5">
        <v>0</v>
      </c>
      <c r="X86" s="5">
        <v>0</v>
      </c>
      <c r="Y86" s="5">
        <v>0</v>
      </c>
      <c r="Z86" s="9" t="s">
        <v>41</v>
      </c>
      <c r="AA86" s="9" t="s">
        <v>42</v>
      </c>
      <c r="AB86" s="3">
        <v>246.3628079972969</v>
      </c>
      <c r="AC86" s="4">
        <v>5.5068052786971284</v>
      </c>
      <c r="AD86" s="3">
        <v>58.817765038772961</v>
      </c>
      <c r="AE86" s="3">
        <v>55.149674685205582</v>
      </c>
      <c r="AF86" s="4">
        <v>4.074443935783302</v>
      </c>
      <c r="AG86" s="4">
        <v>4.0100508469551066</v>
      </c>
      <c r="AH86" s="4">
        <v>3.5000000000000003E-2</v>
      </c>
      <c r="AI86" s="4">
        <v>-3.3524072174927229</v>
      </c>
      <c r="AJ86" s="4">
        <v>20.78422620004249</v>
      </c>
      <c r="AK86" s="4">
        <v>20.756311152289701</v>
      </c>
      <c r="AL86" s="4">
        <v>2.791504775279563E-2</v>
      </c>
    </row>
    <row r="87" spans="1:38" x14ac:dyDescent="0.3">
      <c r="A87" s="2" t="s">
        <v>211</v>
      </c>
      <c r="B87" s="2" t="s">
        <v>212</v>
      </c>
      <c r="C87" s="2">
        <v>2023</v>
      </c>
      <c r="D87" s="2">
        <v>2</v>
      </c>
      <c r="E87" s="2">
        <v>86</v>
      </c>
      <c r="F87" s="2">
        <v>86</v>
      </c>
      <c r="G87" s="6">
        <v>1056357961</v>
      </c>
      <c r="H87" s="4">
        <v>20.778092943010041</v>
      </c>
      <c r="I87" s="10">
        <v>1023827987</v>
      </c>
      <c r="J87" s="10">
        <v>1112864573</v>
      </c>
      <c r="K87" s="4">
        <v>4.4543472962535073</v>
      </c>
      <c r="L87" s="6">
        <v>103162000000</v>
      </c>
      <c r="M87" s="7">
        <v>1429</v>
      </c>
      <c r="N87" s="4">
        <v>1.0923722883135061</v>
      </c>
      <c r="O87" s="10">
        <v>112691310006.99789</v>
      </c>
      <c r="P87" s="4">
        <v>25.447918147716631</v>
      </c>
      <c r="Q87" s="6">
        <v>214057554.30000001</v>
      </c>
      <c r="R87" s="3">
        <v>202.63732768896131</v>
      </c>
      <c r="S87" s="3">
        <v>220.41541980139661</v>
      </c>
      <c r="T87" s="4">
        <v>5.395514037632732</v>
      </c>
      <c r="U87" s="3">
        <v>332.08786193204418</v>
      </c>
      <c r="V87" s="4">
        <v>5.8053995782779708</v>
      </c>
      <c r="W87" s="5">
        <v>1</v>
      </c>
      <c r="X87" s="5">
        <v>0</v>
      </c>
      <c r="Y87" s="5">
        <v>0</v>
      </c>
      <c r="Z87" s="9" t="s">
        <v>41</v>
      </c>
      <c r="AA87" s="9" t="s">
        <v>42</v>
      </c>
      <c r="AB87" s="3">
        <v>213.84841602409341</v>
      </c>
      <c r="AC87" s="4">
        <v>5.3652674276971268</v>
      </c>
      <c r="AD87" s="3">
        <v>53.927203048274663</v>
      </c>
      <c r="AE87" s="3">
        <v>58.817765038772961</v>
      </c>
      <c r="AF87" s="4">
        <v>3.987635045372564</v>
      </c>
      <c r="AG87" s="4">
        <v>4.074443935783302</v>
      </c>
      <c r="AH87" s="4">
        <v>3.7000000000000012E-2</v>
      </c>
      <c r="AI87" s="4">
        <v>-3.296837366337912</v>
      </c>
      <c r="AJ87" s="4">
        <v>20.74681436800795</v>
      </c>
      <c r="AK87" s="4">
        <v>20.830203224388178</v>
      </c>
      <c r="AL87" s="4">
        <v>-8.3388856380228304E-2</v>
      </c>
    </row>
    <row r="88" spans="1:38" x14ac:dyDescent="0.3">
      <c r="A88" s="2" t="s">
        <v>213</v>
      </c>
      <c r="B88" s="2" t="s">
        <v>214</v>
      </c>
      <c r="C88" s="2">
        <v>2023</v>
      </c>
      <c r="D88" s="2">
        <v>3</v>
      </c>
      <c r="E88" s="2">
        <v>87</v>
      </c>
      <c r="F88" s="2">
        <v>87</v>
      </c>
      <c r="G88" s="6">
        <v>938671811</v>
      </c>
      <c r="H88" s="4">
        <v>20.659976467027828</v>
      </c>
      <c r="I88" s="10">
        <v>1056357961</v>
      </c>
      <c r="J88" s="10">
        <v>1009704192</v>
      </c>
      <c r="K88" s="4">
        <v>4.4659081186545837</v>
      </c>
      <c r="L88" s="6">
        <v>104531000000</v>
      </c>
      <c r="M88" s="7">
        <v>1448</v>
      </c>
      <c r="N88" s="4">
        <v>1.0780386740331489</v>
      </c>
      <c r="O88" s="10">
        <v>112688460635.3591</v>
      </c>
      <c r="P88" s="4">
        <v>25.447892862646629</v>
      </c>
      <c r="Q88" s="6">
        <v>291700566.10000002</v>
      </c>
      <c r="R88" s="3">
        <v>310.75884316717799</v>
      </c>
      <c r="S88" s="3">
        <v>332.08786193204418</v>
      </c>
      <c r="T88" s="4">
        <v>5.8053995782779708</v>
      </c>
      <c r="U88" s="3">
        <v>340.31770429585572</v>
      </c>
      <c r="V88" s="4">
        <v>5.8298796057070774</v>
      </c>
      <c r="W88" s="5">
        <v>0</v>
      </c>
      <c r="X88" s="5">
        <v>1</v>
      </c>
      <c r="Y88" s="5">
        <v>0</v>
      </c>
      <c r="Z88" s="9" t="s">
        <v>41</v>
      </c>
      <c r="AA88" s="9" t="s">
        <v>42</v>
      </c>
      <c r="AB88" s="3">
        <v>226.3369512567962</v>
      </c>
      <c r="AC88" s="4">
        <v>5.4220248236971269</v>
      </c>
      <c r="AD88" s="3">
        <v>80.400140911181296</v>
      </c>
      <c r="AE88" s="3">
        <v>53.927203048274663</v>
      </c>
      <c r="AF88" s="4">
        <v>4.3870159288100181</v>
      </c>
      <c r="AG88" s="4">
        <v>3.987635045372564</v>
      </c>
      <c r="AH88" s="4">
        <v>0.04</v>
      </c>
      <c r="AI88" s="4">
        <v>-3.218875824868201</v>
      </c>
      <c r="AJ88" s="4">
        <v>20.778092943010041</v>
      </c>
      <c r="AK88" s="4">
        <v>20.73292324569417</v>
      </c>
      <c r="AL88" s="4">
        <v>4.5169697315873947E-2</v>
      </c>
    </row>
    <row r="89" spans="1:38" x14ac:dyDescent="0.3">
      <c r="A89" s="2" t="s">
        <v>215</v>
      </c>
      <c r="B89" s="2" t="s">
        <v>216</v>
      </c>
      <c r="C89" s="2">
        <v>2023</v>
      </c>
      <c r="D89" s="2">
        <v>4</v>
      </c>
      <c r="E89" s="2">
        <v>88</v>
      </c>
      <c r="F89" s="2">
        <v>88</v>
      </c>
      <c r="G89" s="6">
        <v>1021151625</v>
      </c>
      <c r="H89" s="4">
        <v>20.744196871469271</v>
      </c>
      <c r="I89" s="10">
        <v>938671811</v>
      </c>
      <c r="J89" s="10">
        <v>1062856785</v>
      </c>
      <c r="K89" s="4">
        <v>4.4773368144782069</v>
      </c>
      <c r="L89" s="6">
        <v>103942000000</v>
      </c>
      <c r="M89" s="7">
        <v>1435</v>
      </c>
      <c r="N89" s="4">
        <v>1.087804878048781</v>
      </c>
      <c r="O89" s="10">
        <v>113068614634.1463</v>
      </c>
      <c r="P89" s="4">
        <v>25.451260680533601</v>
      </c>
      <c r="Q89" s="6">
        <v>326753259.69999999</v>
      </c>
      <c r="R89" s="3">
        <v>319.98505579423619</v>
      </c>
      <c r="S89" s="3">
        <v>340.31770429585572</v>
      </c>
      <c r="T89" s="4">
        <v>5.8298796057070774</v>
      </c>
      <c r="U89" s="3">
        <v>338.66999555948178</v>
      </c>
      <c r="V89" s="4">
        <v>5.8250261688299281</v>
      </c>
      <c r="W89" s="5">
        <v>0</v>
      </c>
      <c r="X89" s="5">
        <v>0</v>
      </c>
      <c r="Y89" s="5">
        <v>1</v>
      </c>
      <c r="Z89" s="9" t="s">
        <v>41</v>
      </c>
      <c r="AA89" s="9" t="s">
        <v>42</v>
      </c>
      <c r="AB89" s="3">
        <v>236.53185059800001</v>
      </c>
      <c r="AC89" s="4">
        <v>5.4660828736971272</v>
      </c>
      <c r="AD89" s="3">
        <v>82.782712161865717</v>
      </c>
      <c r="AE89" s="3">
        <v>80.400140911181296</v>
      </c>
      <c r="AF89" s="4">
        <v>4.4162192492758514</v>
      </c>
      <c r="AG89" s="4">
        <v>4.3870159288100181</v>
      </c>
      <c r="AH89" s="4">
        <v>0.04</v>
      </c>
      <c r="AI89" s="4">
        <v>-3.218875824868201</v>
      </c>
      <c r="AJ89" s="4">
        <v>20.659976467027828</v>
      </c>
      <c r="AK89" s="4">
        <v>20.78422620004249</v>
      </c>
      <c r="AL89" s="4">
        <v>-0.1242497330146648</v>
      </c>
    </row>
    <row r="90" spans="1:38" x14ac:dyDescent="0.3">
      <c r="A90" s="2" t="s">
        <v>217</v>
      </c>
      <c r="B90" s="2" t="s">
        <v>218</v>
      </c>
      <c r="C90" s="2">
        <v>2024</v>
      </c>
      <c r="D90" s="2">
        <v>1</v>
      </c>
      <c r="E90" s="2">
        <v>89</v>
      </c>
      <c r="F90" s="2">
        <v>89</v>
      </c>
      <c r="G90" s="6">
        <v>988698346</v>
      </c>
      <c r="H90" s="4">
        <v>20.71189983396215</v>
      </c>
      <c r="I90" s="10">
        <v>1021151625</v>
      </c>
      <c r="J90" s="10">
        <v>1023827987</v>
      </c>
      <c r="K90" s="4">
        <v>4.4886363697321396</v>
      </c>
      <c r="L90" s="6">
        <v>105841000000</v>
      </c>
      <c r="M90" s="7">
        <v>1460</v>
      </c>
      <c r="N90" s="4">
        <v>1.0691780821917809</v>
      </c>
      <c r="O90" s="10">
        <v>113162877397.2603</v>
      </c>
      <c r="P90" s="4">
        <v>25.45209401074526</v>
      </c>
      <c r="Q90" s="6">
        <v>316837492.5</v>
      </c>
      <c r="R90" s="3">
        <v>320.45921163096602</v>
      </c>
      <c r="S90" s="3">
        <v>338.66999555948178</v>
      </c>
      <c r="T90" s="4">
        <v>5.8250261688299281</v>
      </c>
      <c r="U90" s="3">
        <v>336.10179774198713</v>
      </c>
      <c r="V90" s="4">
        <v>5.8174140835474217</v>
      </c>
      <c r="W90" s="5">
        <v>0</v>
      </c>
      <c r="X90" s="5">
        <v>0</v>
      </c>
      <c r="Y90" s="5">
        <v>0</v>
      </c>
      <c r="Z90" s="9" t="s">
        <v>41</v>
      </c>
      <c r="AA90" s="9" t="s">
        <v>42</v>
      </c>
      <c r="AB90" s="3">
        <v>225.31554854783511</v>
      </c>
      <c r="AC90" s="4">
        <v>5.4175018576971272</v>
      </c>
      <c r="AD90" s="3">
        <v>82.335424239813662</v>
      </c>
      <c r="AE90" s="3">
        <v>82.782712161865717</v>
      </c>
      <c r="AF90" s="4">
        <v>4.4108014432626712</v>
      </c>
      <c r="AG90" s="4">
        <v>4.4162192492758514</v>
      </c>
      <c r="AH90" s="4">
        <v>4.3999999999999997E-2</v>
      </c>
      <c r="AI90" s="4">
        <v>-3.1235656450638758</v>
      </c>
      <c r="AJ90" s="4">
        <v>20.744196871469271</v>
      </c>
      <c r="AK90" s="4">
        <v>20.74681436800795</v>
      </c>
      <c r="AL90" s="4">
        <v>-2.617496538682929E-3</v>
      </c>
    </row>
    <row r="91" spans="1:38" x14ac:dyDescent="0.3">
      <c r="A91" s="2" t="s">
        <v>219</v>
      </c>
      <c r="B91" s="2" t="s">
        <v>220</v>
      </c>
      <c r="C91" s="2">
        <v>2024</v>
      </c>
      <c r="D91" s="2">
        <v>2</v>
      </c>
      <c r="E91" s="2">
        <v>90</v>
      </c>
      <c r="F91" s="2">
        <v>90</v>
      </c>
      <c r="G91" s="6">
        <v>955339984</v>
      </c>
      <c r="H91" s="4">
        <v>20.677577839279031</v>
      </c>
      <c r="I91" s="10">
        <v>988698346</v>
      </c>
      <c r="J91" s="10">
        <v>1056357961</v>
      </c>
      <c r="K91" s="4">
        <v>4.499809670330265</v>
      </c>
      <c r="L91" s="6">
        <v>106539000000</v>
      </c>
      <c r="M91" s="7">
        <v>1475</v>
      </c>
      <c r="N91" s="4">
        <v>1.0583050847457629</v>
      </c>
      <c r="O91" s="10">
        <v>112750765423.72881</v>
      </c>
      <c r="P91" s="4">
        <v>25.448445603986681</v>
      </c>
      <c r="Q91" s="6">
        <v>305024921.80000001</v>
      </c>
      <c r="R91" s="3">
        <v>319.28415737700351</v>
      </c>
      <c r="S91" s="3">
        <v>336.10179774198713</v>
      </c>
      <c r="T91" s="4">
        <v>5.8174140835474217</v>
      </c>
      <c r="U91" s="3">
        <v>333.9356879663888</v>
      </c>
      <c r="V91" s="4">
        <v>5.8109484234375408</v>
      </c>
      <c r="W91" s="5">
        <v>1</v>
      </c>
      <c r="X91" s="5">
        <v>0</v>
      </c>
      <c r="Y91" s="5">
        <v>0</v>
      </c>
      <c r="Z91" s="9" t="s">
        <v>41</v>
      </c>
      <c r="AA91" s="9" t="s">
        <v>42</v>
      </c>
      <c r="AB91" s="3">
        <v>220.3244497855768</v>
      </c>
      <c r="AC91" s="4">
        <v>5.3951012316971267</v>
      </c>
      <c r="AD91" s="3">
        <v>81.954713878594049</v>
      </c>
      <c r="AE91" s="3">
        <v>82.335424239813662</v>
      </c>
      <c r="AF91" s="4">
        <v>4.4061668249338872</v>
      </c>
      <c r="AG91" s="4">
        <v>4.4108014432626712</v>
      </c>
      <c r="AH91" s="4">
        <v>4.7E-2</v>
      </c>
      <c r="AI91" s="4">
        <v>-3.0576076772720779</v>
      </c>
      <c r="AJ91" s="4">
        <v>20.71189983396215</v>
      </c>
      <c r="AK91" s="4">
        <v>20.778092943010041</v>
      </c>
      <c r="AL91" s="4">
        <v>-6.6193109047890886E-2</v>
      </c>
    </row>
    <row r="92" spans="1:38" x14ac:dyDescent="0.3">
      <c r="A92" s="2" t="s">
        <v>221</v>
      </c>
      <c r="B92" s="2" t="s">
        <v>222</v>
      </c>
      <c r="C92" s="2">
        <v>2024</v>
      </c>
      <c r="D92" s="2">
        <v>3</v>
      </c>
      <c r="E92" s="2">
        <v>91</v>
      </c>
      <c r="F92" s="2">
        <v>91</v>
      </c>
      <c r="G92" s="6">
        <v>965308098</v>
      </c>
      <c r="H92" s="4">
        <v>20.687957880885492</v>
      </c>
      <c r="I92" s="10">
        <v>955339984</v>
      </c>
      <c r="J92" s="10">
        <v>938671811</v>
      </c>
      <c r="K92" s="4">
        <v>4.5108595065168497</v>
      </c>
      <c r="L92" s="6">
        <v>106858000000</v>
      </c>
      <c r="M92" s="7">
        <v>1497</v>
      </c>
      <c r="N92" s="4">
        <v>1.042752171008684</v>
      </c>
      <c r="O92" s="10">
        <v>111426411489.646</v>
      </c>
      <c r="P92" s="4">
        <v>25.436630223319579</v>
      </c>
      <c r="Q92" s="6">
        <v>308147165.39999998</v>
      </c>
      <c r="R92" s="3">
        <v>319.22156878041648</v>
      </c>
      <c r="S92" s="3">
        <v>333.9356879663888</v>
      </c>
      <c r="T92" s="4">
        <v>5.8109484234375408</v>
      </c>
      <c r="U92" s="3">
        <v>332.65076329681619</v>
      </c>
      <c r="V92" s="4">
        <v>5.8070931807796313</v>
      </c>
      <c r="W92" s="5">
        <v>0</v>
      </c>
      <c r="X92" s="5">
        <v>1</v>
      </c>
      <c r="Y92" s="5">
        <v>0</v>
      </c>
      <c r="Z92" s="9" t="s">
        <v>41</v>
      </c>
      <c r="AA92" s="9" t="s">
        <v>42</v>
      </c>
      <c r="AB92" s="3">
        <v>200.0131250604673</v>
      </c>
      <c r="AC92" s="4">
        <v>5.2983829896971271</v>
      </c>
      <c r="AD92" s="3">
        <v>81.33701482505785</v>
      </c>
      <c r="AE92" s="3">
        <v>81.954713878594049</v>
      </c>
      <c r="AF92" s="4">
        <v>4.3986011998432124</v>
      </c>
      <c r="AG92" s="4">
        <v>4.4061668249338872</v>
      </c>
      <c r="AH92" s="4">
        <v>4.9000000000000002E-2</v>
      </c>
      <c r="AI92" s="4">
        <v>-3.0159349808715099</v>
      </c>
      <c r="AJ92" s="4">
        <v>20.677577839279031</v>
      </c>
      <c r="AK92" s="4">
        <v>20.659976467027828</v>
      </c>
      <c r="AL92" s="4">
        <v>1.760137225120317E-2</v>
      </c>
    </row>
    <row r="93" spans="1:38" x14ac:dyDescent="0.3">
      <c r="A93" s="2" t="s">
        <v>223</v>
      </c>
      <c r="B93" s="2" t="s">
        <v>224</v>
      </c>
      <c r="C93" s="2">
        <v>2024</v>
      </c>
      <c r="D93" s="2">
        <v>4</v>
      </c>
      <c r="E93" s="2">
        <v>92</v>
      </c>
      <c r="F93" s="2">
        <v>92</v>
      </c>
      <c r="G93" s="6">
        <v>1044092945</v>
      </c>
      <c r="H93" s="4">
        <v>20.766414350221901</v>
      </c>
      <c r="I93" s="10">
        <v>965308098</v>
      </c>
      <c r="J93" s="10">
        <v>1021151625</v>
      </c>
      <c r="K93" s="4">
        <v>4.5217885770490396</v>
      </c>
      <c r="L93" s="6">
        <v>108067000000</v>
      </c>
      <c r="M93" s="7">
        <v>1512</v>
      </c>
      <c r="N93" s="4">
        <v>1.032407407407407</v>
      </c>
      <c r="O93" s="10">
        <v>111569171296.2963</v>
      </c>
      <c r="P93" s="4">
        <v>25.437910605866801</v>
      </c>
      <c r="Q93" s="6">
        <v>333830225.19999999</v>
      </c>
      <c r="R93" s="3">
        <v>319.73228705227962</v>
      </c>
      <c r="S93" s="3">
        <v>332.65076329681619</v>
      </c>
      <c r="T93" s="4">
        <v>5.8070931807796313</v>
      </c>
      <c r="U93" s="3">
        <v>331.35172757472748</v>
      </c>
      <c r="V93" s="4">
        <v>5.8031804322666156</v>
      </c>
      <c r="W93" s="5">
        <v>0</v>
      </c>
      <c r="X93" s="5">
        <v>0</v>
      </c>
      <c r="Y93" s="5">
        <v>1</v>
      </c>
      <c r="Z93" s="9" t="s">
        <v>41</v>
      </c>
      <c r="AA93" s="9" t="s">
        <v>42</v>
      </c>
      <c r="AB93" s="3">
        <v>191.1222222950401</v>
      </c>
      <c r="AC93" s="4">
        <v>5.2529131306971273</v>
      </c>
      <c r="AD93" s="3">
        <v>80.990924928552872</v>
      </c>
      <c r="AE93" s="3">
        <v>81.33701482505785</v>
      </c>
      <c r="AF93" s="4">
        <v>4.3943371104766218</v>
      </c>
      <c r="AG93" s="4">
        <v>4.3986011998432124</v>
      </c>
      <c r="AH93" s="4">
        <v>5.0999999999999997E-2</v>
      </c>
      <c r="AI93" s="4">
        <v>-2.975929646257812</v>
      </c>
      <c r="AJ93" s="4">
        <v>20.687957880885492</v>
      </c>
      <c r="AK93" s="4">
        <v>20.744196871469271</v>
      </c>
      <c r="AL93" s="4">
        <v>-5.6238990583779007E-2</v>
      </c>
    </row>
    <row r="94" spans="1:38" x14ac:dyDescent="0.3">
      <c r="A94" s="2" t="s">
        <v>225</v>
      </c>
      <c r="B94" s="2" t="s">
        <v>226</v>
      </c>
      <c r="C94" s="2">
        <v>2025</v>
      </c>
      <c r="D94" s="2">
        <v>1</v>
      </c>
      <c r="E94" s="2">
        <v>93</v>
      </c>
      <c r="F94" s="2">
        <v>93</v>
      </c>
      <c r="G94" s="6">
        <v>1022167146</v>
      </c>
      <c r="H94" s="4">
        <v>20.745190863300621</v>
      </c>
      <c r="I94" s="10">
        <v>1044092945</v>
      </c>
      <c r="J94" s="10">
        <v>988698346</v>
      </c>
      <c r="K94" s="4">
        <v>4.5325994931532563</v>
      </c>
      <c r="L94" s="6">
        <v>109906000000</v>
      </c>
      <c r="M94" s="7">
        <v>1521</v>
      </c>
      <c r="N94" s="4">
        <v>1.026298487836949</v>
      </c>
      <c r="O94" s="10">
        <v>112796361604.20779</v>
      </c>
      <c r="P94" s="4">
        <v>25.44884992020831</v>
      </c>
      <c r="Q94" s="6">
        <v>328578945.30000001</v>
      </c>
      <c r="R94" s="3">
        <v>321.45324430139732</v>
      </c>
      <c r="S94" s="3">
        <v>331.35172757472748</v>
      </c>
      <c r="T94" s="4">
        <v>5.8031804322666156</v>
      </c>
      <c r="U94" s="3">
        <v>330.01564849731989</v>
      </c>
      <c r="V94" s="4">
        <v>5.7991400730250966</v>
      </c>
      <c r="W94" s="5">
        <v>0</v>
      </c>
      <c r="X94" s="5">
        <v>0</v>
      </c>
      <c r="Y94" s="5">
        <v>0</v>
      </c>
      <c r="Z94" s="9" t="s">
        <v>41</v>
      </c>
      <c r="AA94" s="9" t="s">
        <v>42</v>
      </c>
      <c r="AB94" s="3">
        <v>203.16928396671321</v>
      </c>
      <c r="AC94" s="4">
        <v>5.3140395426971274</v>
      </c>
      <c r="AD94" s="3">
        <v>80.361520774567424</v>
      </c>
      <c r="AE94" s="3">
        <v>80.990924928552872</v>
      </c>
      <c r="AF94" s="4">
        <v>4.3865354642894134</v>
      </c>
      <c r="AG94" s="4">
        <v>4.3943371104766218</v>
      </c>
      <c r="AH94" s="4">
        <v>5.0999999999999997E-2</v>
      </c>
      <c r="AI94" s="4">
        <v>-2.975929646257812</v>
      </c>
      <c r="AJ94" s="4">
        <v>20.766414350221901</v>
      </c>
      <c r="AK94" s="4">
        <v>20.71189983396215</v>
      </c>
      <c r="AL94" s="4">
        <v>5.4514516259747132E-2</v>
      </c>
    </row>
    <row r="95" spans="1:38" x14ac:dyDescent="0.3">
      <c r="A95" s="2" t="s">
        <v>227</v>
      </c>
      <c r="B95" s="2" t="s">
        <v>228</v>
      </c>
      <c r="C95" s="2">
        <v>2025</v>
      </c>
      <c r="D95" s="2">
        <v>2</v>
      </c>
      <c r="E95" s="2">
        <v>94</v>
      </c>
      <c r="F95" s="2">
        <v>94</v>
      </c>
      <c r="G95" s="6">
        <v>950305250</v>
      </c>
      <c r="H95" s="4">
        <v>20.672293806737471</v>
      </c>
      <c r="I95" s="10">
        <v>1022167146</v>
      </c>
      <c r="J95" s="10">
        <v>955339984</v>
      </c>
      <c r="K95" s="4">
        <v>4.5432947822700038</v>
      </c>
      <c r="L95" s="6">
        <v>110143000000</v>
      </c>
      <c r="M95" s="7">
        <v>1535</v>
      </c>
      <c r="N95" s="4">
        <v>1.0169381107491859</v>
      </c>
      <c r="O95" s="10">
        <v>112008614332.2476</v>
      </c>
      <c r="P95" s="4">
        <v>25.441841618964581</v>
      </c>
      <c r="Q95" s="6">
        <v>305886466</v>
      </c>
      <c r="R95" s="3">
        <v>321.88232780993258</v>
      </c>
      <c r="S95" s="3">
        <v>330.01564849731989</v>
      </c>
      <c r="T95" s="4">
        <v>5.7991400730250966</v>
      </c>
      <c r="U95" s="3">
        <v>326.53073889551649</v>
      </c>
      <c r="V95" s="4">
        <v>5.7885240909787354</v>
      </c>
      <c r="W95" s="5">
        <v>1</v>
      </c>
      <c r="X95" s="5">
        <v>0</v>
      </c>
      <c r="Y95" s="5">
        <v>0</v>
      </c>
      <c r="Z95" s="9" t="s">
        <v>41</v>
      </c>
      <c r="AA95" s="9" t="s">
        <v>42</v>
      </c>
      <c r="AB95" s="3">
        <v>188.54678411726019</v>
      </c>
      <c r="AC95" s="4">
        <v>5.2393461676971267</v>
      </c>
      <c r="AD95" s="3">
        <v>79.83230082288317</v>
      </c>
      <c r="AE95" s="3">
        <v>80.361520774567424</v>
      </c>
      <c r="AF95" s="4">
        <v>4.3799281947741697</v>
      </c>
      <c r="AG95" s="4">
        <v>4.3865354642894134</v>
      </c>
      <c r="AH95" s="4">
        <v>5.1999999999999998E-2</v>
      </c>
      <c r="AI95" s="4">
        <v>-2.9565115604007102</v>
      </c>
      <c r="AJ95" s="4">
        <v>20.745190863300621</v>
      </c>
      <c r="AK95" s="4">
        <v>20.677577839279031</v>
      </c>
      <c r="AL95" s="4">
        <v>6.7613024021589752E-2</v>
      </c>
    </row>
    <row r="96" spans="1:38" x14ac:dyDescent="0.3">
      <c r="A96" s="2" t="s">
        <v>229</v>
      </c>
      <c r="B96" s="2" t="s">
        <v>230</v>
      </c>
      <c r="C96" s="2">
        <v>2025</v>
      </c>
      <c r="D96" s="2">
        <v>3</v>
      </c>
      <c r="E96" s="2">
        <v>95</v>
      </c>
      <c r="F96" s="2">
        <v>95</v>
      </c>
      <c r="G96" s="6">
        <v>978994143</v>
      </c>
      <c r="H96" s="4">
        <v>20.702036217841549</v>
      </c>
      <c r="I96" s="10">
        <v>950305250</v>
      </c>
      <c r="J96" s="10">
        <v>965308098</v>
      </c>
      <c r="K96" s="4">
        <v>4.5538768916005408</v>
      </c>
      <c r="L96" s="6">
        <v>111669000000</v>
      </c>
      <c r="M96" s="7">
        <v>1542</v>
      </c>
      <c r="N96" s="4">
        <v>1.0123216601815821</v>
      </c>
      <c r="O96" s="10">
        <v>113044947470.81709</v>
      </c>
      <c r="P96" s="4">
        <v>25.451051341799609</v>
      </c>
      <c r="Q96" s="6">
        <v>314896898.5</v>
      </c>
      <c r="R96" s="3">
        <v>321.65350605166998</v>
      </c>
      <c r="S96" s="3">
        <v>326.53073889551649</v>
      </c>
      <c r="T96" s="4">
        <v>5.7885240909787354</v>
      </c>
      <c r="U96" s="3">
        <v>323.77497585052299</v>
      </c>
      <c r="V96" s="4">
        <v>5.7800487555224276</v>
      </c>
      <c r="W96" s="5">
        <v>0</v>
      </c>
      <c r="X96" s="5">
        <v>1</v>
      </c>
      <c r="Y96" s="5">
        <v>0</v>
      </c>
      <c r="Z96" s="9" t="s">
        <v>41</v>
      </c>
      <c r="AA96" s="9" t="s">
        <v>42</v>
      </c>
      <c r="AB96" s="3">
        <v>188.21122054480159</v>
      </c>
      <c r="AC96" s="4">
        <v>5.2375648456971273</v>
      </c>
      <c r="AD96" s="3">
        <v>79.048653699216658</v>
      </c>
      <c r="AE96" s="3">
        <v>79.83230082288317</v>
      </c>
      <c r="AF96" s="4">
        <v>4.3700635325075003</v>
      </c>
      <c r="AG96" s="4">
        <v>4.3799281947741697</v>
      </c>
      <c r="AH96" s="4">
        <v>5.2999999999999999E-2</v>
      </c>
      <c r="AI96" s="4">
        <v>-2.9374633654300148</v>
      </c>
      <c r="AJ96" s="4">
        <v>20.672293806737471</v>
      </c>
      <c r="AK96" s="4">
        <v>20.687957880885492</v>
      </c>
      <c r="AL96" s="4">
        <v>-1.5664074148016741E-2</v>
      </c>
    </row>
    <row r="97" spans="1:38" x14ac:dyDescent="0.3">
      <c r="A97" s="2" t="s">
        <v>231</v>
      </c>
      <c r="B97" s="2" t="s">
        <v>232</v>
      </c>
      <c r="C97" s="2">
        <v>2025</v>
      </c>
      <c r="D97" s="2">
        <v>4</v>
      </c>
      <c r="E97" s="2">
        <v>96</v>
      </c>
      <c r="F97" s="2">
        <v>96</v>
      </c>
      <c r="G97" s="6">
        <v>1064388483</v>
      </c>
      <c r="H97" s="4">
        <v>20.785666276828891</v>
      </c>
      <c r="I97" s="10">
        <v>978994143</v>
      </c>
      <c r="J97" s="10">
        <v>1044092945</v>
      </c>
      <c r="K97" s="4">
        <v>4.5643481914678361</v>
      </c>
      <c r="L97" s="6">
        <v>113094000000</v>
      </c>
      <c r="M97" s="7">
        <v>1561</v>
      </c>
      <c r="N97" s="4">
        <v>1</v>
      </c>
      <c r="O97" s="10">
        <v>113094000000</v>
      </c>
      <c r="P97" s="4">
        <v>25.451485168263389</v>
      </c>
      <c r="Q97" s="6">
        <v>341533880.19999999</v>
      </c>
      <c r="R97" s="3">
        <v>320.87333304977147</v>
      </c>
      <c r="S97" s="3">
        <v>323.77497585052299</v>
      </c>
      <c r="T97" s="4">
        <v>5.7800487555224276</v>
      </c>
      <c r="U97" s="3">
        <f>IF(N(S98)&gt;0,S98,"")</f>
        <v>322.23897859167539</v>
      </c>
      <c r="V97" s="4">
        <f>IF(N(U97)&gt;0,LN(U97),"")</f>
        <v>5.7752934398121507</v>
      </c>
      <c r="W97" s="5">
        <v>0</v>
      </c>
      <c r="X97" s="5">
        <v>0</v>
      </c>
      <c r="Y97" s="5">
        <v>1</v>
      </c>
      <c r="Z97" s="9" t="s">
        <v>41</v>
      </c>
      <c r="AA97" s="9" t="s">
        <v>233</v>
      </c>
      <c r="AB97" s="3">
        <v>194.5434815373022</v>
      </c>
      <c r="AC97" s="4">
        <v>5.2706556935354101</v>
      </c>
      <c r="AD97" s="3">
        <v>78.619584605427889</v>
      </c>
      <c r="AE97" s="3">
        <v>79.048653699216658</v>
      </c>
      <c r="AF97" s="4">
        <v>4.3646208364059564</v>
      </c>
      <c r="AG97" s="4">
        <v>4.3700635325075003</v>
      </c>
      <c r="AH97" s="4">
        <v>5.4000000000000013E-2</v>
      </c>
      <c r="AI97" s="4">
        <v>-2.9187712324178632</v>
      </c>
      <c r="AJ97" s="4">
        <v>20.702036217841549</v>
      </c>
      <c r="AK97" s="4">
        <v>20.766414350221901</v>
      </c>
      <c r="AL97" s="4">
        <v>-6.4378132380351616E-2</v>
      </c>
    </row>
    <row r="98" spans="1:38" ht="33.6" customHeight="1" x14ac:dyDescent="0.3">
      <c r="A98" s="11" t="s">
        <v>234</v>
      </c>
      <c r="B98" s="11" t="s">
        <v>235</v>
      </c>
      <c r="C98" s="11">
        <v>2026</v>
      </c>
      <c r="D98" s="11">
        <v>1</v>
      </c>
      <c r="E98" s="11">
        <v>97</v>
      </c>
      <c r="F98" s="11">
        <v>97</v>
      </c>
      <c r="G98" s="16">
        <v>1039372457</v>
      </c>
      <c r="H98" s="13">
        <v>20.761882961245814</v>
      </c>
      <c r="I98" s="24">
        <v>1064388483</v>
      </c>
      <c r="J98" s="24">
        <v>1022167146</v>
      </c>
      <c r="K98" s="13">
        <v>4.5747109785033828</v>
      </c>
      <c r="L98" s="16">
        <v>114677316000</v>
      </c>
      <c r="M98" s="17">
        <v>1567.1821782178217</v>
      </c>
      <c r="N98" s="13">
        <v>0.99605522682445757</v>
      </c>
      <c r="O98" s="23">
        <v>114224940000</v>
      </c>
      <c r="P98" s="13">
        <v>25.461435499116554</v>
      </c>
      <c r="Q98" s="16">
        <v>334926318.92000002</v>
      </c>
      <c r="R98" s="12">
        <v>322.23897859167539</v>
      </c>
      <c r="S98" s="12">
        <v>322.23897859167539</v>
      </c>
      <c r="T98" s="13">
        <v>5.7752934398121507</v>
      </c>
      <c r="U98" s="25">
        <v>318.7803374122621</v>
      </c>
      <c r="V98" s="13">
        <v>5.764502268139001</v>
      </c>
      <c r="W98" s="15">
        <v>0</v>
      </c>
      <c r="X98" s="15">
        <v>0</v>
      </c>
      <c r="Y98" s="15">
        <v>0</v>
      </c>
      <c r="Z98" s="22" t="s">
        <v>41</v>
      </c>
      <c r="AA98" s="22" t="s">
        <v>270</v>
      </c>
      <c r="AB98" s="19">
        <v>214.6</v>
      </c>
      <c r="AC98" s="18">
        <v>5.368775830196598</v>
      </c>
      <c r="AD98" s="19">
        <v>77.909339161785027</v>
      </c>
      <c r="AE98" s="19">
        <v>78.619584605427889</v>
      </c>
      <c r="AF98" s="18">
        <v>4.3555458322349807</v>
      </c>
      <c r="AG98" s="18">
        <v>4.3646208364059564</v>
      </c>
      <c r="AH98" s="18">
        <v>5.2999999999999999E-2</v>
      </c>
      <c r="AI98" s="18">
        <v>-2.9374633654300153</v>
      </c>
      <c r="AJ98" s="18">
        <v>20.785666276828888</v>
      </c>
      <c r="AK98" s="18">
        <v>20.745190863300621</v>
      </c>
      <c r="AL98" s="13">
        <v>4.0475413528266557E-2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6"/>
  <sheetViews>
    <sheetView tabSelected="1" topLeftCell="AI1" workbookViewId="0">
      <selection activeCell="AM11" sqref="AM11"/>
    </sheetView>
  </sheetViews>
  <sheetFormatPr defaultRowHeight="14.4" x14ac:dyDescent="0.3"/>
  <cols>
    <col min="1" max="1" width="11" customWidth="1"/>
    <col min="2" max="2" width="14" customWidth="1"/>
    <col min="3" max="4" width="11" customWidth="1"/>
    <col min="5" max="5" width="14" customWidth="1"/>
    <col min="6" max="6" width="13" customWidth="1"/>
    <col min="7" max="7" width="11" customWidth="1"/>
    <col min="8" max="8" width="12" customWidth="1"/>
    <col min="9" max="10" width="14" customWidth="1"/>
    <col min="11" max="11" width="11" customWidth="1"/>
    <col min="12" max="12" width="20" customWidth="1"/>
    <col min="13" max="13" width="17" customWidth="1"/>
    <col min="14" max="14" width="24" customWidth="1"/>
    <col min="15" max="15" width="17" customWidth="1"/>
    <col min="16" max="16" width="21" customWidth="1"/>
    <col min="17" max="26" width="24" customWidth="1"/>
    <col min="27" max="27" width="23" customWidth="1"/>
    <col min="28" max="28" width="24" customWidth="1"/>
    <col min="29" max="29" width="23" customWidth="1"/>
    <col min="30" max="31" width="24" customWidth="1"/>
    <col min="32" max="32" width="34" customWidth="1"/>
    <col min="33" max="33" width="24" customWidth="1"/>
    <col min="34" max="34" width="23" customWidth="1"/>
    <col min="35" max="35" width="24" customWidth="1"/>
    <col min="36" max="37" width="34" customWidth="1"/>
    <col min="38" max="39" width="24" customWidth="1"/>
    <col min="40" max="40" width="12" customWidth="1"/>
    <col min="41" max="46" width="24" customWidth="1"/>
    <col min="47" max="47" width="20" customWidth="1"/>
    <col min="48" max="49" width="19" customWidth="1"/>
  </cols>
  <sheetData>
    <row r="1" spans="1:49" ht="19.8" x14ac:dyDescent="0.3">
      <c r="A1" s="26" t="s">
        <v>271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</row>
    <row r="2" spans="1:49" ht="27.15" customHeight="1" x14ac:dyDescent="0.3">
      <c r="A2" s="27" t="s">
        <v>272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</row>
    <row r="4" spans="1:49" x14ac:dyDescent="0.3">
      <c r="A4" s="28" t="s">
        <v>273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49" ht="28.8" x14ac:dyDescent="0.3">
      <c r="A5" s="29" t="s">
        <v>0</v>
      </c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29" t="s">
        <v>10</v>
      </c>
      <c r="L5" s="29" t="s">
        <v>11</v>
      </c>
      <c r="M5" s="29" t="s">
        <v>12</v>
      </c>
      <c r="N5" s="29" t="s">
        <v>13</v>
      </c>
      <c r="O5" s="29" t="s">
        <v>14</v>
      </c>
      <c r="P5" s="29" t="s">
        <v>15</v>
      </c>
      <c r="Q5" s="29" t="s">
        <v>16</v>
      </c>
      <c r="R5" s="29" t="s">
        <v>17</v>
      </c>
      <c r="S5" s="29" t="s">
        <v>18</v>
      </c>
      <c r="T5" s="29" t="s">
        <v>19</v>
      </c>
      <c r="U5" s="29" t="s">
        <v>20</v>
      </c>
      <c r="V5" s="29" t="s">
        <v>21</v>
      </c>
      <c r="W5" s="29" t="s">
        <v>22</v>
      </c>
      <c r="X5" s="29" t="s">
        <v>23</v>
      </c>
      <c r="Y5" s="29" t="s">
        <v>24</v>
      </c>
      <c r="Z5" s="29" t="s">
        <v>25</v>
      </c>
      <c r="AA5" s="29" t="s">
        <v>26</v>
      </c>
      <c r="AB5" s="29" t="s">
        <v>27</v>
      </c>
      <c r="AC5" s="29" t="s">
        <v>28</v>
      </c>
      <c r="AD5" s="29" t="s">
        <v>29</v>
      </c>
      <c r="AE5" s="29" t="s">
        <v>30</v>
      </c>
      <c r="AF5" s="29" t="s">
        <v>31</v>
      </c>
      <c r="AG5" s="29" t="s">
        <v>32</v>
      </c>
      <c r="AH5" s="29" t="s">
        <v>33</v>
      </c>
      <c r="AI5" s="29" t="s">
        <v>34</v>
      </c>
      <c r="AJ5" s="29" t="s">
        <v>35</v>
      </c>
      <c r="AK5" s="29" t="s">
        <v>36</v>
      </c>
      <c r="AL5" s="29" t="s">
        <v>37</v>
      </c>
      <c r="AM5" s="29" t="s">
        <v>38</v>
      </c>
    </row>
    <row r="6" spans="1:49" ht="158.4" x14ac:dyDescent="0.3">
      <c r="A6" s="30" t="s">
        <v>234</v>
      </c>
      <c r="B6" s="30" t="s">
        <v>235</v>
      </c>
      <c r="C6" s="30">
        <v>2026</v>
      </c>
      <c r="D6" s="30">
        <v>1</v>
      </c>
      <c r="E6" s="30">
        <v>97</v>
      </c>
      <c r="F6" s="30">
        <v>97</v>
      </c>
      <c r="G6" s="30">
        <v>1355.8193183068997</v>
      </c>
      <c r="H6" s="30">
        <v>7.2121612135359356</v>
      </c>
      <c r="I6" s="30">
        <v>1565.5435343949109</v>
      </c>
      <c r="J6" s="30">
        <v>1499.78577995301</v>
      </c>
      <c r="K6" s="30">
        <v>4.5747109785033828</v>
      </c>
      <c r="L6" s="30">
        <v>114677316000</v>
      </c>
      <c r="M6" s="30">
        <v>5361300</v>
      </c>
      <c r="N6" s="30">
        <v>21389.833808964242</v>
      </c>
      <c r="O6" s="30">
        <v>1567.1821782178217</v>
      </c>
      <c r="P6" s="30">
        <v>0.99605522682445757</v>
      </c>
      <c r="Q6" s="30">
        <v>21305.455766325333</v>
      </c>
      <c r="R6" s="30">
        <v>9.9667184581635553</v>
      </c>
      <c r="S6" s="30">
        <v>269.8</v>
      </c>
      <c r="T6" s="30">
        <v>1</v>
      </c>
      <c r="U6" s="30">
        <v>269.8</v>
      </c>
      <c r="V6" s="30">
        <v>5.5976809437736552</v>
      </c>
      <c r="W6" s="30">
        <v>7268954111.2387819</v>
      </c>
      <c r="X6" s="30">
        <v>22.706878254488934</v>
      </c>
      <c r="Y6" s="30">
        <v>5.3</v>
      </c>
      <c r="Z6" s="30">
        <v>5.2999999999999999E-2</v>
      </c>
      <c r="AA6" s="30">
        <v>-2.9374633654300153</v>
      </c>
      <c r="AB6" s="30">
        <v>1</v>
      </c>
      <c r="AC6" s="30">
        <v>0</v>
      </c>
      <c r="AD6" s="30">
        <v>1</v>
      </c>
      <c r="AE6" s="30">
        <v>0</v>
      </c>
      <c r="AF6" s="30">
        <v>0</v>
      </c>
      <c r="AG6" s="30">
        <v>0</v>
      </c>
      <c r="AH6" s="30">
        <v>4.5747109785033828</v>
      </c>
      <c r="AI6" s="30" t="s">
        <v>236</v>
      </c>
      <c r="AJ6" s="30" t="s">
        <v>237</v>
      </c>
      <c r="AK6" s="30">
        <v>7.3559883490000004</v>
      </c>
      <c r="AL6" s="30">
        <v>7.3130775635268419</v>
      </c>
      <c r="AM6" s="30">
        <v>4.2910785473158519E-2</v>
      </c>
    </row>
    <row r="9" spans="1:49" x14ac:dyDescent="0.3">
      <c r="A9" s="28" t="s">
        <v>274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</row>
    <row r="10" spans="1:49" ht="28.8" x14ac:dyDescent="0.3">
      <c r="A10" s="29" t="s">
        <v>0</v>
      </c>
      <c r="B10" s="29" t="s">
        <v>1</v>
      </c>
      <c r="C10" s="29" t="s">
        <v>2</v>
      </c>
      <c r="D10" s="29" t="s">
        <v>3</v>
      </c>
      <c r="E10" s="29" t="s">
        <v>4</v>
      </c>
      <c r="F10" s="29" t="s">
        <v>5</v>
      </c>
      <c r="G10" s="29" t="s">
        <v>6</v>
      </c>
      <c r="H10" s="29" t="s">
        <v>7</v>
      </c>
      <c r="I10" s="29" t="s">
        <v>8</v>
      </c>
      <c r="J10" s="29" t="s">
        <v>9</v>
      </c>
      <c r="K10" s="29" t="s">
        <v>10</v>
      </c>
      <c r="L10" s="29" t="s">
        <v>11</v>
      </c>
      <c r="M10" s="29" t="s">
        <v>14</v>
      </c>
      <c r="N10" s="29" t="s">
        <v>15</v>
      </c>
      <c r="O10" s="29" t="s">
        <v>238</v>
      </c>
      <c r="P10" s="29" t="s">
        <v>239</v>
      </c>
      <c r="Q10" s="29" t="s">
        <v>240</v>
      </c>
      <c r="R10" s="29" t="s">
        <v>19</v>
      </c>
      <c r="S10" s="29" t="s">
        <v>241</v>
      </c>
      <c r="T10" s="29" t="s">
        <v>242</v>
      </c>
      <c r="U10" s="29" t="s">
        <v>243</v>
      </c>
      <c r="V10" s="29" t="s">
        <v>244</v>
      </c>
      <c r="W10" s="29" t="s">
        <v>245</v>
      </c>
      <c r="X10" s="29" t="s">
        <v>246</v>
      </c>
      <c r="Y10" s="29" t="s">
        <v>247</v>
      </c>
      <c r="Z10" s="29" t="s">
        <v>248</v>
      </c>
      <c r="AA10" s="29" t="s">
        <v>30</v>
      </c>
      <c r="AB10" s="29" t="s">
        <v>31</v>
      </c>
      <c r="AC10" s="29" t="s">
        <v>32</v>
      </c>
      <c r="AD10" s="29" t="s">
        <v>29</v>
      </c>
      <c r="AE10" s="29" t="s">
        <v>34</v>
      </c>
      <c r="AF10" s="29" t="s">
        <v>35</v>
      </c>
      <c r="AG10" s="29" t="s">
        <v>36</v>
      </c>
      <c r="AH10" s="29" t="s">
        <v>37</v>
      </c>
      <c r="AI10" s="29" t="s">
        <v>38</v>
      </c>
      <c r="AJ10" s="29" t="s">
        <v>249</v>
      </c>
      <c r="AK10" s="29" t="s">
        <v>250</v>
      </c>
      <c r="AL10" s="29" t="s">
        <v>251</v>
      </c>
      <c r="AM10" s="29" t="s">
        <v>252</v>
      </c>
      <c r="AN10" s="29" t="s">
        <v>253</v>
      </c>
      <c r="AO10" s="29" t="s">
        <v>254</v>
      </c>
      <c r="AP10" s="29" t="s">
        <v>255</v>
      </c>
      <c r="AQ10" s="29" t="s">
        <v>256</v>
      </c>
      <c r="AR10" s="29" t="s">
        <v>257</v>
      </c>
      <c r="AS10" s="29" t="s">
        <v>258</v>
      </c>
      <c r="AT10" s="29" t="s">
        <v>259</v>
      </c>
      <c r="AU10" s="29" t="s">
        <v>260</v>
      </c>
      <c r="AV10" s="29" t="s">
        <v>261</v>
      </c>
      <c r="AW10" s="29" t="s">
        <v>262</v>
      </c>
    </row>
    <row r="11" spans="1:49" ht="115.2" x14ac:dyDescent="0.3">
      <c r="A11" s="30" t="s">
        <v>234</v>
      </c>
      <c r="B11" s="30" t="s">
        <v>235</v>
      </c>
      <c r="C11" s="30">
        <v>2026</v>
      </c>
      <c r="D11" s="30">
        <v>1</v>
      </c>
      <c r="E11" s="30">
        <v>97</v>
      </c>
      <c r="F11" s="30">
        <v>97</v>
      </c>
      <c r="G11" s="30">
        <v>3196014020</v>
      </c>
      <c r="H11" s="30">
        <v>21.885170251574234</v>
      </c>
      <c r="I11" s="30">
        <v>3307965543</v>
      </c>
      <c r="J11" s="30">
        <v>3118762564</v>
      </c>
      <c r="K11" s="30">
        <v>4.5747109785033828</v>
      </c>
      <c r="L11" s="30">
        <v>114677316000</v>
      </c>
      <c r="M11" s="30">
        <v>1567.1821782178217</v>
      </c>
      <c r="N11" s="30">
        <v>0.99605522682445757</v>
      </c>
      <c r="O11" s="30">
        <v>114224940000</v>
      </c>
      <c r="P11" s="30">
        <v>25.461435499116554</v>
      </c>
      <c r="Q11" s="30">
        <v>214.6</v>
      </c>
      <c r="R11" s="30">
        <v>1</v>
      </c>
      <c r="S11" s="30">
        <v>214.6</v>
      </c>
      <c r="T11" s="30">
        <v>5.368775830196598</v>
      </c>
      <c r="U11" s="30">
        <v>248999340.25</v>
      </c>
      <c r="V11" s="30">
        <v>77.909339161785027</v>
      </c>
      <c r="W11" s="30">
        <v>77.909339161785027</v>
      </c>
      <c r="X11" s="30">
        <v>4.3555458322349807</v>
      </c>
      <c r="Y11" s="30">
        <v>78.619584605427889</v>
      </c>
      <c r="Z11" s="30">
        <v>4.3646208364059564</v>
      </c>
      <c r="AA11" s="30">
        <v>0</v>
      </c>
      <c r="AB11" s="30">
        <v>0</v>
      </c>
      <c r="AC11" s="30">
        <v>0</v>
      </c>
      <c r="AD11" s="30">
        <v>1</v>
      </c>
      <c r="AE11" s="30" t="s">
        <v>41</v>
      </c>
      <c r="AF11" s="30" t="s">
        <v>263</v>
      </c>
      <c r="AG11" s="30">
        <v>21.919599197790003</v>
      </c>
      <c r="AH11" s="30">
        <v>21.860702145993063</v>
      </c>
      <c r="AI11" s="30">
        <v>5.8897051796940048E-2</v>
      </c>
      <c r="AJ11" s="30">
        <v>23.38394919141669</v>
      </c>
      <c r="AK11" s="30">
        <v>25.461435499116554</v>
      </c>
      <c r="AL11" s="30">
        <v>4.3555458322349807</v>
      </c>
      <c r="AM11" s="30">
        <v>5.368775830196598</v>
      </c>
      <c r="AN11" s="30">
        <v>97</v>
      </c>
      <c r="AO11" s="30">
        <v>9.8120136661187907E-2</v>
      </c>
      <c r="AP11" s="30">
        <v>5.2706556935354101</v>
      </c>
      <c r="AQ11" s="30">
        <v>5.3140395426971274</v>
      </c>
      <c r="AR11" s="30">
        <v>-9.0750041709757312E-3</v>
      </c>
      <c r="AS11" s="30">
        <v>4.3646208364059564</v>
      </c>
      <c r="AT11" s="30">
        <v>4.3865354642894134</v>
      </c>
      <c r="AU11" s="30">
        <v>9.9503308531652124E-3</v>
      </c>
      <c r="AV11" s="30">
        <v>25.451485168263389</v>
      </c>
      <c r="AW11" s="30">
        <v>25.44884992020831</v>
      </c>
    </row>
    <row r="14" spans="1:49" x14ac:dyDescent="0.3">
      <c r="A14" s="28" t="s">
        <v>275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 spans="1:49" ht="28.8" x14ac:dyDescent="0.3">
      <c r="A15" s="29" t="s">
        <v>0</v>
      </c>
      <c r="B15" s="29" t="s">
        <v>1</v>
      </c>
      <c r="C15" s="29" t="s">
        <v>2</v>
      </c>
      <c r="D15" s="29" t="s">
        <v>3</v>
      </c>
      <c r="E15" s="29" t="s">
        <v>4</v>
      </c>
      <c r="F15" s="29" t="s">
        <v>5</v>
      </c>
      <c r="G15" s="29" t="s">
        <v>6</v>
      </c>
      <c r="H15" s="29" t="s">
        <v>7</v>
      </c>
      <c r="I15" s="29" t="s">
        <v>8</v>
      </c>
      <c r="J15" s="29" t="s">
        <v>9</v>
      </c>
      <c r="K15" s="29" t="s">
        <v>10</v>
      </c>
      <c r="L15" s="29" t="s">
        <v>11</v>
      </c>
      <c r="M15" s="29" t="s">
        <v>14</v>
      </c>
      <c r="N15" s="29" t="s">
        <v>15</v>
      </c>
      <c r="O15" s="29" t="s">
        <v>238</v>
      </c>
      <c r="P15" s="29" t="s">
        <v>239</v>
      </c>
      <c r="Q15" s="29" t="s">
        <v>264</v>
      </c>
      <c r="R15" s="29" t="s">
        <v>265</v>
      </c>
      <c r="S15" s="29" t="s">
        <v>266</v>
      </c>
      <c r="T15" s="29" t="s">
        <v>267</v>
      </c>
      <c r="U15" s="29" t="s">
        <v>268</v>
      </c>
      <c r="V15" s="29" t="s">
        <v>269</v>
      </c>
      <c r="W15" s="29" t="s">
        <v>30</v>
      </c>
      <c r="X15" s="29" t="s">
        <v>31</v>
      </c>
      <c r="Y15" s="29" t="s">
        <v>32</v>
      </c>
      <c r="Z15" s="29" t="s">
        <v>34</v>
      </c>
      <c r="AA15" s="29" t="s">
        <v>35</v>
      </c>
      <c r="AB15" s="29" t="s">
        <v>241</v>
      </c>
      <c r="AC15" s="29" t="s">
        <v>242</v>
      </c>
      <c r="AD15" s="29" t="s">
        <v>245</v>
      </c>
      <c r="AE15" s="29" t="s">
        <v>247</v>
      </c>
      <c r="AF15" s="29" t="s">
        <v>246</v>
      </c>
      <c r="AG15" s="29" t="s">
        <v>248</v>
      </c>
      <c r="AH15" s="29" t="s">
        <v>25</v>
      </c>
      <c r="AI15" s="29" t="s">
        <v>26</v>
      </c>
      <c r="AJ15" s="29" t="s">
        <v>36</v>
      </c>
      <c r="AK15" s="29" t="s">
        <v>37</v>
      </c>
      <c r="AL15" s="29" t="s">
        <v>38</v>
      </c>
    </row>
    <row r="16" spans="1:49" ht="187.2" x14ac:dyDescent="0.3">
      <c r="A16" s="30" t="s">
        <v>234</v>
      </c>
      <c r="B16" s="30" t="s">
        <v>235</v>
      </c>
      <c r="C16" s="30">
        <v>2026</v>
      </c>
      <c r="D16" s="30">
        <v>1</v>
      </c>
      <c r="E16" s="30">
        <v>97</v>
      </c>
      <c r="F16" s="30">
        <v>97</v>
      </c>
      <c r="G16" s="30">
        <v>1039372457</v>
      </c>
      <c r="H16" s="30">
        <v>20.761882961245814</v>
      </c>
      <c r="I16" s="30">
        <v>1064388483</v>
      </c>
      <c r="J16" s="30">
        <v>1022167146</v>
      </c>
      <c r="K16" s="30">
        <v>4.5747109785033828</v>
      </c>
      <c r="L16" s="30">
        <v>114677316000</v>
      </c>
      <c r="M16" s="30">
        <v>1567.1821782178217</v>
      </c>
      <c r="N16" s="30">
        <v>0.99605522682445757</v>
      </c>
      <c r="O16" s="30">
        <v>114224940000</v>
      </c>
      <c r="P16" s="30">
        <v>25.461435499116554</v>
      </c>
      <c r="Q16" s="30">
        <v>334926318.92000002</v>
      </c>
      <c r="R16" s="30">
        <v>322.23897859167539</v>
      </c>
      <c r="S16" s="30">
        <v>322.23897859167539</v>
      </c>
      <c r="T16" s="30">
        <v>5.7752934398121507</v>
      </c>
      <c r="U16" s="30">
        <v>318.7803374122621</v>
      </c>
      <c r="V16" s="30">
        <v>5.764502268139001</v>
      </c>
      <c r="W16" s="30">
        <v>0</v>
      </c>
      <c r="X16" s="30">
        <v>0</v>
      </c>
      <c r="Y16" s="30">
        <v>0</v>
      </c>
      <c r="Z16" s="30" t="s">
        <v>41</v>
      </c>
      <c r="AA16" s="30" t="s">
        <v>270</v>
      </c>
      <c r="AB16" s="30">
        <v>214.6</v>
      </c>
      <c r="AC16" s="30">
        <v>5.368775830196598</v>
      </c>
      <c r="AD16" s="30">
        <v>77.909339161785027</v>
      </c>
      <c r="AE16" s="30">
        <v>78.619584605427889</v>
      </c>
      <c r="AF16" s="30">
        <v>4.3555458322349807</v>
      </c>
      <c r="AG16" s="30">
        <v>4.3646208364059564</v>
      </c>
      <c r="AH16" s="30">
        <v>5.2999999999999999E-2</v>
      </c>
      <c r="AI16" s="30">
        <v>-2.9374633654300153</v>
      </c>
      <c r="AJ16" s="30">
        <v>20.785666276828888</v>
      </c>
      <c r="AK16" s="30">
        <v>20.745190863300621</v>
      </c>
      <c r="AL16" s="30">
        <v>4.0475413528266557E-2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0"/>
  <sheetViews>
    <sheetView topLeftCell="A117" workbookViewId="0">
      <selection activeCell="H11" sqref="H11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21" customWidth="1"/>
    <col min="5" max="5" width="19" customWidth="1"/>
    <col min="6" max="6" width="27" customWidth="1"/>
    <col min="7" max="7" width="30" customWidth="1"/>
    <col min="8" max="8" width="34" customWidth="1"/>
    <col min="9" max="9" width="60" customWidth="1"/>
    <col min="10" max="10" width="62" customWidth="1"/>
    <col min="11" max="11" width="58" customWidth="1"/>
  </cols>
  <sheetData>
    <row r="1" spans="1:11" ht="19.8" x14ac:dyDescent="0.3">
      <c r="A1" s="26" t="s">
        <v>276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7.15" customHeight="1" x14ac:dyDescent="0.3">
      <c r="A2" s="27" t="s">
        <v>277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x14ac:dyDescent="0.3">
      <c r="A4" s="29" t="s">
        <v>278</v>
      </c>
      <c r="B4" s="29" t="s">
        <v>279</v>
      </c>
      <c r="C4" s="29" t="s">
        <v>280</v>
      </c>
      <c r="D4" s="29" t="s">
        <v>281</v>
      </c>
      <c r="E4" s="29" t="s">
        <v>282</v>
      </c>
      <c r="F4" s="29" t="s">
        <v>283</v>
      </c>
      <c r="G4" s="29" t="s">
        <v>284</v>
      </c>
      <c r="H4" s="29" t="s">
        <v>285</v>
      </c>
      <c r="I4" s="29" t="s">
        <v>286</v>
      </c>
      <c r="J4" s="29" t="s">
        <v>287</v>
      </c>
      <c r="K4" s="29" t="s">
        <v>288</v>
      </c>
    </row>
    <row r="5" spans="1:11" ht="28.8" x14ac:dyDescent="0.3">
      <c r="A5" s="30" t="s">
        <v>289</v>
      </c>
      <c r="B5" s="30" t="s">
        <v>290</v>
      </c>
      <c r="C5" s="30" t="s">
        <v>0</v>
      </c>
      <c r="D5" s="30" t="s">
        <v>234</v>
      </c>
      <c r="E5" s="30" t="s">
        <v>291</v>
      </c>
      <c r="F5" s="30" t="s">
        <v>292</v>
      </c>
      <c r="G5" s="30" t="s">
        <v>293</v>
      </c>
      <c r="H5" s="30" t="s">
        <v>294</v>
      </c>
      <c r="I5" s="30" t="s">
        <v>295</v>
      </c>
      <c r="J5" s="30" t="s">
        <v>296</v>
      </c>
      <c r="K5" s="30" t="s">
        <v>297</v>
      </c>
    </row>
    <row r="6" spans="1:11" ht="28.8" x14ac:dyDescent="0.3">
      <c r="A6" s="30" t="s">
        <v>289</v>
      </c>
      <c r="B6" s="30" t="s">
        <v>298</v>
      </c>
      <c r="C6" s="30" t="s">
        <v>1</v>
      </c>
      <c r="D6" s="30" t="s">
        <v>235</v>
      </c>
      <c r="E6" s="30" t="s">
        <v>291</v>
      </c>
      <c r="F6" s="30" t="s">
        <v>292</v>
      </c>
      <c r="G6" s="30" t="s">
        <v>293</v>
      </c>
      <c r="H6" s="30" t="s">
        <v>294</v>
      </c>
      <c r="I6" s="30" t="s">
        <v>295</v>
      </c>
      <c r="J6" s="30" t="s">
        <v>296</v>
      </c>
      <c r="K6" s="30" t="s">
        <v>297</v>
      </c>
    </row>
    <row r="7" spans="1:11" ht="28.8" x14ac:dyDescent="0.3">
      <c r="A7" s="30" t="s">
        <v>289</v>
      </c>
      <c r="B7" s="30" t="s">
        <v>299</v>
      </c>
      <c r="C7" s="30" t="s">
        <v>2</v>
      </c>
      <c r="D7" s="30">
        <v>2026</v>
      </c>
      <c r="E7" s="30" t="s">
        <v>300</v>
      </c>
      <c r="F7" s="30" t="s">
        <v>292</v>
      </c>
      <c r="G7" s="30" t="s">
        <v>293</v>
      </c>
      <c r="H7" s="30" t="s">
        <v>294</v>
      </c>
      <c r="I7" s="30" t="s">
        <v>295</v>
      </c>
      <c r="J7" s="30" t="s">
        <v>296</v>
      </c>
      <c r="K7" s="30" t="s">
        <v>297</v>
      </c>
    </row>
    <row r="8" spans="1:11" ht="28.8" x14ac:dyDescent="0.3">
      <c r="A8" s="30" t="s">
        <v>289</v>
      </c>
      <c r="B8" s="30" t="s">
        <v>301</v>
      </c>
      <c r="C8" s="30" t="s">
        <v>3</v>
      </c>
      <c r="D8" s="30">
        <v>1</v>
      </c>
      <c r="E8" s="30" t="s">
        <v>300</v>
      </c>
      <c r="F8" s="30" t="s">
        <v>292</v>
      </c>
      <c r="G8" s="30" t="s">
        <v>293</v>
      </c>
      <c r="H8" s="30" t="s">
        <v>294</v>
      </c>
      <c r="I8" s="30" t="s">
        <v>295</v>
      </c>
      <c r="J8" s="30" t="s">
        <v>296</v>
      </c>
      <c r="K8" s="30" t="s">
        <v>297</v>
      </c>
    </row>
    <row r="9" spans="1:11" ht="28.8" x14ac:dyDescent="0.3">
      <c r="A9" s="30" t="s">
        <v>289</v>
      </c>
      <c r="B9" s="30" t="s">
        <v>302</v>
      </c>
      <c r="C9" s="30" t="s">
        <v>4</v>
      </c>
      <c r="D9" s="30">
        <v>97</v>
      </c>
      <c r="E9" s="30" t="s">
        <v>300</v>
      </c>
      <c r="F9" s="30" t="s">
        <v>292</v>
      </c>
      <c r="G9" s="30" t="s">
        <v>293</v>
      </c>
      <c r="H9" s="30" t="s">
        <v>294</v>
      </c>
      <c r="I9" s="30" t="s">
        <v>295</v>
      </c>
      <c r="J9" s="30" t="s">
        <v>296</v>
      </c>
      <c r="K9" s="30" t="s">
        <v>297</v>
      </c>
    </row>
    <row r="10" spans="1:11" ht="28.8" x14ac:dyDescent="0.3">
      <c r="A10" s="30" t="s">
        <v>289</v>
      </c>
      <c r="B10" s="30" t="s">
        <v>303</v>
      </c>
      <c r="C10" s="30" t="s">
        <v>5</v>
      </c>
      <c r="D10" s="30">
        <v>97</v>
      </c>
      <c r="E10" s="30" t="s">
        <v>300</v>
      </c>
      <c r="F10" s="30" t="s">
        <v>292</v>
      </c>
      <c r="G10" s="30" t="s">
        <v>293</v>
      </c>
      <c r="H10" s="30" t="s">
        <v>294</v>
      </c>
      <c r="I10" s="30" t="s">
        <v>295</v>
      </c>
      <c r="J10" s="30" t="s">
        <v>296</v>
      </c>
      <c r="K10" s="30" t="s">
        <v>297</v>
      </c>
    </row>
    <row r="11" spans="1:11" ht="57.6" x14ac:dyDescent="0.3">
      <c r="A11" s="31" t="s">
        <v>289</v>
      </c>
      <c r="B11" s="31" t="s">
        <v>304</v>
      </c>
      <c r="C11" s="31" t="s">
        <v>6</v>
      </c>
      <c r="D11" s="31">
        <v>1355.8193183068997</v>
      </c>
      <c r="E11" s="31" t="s">
        <v>305</v>
      </c>
      <c r="F11" s="31" t="s">
        <v>306</v>
      </c>
      <c r="G11" s="31" t="s">
        <v>307</v>
      </c>
      <c r="H11" s="31" t="s">
        <v>308</v>
      </c>
      <c r="I11" s="31" t="s">
        <v>309</v>
      </c>
      <c r="J11" s="31" t="s">
        <v>310</v>
      </c>
      <c r="K11" s="31" t="s">
        <v>311</v>
      </c>
    </row>
    <row r="12" spans="1:11" ht="28.8" x14ac:dyDescent="0.3">
      <c r="A12" s="30" t="s">
        <v>289</v>
      </c>
      <c r="B12" s="30" t="s">
        <v>312</v>
      </c>
      <c r="C12" s="30" t="s">
        <v>7</v>
      </c>
      <c r="D12" s="30">
        <v>7.2121612135359356</v>
      </c>
      <c r="E12" s="30" t="s">
        <v>313</v>
      </c>
      <c r="F12" s="30" t="s">
        <v>314</v>
      </c>
      <c r="G12" s="30" t="s">
        <v>315</v>
      </c>
      <c r="H12" s="30" t="s">
        <v>316</v>
      </c>
      <c r="I12" s="30" t="s">
        <v>317</v>
      </c>
      <c r="J12" s="30" t="s">
        <v>296</v>
      </c>
      <c r="K12" s="30" t="s">
        <v>318</v>
      </c>
    </row>
    <row r="13" spans="1:11" ht="28.8" x14ac:dyDescent="0.3">
      <c r="A13" s="30" t="s">
        <v>289</v>
      </c>
      <c r="B13" s="30" t="s">
        <v>319</v>
      </c>
      <c r="C13" s="30" t="s">
        <v>8</v>
      </c>
      <c r="D13" s="30">
        <v>1565.5435343949109</v>
      </c>
      <c r="E13" s="30" t="s">
        <v>305</v>
      </c>
      <c r="F13" s="30" t="s">
        <v>320</v>
      </c>
      <c r="G13" s="30" t="s">
        <v>321</v>
      </c>
      <c r="H13" s="30" t="s">
        <v>322</v>
      </c>
      <c r="I13" s="30" t="s">
        <v>323</v>
      </c>
      <c r="J13" s="30" t="s">
        <v>324</v>
      </c>
      <c r="K13" s="30" t="s">
        <v>325</v>
      </c>
    </row>
    <row r="14" spans="1:11" ht="28.8" x14ac:dyDescent="0.3">
      <c r="A14" s="30" t="s">
        <v>289</v>
      </c>
      <c r="B14" s="30" t="s">
        <v>326</v>
      </c>
      <c r="C14" s="30" t="s">
        <v>9</v>
      </c>
      <c r="D14" s="30">
        <v>1499.78577995301</v>
      </c>
      <c r="E14" s="30" t="s">
        <v>305</v>
      </c>
      <c r="F14" s="30" t="s">
        <v>320</v>
      </c>
      <c r="G14" s="30" t="s">
        <v>321</v>
      </c>
      <c r="H14" s="30" t="s">
        <v>322</v>
      </c>
      <c r="I14" s="30" t="s">
        <v>323</v>
      </c>
      <c r="J14" s="30" t="s">
        <v>324</v>
      </c>
      <c r="K14" s="30" t="s">
        <v>325</v>
      </c>
    </row>
    <row r="15" spans="1:11" ht="28.8" x14ac:dyDescent="0.3">
      <c r="A15" s="30" t="s">
        <v>289</v>
      </c>
      <c r="B15" s="30" t="s">
        <v>327</v>
      </c>
      <c r="C15" s="30" t="s">
        <v>10</v>
      </c>
      <c r="D15" s="30">
        <v>4.5747109785033828</v>
      </c>
      <c r="E15" s="30" t="s">
        <v>313</v>
      </c>
      <c r="F15" s="30" t="s">
        <v>314</v>
      </c>
      <c r="G15" s="30" t="s">
        <v>315</v>
      </c>
      <c r="H15" s="30" t="s">
        <v>316</v>
      </c>
      <c r="I15" s="30" t="s">
        <v>317</v>
      </c>
      <c r="J15" s="30" t="s">
        <v>296</v>
      </c>
      <c r="K15" s="30" t="s">
        <v>318</v>
      </c>
    </row>
    <row r="16" spans="1:11" ht="43.2" x14ac:dyDescent="0.3">
      <c r="A16" s="30" t="s">
        <v>289</v>
      </c>
      <c r="B16" s="30" t="s">
        <v>328</v>
      </c>
      <c r="C16" s="30" t="s">
        <v>11</v>
      </c>
      <c r="D16" s="30">
        <v>114677316000</v>
      </c>
      <c r="E16" s="30" t="s">
        <v>329</v>
      </c>
      <c r="F16" s="30" t="s">
        <v>330</v>
      </c>
      <c r="G16" s="30" t="s">
        <v>331</v>
      </c>
      <c r="H16" s="30" t="s">
        <v>332</v>
      </c>
      <c r="I16" s="30" t="s">
        <v>333</v>
      </c>
      <c r="J16" s="30" t="s">
        <v>334</v>
      </c>
      <c r="K16" s="30" t="s">
        <v>335</v>
      </c>
    </row>
    <row r="17" spans="1:11" ht="28.8" x14ac:dyDescent="0.3">
      <c r="A17" s="32" t="s">
        <v>289</v>
      </c>
      <c r="B17" s="32" t="s">
        <v>336</v>
      </c>
      <c r="C17" s="32" t="s">
        <v>12</v>
      </c>
      <c r="D17" s="32">
        <v>5361300</v>
      </c>
      <c r="E17" s="32" t="s">
        <v>337</v>
      </c>
      <c r="F17" s="32" t="s">
        <v>338</v>
      </c>
      <c r="G17" s="32" t="s">
        <v>339</v>
      </c>
      <c r="H17" s="32" t="s">
        <v>340</v>
      </c>
      <c r="I17" s="32" t="s">
        <v>341</v>
      </c>
      <c r="J17" s="32" t="s">
        <v>342</v>
      </c>
      <c r="K17" s="32" t="s">
        <v>343</v>
      </c>
    </row>
    <row r="18" spans="1:11" ht="43.2" x14ac:dyDescent="0.3">
      <c r="A18" s="30" t="s">
        <v>289</v>
      </c>
      <c r="B18" s="30" t="s">
        <v>344</v>
      </c>
      <c r="C18" s="30" t="s">
        <v>13</v>
      </c>
      <c r="D18" s="30">
        <v>21389.833808964242</v>
      </c>
      <c r="E18" s="30" t="s">
        <v>345</v>
      </c>
      <c r="F18" s="30" t="s">
        <v>346</v>
      </c>
      <c r="G18" s="30" t="s">
        <v>315</v>
      </c>
      <c r="H18" s="30" t="s">
        <v>347</v>
      </c>
      <c r="I18" s="30" t="s">
        <v>348</v>
      </c>
      <c r="J18" s="30" t="s">
        <v>349</v>
      </c>
      <c r="K18" s="30" t="s">
        <v>350</v>
      </c>
    </row>
    <row r="19" spans="1:11" ht="28.8" x14ac:dyDescent="0.3">
      <c r="A19" s="30" t="s">
        <v>289</v>
      </c>
      <c r="B19" s="30" t="s">
        <v>351</v>
      </c>
      <c r="C19" s="30" t="s">
        <v>14</v>
      </c>
      <c r="D19" s="30">
        <v>1567.1821782178217</v>
      </c>
      <c r="E19" s="30" t="s">
        <v>352</v>
      </c>
      <c r="F19" s="30" t="s">
        <v>353</v>
      </c>
      <c r="G19" s="30" t="s">
        <v>354</v>
      </c>
      <c r="H19" s="30" t="s">
        <v>332</v>
      </c>
      <c r="I19" s="30" t="s">
        <v>355</v>
      </c>
      <c r="J19" s="30" t="s">
        <v>334</v>
      </c>
      <c r="K19" s="30" t="s">
        <v>356</v>
      </c>
    </row>
    <row r="20" spans="1:11" ht="43.2" x14ac:dyDescent="0.3">
      <c r="A20" s="30" t="s">
        <v>289</v>
      </c>
      <c r="B20" s="30" t="s">
        <v>357</v>
      </c>
      <c r="C20" s="30" t="s">
        <v>15</v>
      </c>
      <c r="D20" s="30">
        <v>0.99605522682445757</v>
      </c>
      <c r="E20" s="30" t="s">
        <v>358</v>
      </c>
      <c r="F20" s="30" t="s">
        <v>346</v>
      </c>
      <c r="G20" s="30" t="s">
        <v>315</v>
      </c>
      <c r="H20" s="30" t="s">
        <v>347</v>
      </c>
      <c r="I20" s="30" t="s">
        <v>348</v>
      </c>
      <c r="J20" s="30" t="s">
        <v>349</v>
      </c>
      <c r="K20" s="30" t="s">
        <v>350</v>
      </c>
    </row>
    <row r="21" spans="1:11" ht="43.2" x14ac:dyDescent="0.3">
      <c r="A21" s="30" t="s">
        <v>289</v>
      </c>
      <c r="B21" s="30" t="s">
        <v>359</v>
      </c>
      <c r="C21" s="30" t="s">
        <v>16</v>
      </c>
      <c r="D21" s="30">
        <v>21305.455766325333</v>
      </c>
      <c r="E21" s="30" t="s">
        <v>345</v>
      </c>
      <c r="F21" s="30" t="s">
        <v>346</v>
      </c>
      <c r="G21" s="30" t="s">
        <v>315</v>
      </c>
      <c r="H21" s="30" t="s">
        <v>347</v>
      </c>
      <c r="I21" s="30" t="s">
        <v>348</v>
      </c>
      <c r="J21" s="30" t="s">
        <v>349</v>
      </c>
      <c r="K21" s="30" t="s">
        <v>350</v>
      </c>
    </row>
    <row r="22" spans="1:11" ht="43.2" x14ac:dyDescent="0.3">
      <c r="A22" s="30" t="s">
        <v>289</v>
      </c>
      <c r="B22" s="30" t="s">
        <v>360</v>
      </c>
      <c r="C22" s="30" t="s">
        <v>17</v>
      </c>
      <c r="D22" s="30">
        <v>9.9667184581635553</v>
      </c>
      <c r="E22" s="30" t="s">
        <v>313</v>
      </c>
      <c r="F22" s="30" t="s">
        <v>346</v>
      </c>
      <c r="G22" s="30" t="s">
        <v>315</v>
      </c>
      <c r="H22" s="30" t="s">
        <v>347</v>
      </c>
      <c r="I22" s="30" t="s">
        <v>348</v>
      </c>
      <c r="J22" s="30" t="s">
        <v>349</v>
      </c>
      <c r="K22" s="30" t="s">
        <v>350</v>
      </c>
    </row>
    <row r="23" spans="1:11" ht="72" x14ac:dyDescent="0.3">
      <c r="A23" s="30" t="s">
        <v>289</v>
      </c>
      <c r="B23" s="30" t="s">
        <v>361</v>
      </c>
      <c r="C23" s="30" t="s">
        <v>18</v>
      </c>
      <c r="D23" s="30">
        <v>269.8</v>
      </c>
      <c r="E23" s="30" t="s">
        <v>362</v>
      </c>
      <c r="F23" s="30" t="s">
        <v>363</v>
      </c>
      <c r="G23" s="30" t="s">
        <v>364</v>
      </c>
      <c r="H23" s="30" t="s">
        <v>365</v>
      </c>
      <c r="I23" s="30" t="s">
        <v>366</v>
      </c>
      <c r="J23" s="30" t="s">
        <v>367</v>
      </c>
      <c r="K23" s="30" t="s">
        <v>368</v>
      </c>
    </row>
    <row r="24" spans="1:11" ht="28.8" x14ac:dyDescent="0.3">
      <c r="A24" s="30" t="s">
        <v>289</v>
      </c>
      <c r="B24" s="30" t="s">
        <v>369</v>
      </c>
      <c r="C24" s="30" t="s">
        <v>19</v>
      </c>
      <c r="D24" s="30">
        <v>1</v>
      </c>
      <c r="E24" s="30" t="s">
        <v>358</v>
      </c>
      <c r="F24" s="30" t="s">
        <v>370</v>
      </c>
      <c r="G24" s="30" t="s">
        <v>315</v>
      </c>
      <c r="H24" s="30" t="s">
        <v>371</v>
      </c>
      <c r="I24" s="30" t="s">
        <v>372</v>
      </c>
      <c r="J24" s="30" t="s">
        <v>373</v>
      </c>
      <c r="K24" s="30" t="s">
        <v>374</v>
      </c>
    </row>
    <row r="25" spans="1:11" ht="28.8" x14ac:dyDescent="0.3">
      <c r="A25" s="30" t="s">
        <v>289</v>
      </c>
      <c r="B25" s="30" t="s">
        <v>375</v>
      </c>
      <c r="C25" s="30" t="s">
        <v>20</v>
      </c>
      <c r="D25" s="30">
        <v>269.8</v>
      </c>
      <c r="E25" s="30" t="s">
        <v>362</v>
      </c>
      <c r="F25" s="30" t="s">
        <v>376</v>
      </c>
      <c r="G25" s="30" t="s">
        <v>315</v>
      </c>
      <c r="H25" s="30" t="s">
        <v>377</v>
      </c>
      <c r="I25" s="30" t="s">
        <v>378</v>
      </c>
      <c r="J25" s="30" t="s">
        <v>373</v>
      </c>
      <c r="K25" s="30" t="s">
        <v>379</v>
      </c>
    </row>
    <row r="26" spans="1:11" ht="28.8" x14ac:dyDescent="0.3">
      <c r="A26" s="30" t="s">
        <v>289</v>
      </c>
      <c r="B26" s="30" t="s">
        <v>380</v>
      </c>
      <c r="C26" s="30" t="s">
        <v>21</v>
      </c>
      <c r="D26" s="30">
        <v>5.5976809437736552</v>
      </c>
      <c r="E26" s="30" t="s">
        <v>313</v>
      </c>
      <c r="F26" s="30" t="s">
        <v>314</v>
      </c>
      <c r="G26" s="30" t="s">
        <v>315</v>
      </c>
      <c r="H26" s="30" t="s">
        <v>316</v>
      </c>
      <c r="I26" s="30" t="s">
        <v>317</v>
      </c>
      <c r="J26" s="30" t="s">
        <v>296</v>
      </c>
      <c r="K26" s="30" t="s">
        <v>318</v>
      </c>
    </row>
    <row r="27" spans="1:11" ht="57.6" x14ac:dyDescent="0.3">
      <c r="A27" s="31" t="s">
        <v>289</v>
      </c>
      <c r="B27" s="31" t="s">
        <v>381</v>
      </c>
      <c r="C27" s="31" t="s">
        <v>22</v>
      </c>
      <c r="D27" s="31">
        <v>7268954111.2387819</v>
      </c>
      <c r="E27" s="31" t="s">
        <v>382</v>
      </c>
      <c r="F27" s="31" t="s">
        <v>306</v>
      </c>
      <c r="G27" s="31" t="s">
        <v>307</v>
      </c>
      <c r="H27" s="31" t="s">
        <v>308</v>
      </c>
      <c r="I27" s="31" t="s">
        <v>309</v>
      </c>
      <c r="J27" s="31" t="s">
        <v>310</v>
      </c>
      <c r="K27" s="31" t="s">
        <v>311</v>
      </c>
    </row>
    <row r="28" spans="1:11" ht="28.8" x14ac:dyDescent="0.3">
      <c r="A28" s="30" t="s">
        <v>289</v>
      </c>
      <c r="B28" s="30" t="s">
        <v>383</v>
      </c>
      <c r="C28" s="30" t="s">
        <v>23</v>
      </c>
      <c r="D28" s="30">
        <v>22.706878254488934</v>
      </c>
      <c r="E28" s="30" t="s">
        <v>313</v>
      </c>
      <c r="F28" s="30" t="s">
        <v>314</v>
      </c>
      <c r="G28" s="30" t="s">
        <v>315</v>
      </c>
      <c r="H28" s="30" t="s">
        <v>316</v>
      </c>
      <c r="I28" s="30" t="s">
        <v>317</v>
      </c>
      <c r="J28" s="30" t="s">
        <v>296</v>
      </c>
      <c r="K28" s="30" t="s">
        <v>318</v>
      </c>
    </row>
    <row r="29" spans="1:11" ht="28.8" x14ac:dyDescent="0.3">
      <c r="A29" s="32" t="s">
        <v>289</v>
      </c>
      <c r="B29" s="32" t="s">
        <v>384</v>
      </c>
      <c r="C29" s="32" t="s">
        <v>24</v>
      </c>
      <c r="D29" s="32">
        <v>5.3</v>
      </c>
      <c r="E29" s="32" t="s">
        <v>385</v>
      </c>
      <c r="F29" s="32" t="s">
        <v>338</v>
      </c>
      <c r="G29" s="32" t="s">
        <v>339</v>
      </c>
      <c r="H29" s="32" t="s">
        <v>386</v>
      </c>
      <c r="I29" s="32" t="s">
        <v>387</v>
      </c>
      <c r="J29" s="32" t="s">
        <v>388</v>
      </c>
      <c r="K29" s="32" t="s">
        <v>389</v>
      </c>
    </row>
    <row r="30" spans="1:11" ht="28.8" x14ac:dyDescent="0.3">
      <c r="A30" s="30" t="s">
        <v>289</v>
      </c>
      <c r="B30" s="30" t="s">
        <v>390</v>
      </c>
      <c r="C30" s="30" t="s">
        <v>25</v>
      </c>
      <c r="D30" s="30">
        <v>5.2999999999999999E-2</v>
      </c>
      <c r="E30" s="30" t="s">
        <v>391</v>
      </c>
      <c r="F30" s="30" t="s">
        <v>392</v>
      </c>
      <c r="G30" s="30" t="s">
        <v>315</v>
      </c>
      <c r="H30" s="30" t="s">
        <v>386</v>
      </c>
      <c r="I30" s="30" t="s">
        <v>387</v>
      </c>
      <c r="J30" s="30" t="s">
        <v>388</v>
      </c>
      <c r="K30" s="30" t="s">
        <v>389</v>
      </c>
    </row>
    <row r="31" spans="1:11" ht="28.8" x14ac:dyDescent="0.3">
      <c r="A31" s="30" t="s">
        <v>289</v>
      </c>
      <c r="B31" s="30" t="s">
        <v>393</v>
      </c>
      <c r="C31" s="30" t="s">
        <v>26</v>
      </c>
      <c r="D31" s="30">
        <v>-2.9374633654300153</v>
      </c>
      <c r="E31" s="30" t="s">
        <v>313</v>
      </c>
      <c r="F31" s="30" t="s">
        <v>314</v>
      </c>
      <c r="G31" s="30" t="s">
        <v>315</v>
      </c>
      <c r="H31" s="30" t="s">
        <v>316</v>
      </c>
      <c r="I31" s="30" t="s">
        <v>317</v>
      </c>
      <c r="J31" s="30" t="s">
        <v>296</v>
      </c>
      <c r="K31" s="30" t="s">
        <v>318</v>
      </c>
    </row>
    <row r="32" spans="1:11" ht="28.8" x14ac:dyDescent="0.3">
      <c r="A32" s="30" t="s">
        <v>289</v>
      </c>
      <c r="B32" s="30" t="s">
        <v>394</v>
      </c>
      <c r="C32" s="30" t="s">
        <v>27</v>
      </c>
      <c r="D32" s="30">
        <v>1</v>
      </c>
      <c r="E32" s="30" t="s">
        <v>395</v>
      </c>
      <c r="F32" s="30" t="s">
        <v>292</v>
      </c>
      <c r="G32" s="30" t="s">
        <v>293</v>
      </c>
      <c r="H32" s="30" t="s">
        <v>294</v>
      </c>
      <c r="I32" s="30" t="s">
        <v>295</v>
      </c>
      <c r="J32" s="30" t="s">
        <v>296</v>
      </c>
      <c r="K32" s="30" t="s">
        <v>297</v>
      </c>
    </row>
    <row r="33" spans="1:11" ht="28.8" x14ac:dyDescent="0.3">
      <c r="A33" s="30" t="s">
        <v>289</v>
      </c>
      <c r="B33" s="30" t="s">
        <v>396</v>
      </c>
      <c r="C33" s="30" t="s">
        <v>28</v>
      </c>
      <c r="D33" s="30">
        <v>0</v>
      </c>
      <c r="E33" s="30" t="s">
        <v>397</v>
      </c>
      <c r="F33" s="30" t="s">
        <v>292</v>
      </c>
      <c r="G33" s="30" t="s">
        <v>293</v>
      </c>
      <c r="H33" s="30" t="s">
        <v>294</v>
      </c>
      <c r="I33" s="30" t="s">
        <v>295</v>
      </c>
      <c r="J33" s="30" t="s">
        <v>296</v>
      </c>
      <c r="K33" s="30" t="s">
        <v>297</v>
      </c>
    </row>
    <row r="34" spans="1:11" ht="28.8" x14ac:dyDescent="0.3">
      <c r="A34" s="30" t="s">
        <v>289</v>
      </c>
      <c r="B34" s="30" t="s">
        <v>398</v>
      </c>
      <c r="C34" s="30" t="s">
        <v>29</v>
      </c>
      <c r="D34" s="30">
        <v>1</v>
      </c>
      <c r="E34" s="30" t="s">
        <v>395</v>
      </c>
      <c r="F34" s="30" t="s">
        <v>292</v>
      </c>
      <c r="G34" s="30" t="s">
        <v>293</v>
      </c>
      <c r="H34" s="30" t="s">
        <v>294</v>
      </c>
      <c r="I34" s="30" t="s">
        <v>295</v>
      </c>
      <c r="J34" s="30" t="s">
        <v>296</v>
      </c>
      <c r="K34" s="30" t="s">
        <v>297</v>
      </c>
    </row>
    <row r="35" spans="1:11" ht="28.8" x14ac:dyDescent="0.3">
      <c r="A35" s="30" t="s">
        <v>289</v>
      </c>
      <c r="B35" s="30" t="s">
        <v>399</v>
      </c>
      <c r="C35" s="30" t="s">
        <v>30</v>
      </c>
      <c r="D35" s="30">
        <v>0</v>
      </c>
      <c r="E35" s="30" t="s">
        <v>395</v>
      </c>
      <c r="F35" s="30" t="s">
        <v>292</v>
      </c>
      <c r="G35" s="30" t="s">
        <v>293</v>
      </c>
      <c r="H35" s="30" t="s">
        <v>294</v>
      </c>
      <c r="I35" s="30" t="s">
        <v>295</v>
      </c>
      <c r="J35" s="30" t="s">
        <v>296</v>
      </c>
      <c r="K35" s="30" t="s">
        <v>297</v>
      </c>
    </row>
    <row r="36" spans="1:11" ht="28.8" x14ac:dyDescent="0.3">
      <c r="A36" s="30" t="s">
        <v>289</v>
      </c>
      <c r="B36" s="30" t="s">
        <v>400</v>
      </c>
      <c r="C36" s="30" t="s">
        <v>31</v>
      </c>
      <c r="D36" s="30">
        <v>0</v>
      </c>
      <c r="E36" s="30" t="s">
        <v>395</v>
      </c>
      <c r="F36" s="30" t="s">
        <v>292</v>
      </c>
      <c r="G36" s="30" t="s">
        <v>293</v>
      </c>
      <c r="H36" s="30" t="s">
        <v>294</v>
      </c>
      <c r="I36" s="30" t="s">
        <v>295</v>
      </c>
      <c r="J36" s="30" t="s">
        <v>296</v>
      </c>
      <c r="K36" s="30" t="s">
        <v>297</v>
      </c>
    </row>
    <row r="37" spans="1:11" ht="28.8" x14ac:dyDescent="0.3">
      <c r="A37" s="30" t="s">
        <v>289</v>
      </c>
      <c r="B37" s="30" t="s">
        <v>401</v>
      </c>
      <c r="C37" s="30" t="s">
        <v>32</v>
      </c>
      <c r="D37" s="30">
        <v>0</v>
      </c>
      <c r="E37" s="30" t="s">
        <v>395</v>
      </c>
      <c r="F37" s="30" t="s">
        <v>292</v>
      </c>
      <c r="G37" s="30" t="s">
        <v>293</v>
      </c>
      <c r="H37" s="30" t="s">
        <v>294</v>
      </c>
      <c r="I37" s="30" t="s">
        <v>295</v>
      </c>
      <c r="J37" s="30" t="s">
        <v>296</v>
      </c>
      <c r="K37" s="30" t="s">
        <v>297</v>
      </c>
    </row>
    <row r="38" spans="1:11" ht="28.8" x14ac:dyDescent="0.3">
      <c r="A38" s="30" t="s">
        <v>289</v>
      </c>
      <c r="B38" s="30" t="s">
        <v>402</v>
      </c>
      <c r="C38" s="30" t="s">
        <v>33</v>
      </c>
      <c r="D38" s="30">
        <v>4.5747109785033828</v>
      </c>
      <c r="E38" s="30" t="s">
        <v>313</v>
      </c>
      <c r="F38" s="30" t="s">
        <v>314</v>
      </c>
      <c r="G38" s="30" t="s">
        <v>315</v>
      </c>
      <c r="H38" s="30" t="s">
        <v>316</v>
      </c>
      <c r="I38" s="30" t="s">
        <v>317</v>
      </c>
      <c r="J38" s="30" t="s">
        <v>296</v>
      </c>
      <c r="K38" s="30" t="s">
        <v>318</v>
      </c>
    </row>
    <row r="39" spans="1:11" ht="57.6" x14ac:dyDescent="0.3">
      <c r="A39" s="30" t="s">
        <v>289</v>
      </c>
      <c r="B39" s="30" t="s">
        <v>403</v>
      </c>
      <c r="C39" s="30" t="s">
        <v>34</v>
      </c>
      <c r="D39" s="30" t="s">
        <v>236</v>
      </c>
      <c r="E39" s="30" t="s">
        <v>291</v>
      </c>
      <c r="F39" s="30" t="s">
        <v>404</v>
      </c>
      <c r="G39" s="30" t="s">
        <v>405</v>
      </c>
      <c r="H39" s="30" t="s">
        <v>406</v>
      </c>
      <c r="I39" s="30" t="s">
        <v>407</v>
      </c>
      <c r="J39" s="30" t="s">
        <v>296</v>
      </c>
      <c r="K39" s="30" t="s">
        <v>408</v>
      </c>
    </row>
    <row r="40" spans="1:11" ht="273.60000000000002" x14ac:dyDescent="0.3">
      <c r="A40" s="30" t="s">
        <v>289</v>
      </c>
      <c r="B40" s="30" t="s">
        <v>409</v>
      </c>
      <c r="C40" s="30" t="s">
        <v>35</v>
      </c>
      <c r="D40" s="30" t="s">
        <v>237</v>
      </c>
      <c r="E40" s="30" t="s">
        <v>291</v>
      </c>
      <c r="F40" s="30" t="s">
        <v>404</v>
      </c>
      <c r="G40" s="30" t="s">
        <v>405</v>
      </c>
      <c r="H40" s="30" t="s">
        <v>406</v>
      </c>
      <c r="I40" s="30" t="s">
        <v>407</v>
      </c>
      <c r="J40" s="30" t="s">
        <v>296</v>
      </c>
      <c r="K40" s="30" t="s">
        <v>408</v>
      </c>
    </row>
    <row r="41" spans="1:11" ht="28.8" x14ac:dyDescent="0.3">
      <c r="A41" s="30" t="s">
        <v>289</v>
      </c>
      <c r="B41" s="30" t="s">
        <v>410</v>
      </c>
      <c r="C41" s="30" t="s">
        <v>36</v>
      </c>
      <c r="D41" s="30">
        <v>7.3559883490000004</v>
      </c>
      <c r="E41" s="30" t="s">
        <v>313</v>
      </c>
      <c r="F41" s="30" t="s">
        <v>320</v>
      </c>
      <c r="G41" s="30" t="s">
        <v>321</v>
      </c>
      <c r="H41" s="30" t="s">
        <v>322</v>
      </c>
      <c r="I41" s="30" t="s">
        <v>323</v>
      </c>
      <c r="J41" s="30" t="s">
        <v>324</v>
      </c>
      <c r="K41" s="30" t="s">
        <v>325</v>
      </c>
    </row>
    <row r="42" spans="1:11" ht="28.8" x14ac:dyDescent="0.3">
      <c r="A42" s="30" t="s">
        <v>289</v>
      </c>
      <c r="B42" s="30" t="s">
        <v>411</v>
      </c>
      <c r="C42" s="30" t="s">
        <v>37</v>
      </c>
      <c r="D42" s="30">
        <v>7.3130775635268419</v>
      </c>
      <c r="E42" s="30" t="s">
        <v>313</v>
      </c>
      <c r="F42" s="30" t="s">
        <v>320</v>
      </c>
      <c r="G42" s="30" t="s">
        <v>321</v>
      </c>
      <c r="H42" s="30" t="s">
        <v>322</v>
      </c>
      <c r="I42" s="30" t="s">
        <v>323</v>
      </c>
      <c r="J42" s="30" t="s">
        <v>324</v>
      </c>
      <c r="K42" s="30" t="s">
        <v>325</v>
      </c>
    </row>
    <row r="43" spans="1:11" ht="28.8" x14ac:dyDescent="0.3">
      <c r="A43" s="30" t="s">
        <v>289</v>
      </c>
      <c r="B43" s="30" t="s">
        <v>412</v>
      </c>
      <c r="C43" s="30" t="s">
        <v>38</v>
      </c>
      <c r="D43" s="30">
        <v>4.2910785473158519E-2</v>
      </c>
      <c r="E43" s="30" t="s">
        <v>313</v>
      </c>
      <c r="F43" s="30" t="s">
        <v>314</v>
      </c>
      <c r="G43" s="30" t="s">
        <v>315</v>
      </c>
      <c r="H43" s="30" t="s">
        <v>316</v>
      </c>
      <c r="I43" s="30" t="s">
        <v>317</v>
      </c>
      <c r="J43" s="30" t="s">
        <v>296</v>
      </c>
      <c r="K43" s="30" t="s">
        <v>318</v>
      </c>
    </row>
    <row r="44" spans="1:11" ht="28.8" x14ac:dyDescent="0.3">
      <c r="A44" s="30" t="s">
        <v>413</v>
      </c>
      <c r="B44" s="30" t="s">
        <v>414</v>
      </c>
      <c r="C44" s="30" t="s">
        <v>0</v>
      </c>
      <c r="D44" s="30" t="s">
        <v>234</v>
      </c>
      <c r="E44" s="30" t="s">
        <v>291</v>
      </c>
      <c r="F44" s="30" t="s">
        <v>292</v>
      </c>
      <c r="G44" s="30" t="s">
        <v>293</v>
      </c>
      <c r="H44" s="30" t="s">
        <v>294</v>
      </c>
      <c r="I44" s="30" t="s">
        <v>295</v>
      </c>
      <c r="J44" s="30" t="s">
        <v>296</v>
      </c>
      <c r="K44" s="30" t="s">
        <v>297</v>
      </c>
    </row>
    <row r="45" spans="1:11" ht="28.8" x14ac:dyDescent="0.3">
      <c r="A45" s="30" t="s">
        <v>413</v>
      </c>
      <c r="B45" s="30" t="s">
        <v>415</v>
      </c>
      <c r="C45" s="30" t="s">
        <v>1</v>
      </c>
      <c r="D45" s="30" t="s">
        <v>235</v>
      </c>
      <c r="E45" s="30" t="s">
        <v>291</v>
      </c>
      <c r="F45" s="30" t="s">
        <v>292</v>
      </c>
      <c r="G45" s="30" t="s">
        <v>293</v>
      </c>
      <c r="H45" s="30" t="s">
        <v>294</v>
      </c>
      <c r="I45" s="30" t="s">
        <v>295</v>
      </c>
      <c r="J45" s="30" t="s">
        <v>296</v>
      </c>
      <c r="K45" s="30" t="s">
        <v>297</v>
      </c>
    </row>
    <row r="46" spans="1:11" ht="28.8" x14ac:dyDescent="0.3">
      <c r="A46" s="30" t="s">
        <v>413</v>
      </c>
      <c r="B46" s="30" t="s">
        <v>416</v>
      </c>
      <c r="C46" s="30" t="s">
        <v>2</v>
      </c>
      <c r="D46" s="30">
        <v>2026</v>
      </c>
      <c r="E46" s="30" t="s">
        <v>300</v>
      </c>
      <c r="F46" s="30" t="s">
        <v>292</v>
      </c>
      <c r="G46" s="30" t="s">
        <v>293</v>
      </c>
      <c r="H46" s="30" t="s">
        <v>294</v>
      </c>
      <c r="I46" s="30" t="s">
        <v>295</v>
      </c>
      <c r="J46" s="30" t="s">
        <v>296</v>
      </c>
      <c r="K46" s="30" t="s">
        <v>297</v>
      </c>
    </row>
    <row r="47" spans="1:11" ht="28.8" x14ac:dyDescent="0.3">
      <c r="A47" s="30" t="s">
        <v>413</v>
      </c>
      <c r="B47" s="30" t="s">
        <v>417</v>
      </c>
      <c r="C47" s="30" t="s">
        <v>3</v>
      </c>
      <c r="D47" s="30">
        <v>1</v>
      </c>
      <c r="E47" s="30" t="s">
        <v>300</v>
      </c>
      <c r="F47" s="30" t="s">
        <v>292</v>
      </c>
      <c r="G47" s="30" t="s">
        <v>293</v>
      </c>
      <c r="H47" s="30" t="s">
        <v>294</v>
      </c>
      <c r="I47" s="30" t="s">
        <v>295</v>
      </c>
      <c r="J47" s="30" t="s">
        <v>296</v>
      </c>
      <c r="K47" s="30" t="s">
        <v>297</v>
      </c>
    </row>
    <row r="48" spans="1:11" ht="28.8" x14ac:dyDescent="0.3">
      <c r="A48" s="30" t="s">
        <v>413</v>
      </c>
      <c r="B48" s="30" t="s">
        <v>418</v>
      </c>
      <c r="C48" s="30" t="s">
        <v>4</v>
      </c>
      <c r="D48" s="30">
        <v>97</v>
      </c>
      <c r="E48" s="30" t="s">
        <v>300</v>
      </c>
      <c r="F48" s="30" t="s">
        <v>292</v>
      </c>
      <c r="G48" s="30" t="s">
        <v>293</v>
      </c>
      <c r="H48" s="30" t="s">
        <v>294</v>
      </c>
      <c r="I48" s="30" t="s">
        <v>295</v>
      </c>
      <c r="J48" s="30" t="s">
        <v>296</v>
      </c>
      <c r="K48" s="30" t="s">
        <v>297</v>
      </c>
    </row>
    <row r="49" spans="1:11" ht="28.8" x14ac:dyDescent="0.3">
      <c r="A49" s="30" t="s">
        <v>413</v>
      </c>
      <c r="B49" s="30" t="s">
        <v>419</v>
      </c>
      <c r="C49" s="30" t="s">
        <v>5</v>
      </c>
      <c r="D49" s="30">
        <v>97</v>
      </c>
      <c r="E49" s="30" t="s">
        <v>300</v>
      </c>
      <c r="F49" s="30" t="s">
        <v>292</v>
      </c>
      <c r="G49" s="30" t="s">
        <v>293</v>
      </c>
      <c r="H49" s="30" t="s">
        <v>294</v>
      </c>
      <c r="I49" s="30" t="s">
        <v>295</v>
      </c>
      <c r="J49" s="30" t="s">
        <v>296</v>
      </c>
      <c r="K49" s="30" t="s">
        <v>297</v>
      </c>
    </row>
    <row r="50" spans="1:11" ht="28.8" x14ac:dyDescent="0.3">
      <c r="A50" s="32" t="s">
        <v>413</v>
      </c>
      <c r="B50" s="32" t="s">
        <v>420</v>
      </c>
      <c r="C50" s="32" t="s">
        <v>6</v>
      </c>
      <c r="D50" s="32">
        <v>3196014020</v>
      </c>
      <c r="E50" s="32" t="s">
        <v>382</v>
      </c>
      <c r="F50" s="32" t="s">
        <v>421</v>
      </c>
      <c r="G50" s="32" t="s">
        <v>422</v>
      </c>
      <c r="H50" s="32" t="s">
        <v>423</v>
      </c>
      <c r="I50" s="32" t="s">
        <v>424</v>
      </c>
      <c r="J50" s="32" t="s">
        <v>425</v>
      </c>
      <c r="K50" s="32" t="s">
        <v>426</v>
      </c>
    </row>
    <row r="51" spans="1:11" ht="28.8" x14ac:dyDescent="0.3">
      <c r="A51" s="30" t="s">
        <v>413</v>
      </c>
      <c r="B51" s="30" t="s">
        <v>427</v>
      </c>
      <c r="C51" s="30" t="s">
        <v>7</v>
      </c>
      <c r="D51" s="30">
        <v>21.885170251574234</v>
      </c>
      <c r="E51" s="30" t="s">
        <v>313</v>
      </c>
      <c r="F51" s="30" t="s">
        <v>314</v>
      </c>
      <c r="G51" s="30" t="s">
        <v>315</v>
      </c>
      <c r="H51" s="30" t="s">
        <v>316</v>
      </c>
      <c r="I51" s="30" t="s">
        <v>317</v>
      </c>
      <c r="J51" s="30" t="s">
        <v>296</v>
      </c>
      <c r="K51" s="30" t="s">
        <v>318</v>
      </c>
    </row>
    <row r="52" spans="1:11" ht="28.8" x14ac:dyDescent="0.3">
      <c r="A52" s="30" t="s">
        <v>413</v>
      </c>
      <c r="B52" s="30" t="s">
        <v>428</v>
      </c>
      <c r="C52" s="30" t="s">
        <v>8</v>
      </c>
      <c r="D52" s="30">
        <v>3307965543</v>
      </c>
      <c r="E52" s="30" t="s">
        <v>382</v>
      </c>
      <c r="F52" s="30" t="s">
        <v>320</v>
      </c>
      <c r="G52" s="30" t="s">
        <v>321</v>
      </c>
      <c r="H52" s="30" t="s">
        <v>322</v>
      </c>
      <c r="I52" s="30" t="s">
        <v>323</v>
      </c>
      <c r="J52" s="30" t="s">
        <v>324</v>
      </c>
      <c r="K52" s="30" t="s">
        <v>325</v>
      </c>
    </row>
    <row r="53" spans="1:11" ht="28.8" x14ac:dyDescent="0.3">
      <c r="A53" s="30" t="s">
        <v>413</v>
      </c>
      <c r="B53" s="30" t="s">
        <v>429</v>
      </c>
      <c r="C53" s="30" t="s">
        <v>9</v>
      </c>
      <c r="D53" s="30">
        <v>3118762564</v>
      </c>
      <c r="E53" s="30" t="s">
        <v>382</v>
      </c>
      <c r="F53" s="30" t="s">
        <v>320</v>
      </c>
      <c r="G53" s="30" t="s">
        <v>321</v>
      </c>
      <c r="H53" s="30" t="s">
        <v>322</v>
      </c>
      <c r="I53" s="30" t="s">
        <v>323</v>
      </c>
      <c r="J53" s="30" t="s">
        <v>324</v>
      </c>
      <c r="K53" s="30" t="s">
        <v>325</v>
      </c>
    </row>
    <row r="54" spans="1:11" ht="28.8" x14ac:dyDescent="0.3">
      <c r="A54" s="30" t="s">
        <v>413</v>
      </c>
      <c r="B54" s="30" t="s">
        <v>430</v>
      </c>
      <c r="C54" s="30" t="s">
        <v>10</v>
      </c>
      <c r="D54" s="30">
        <v>4.5747109785033828</v>
      </c>
      <c r="E54" s="30" t="s">
        <v>313</v>
      </c>
      <c r="F54" s="30" t="s">
        <v>314</v>
      </c>
      <c r="G54" s="30" t="s">
        <v>315</v>
      </c>
      <c r="H54" s="30" t="s">
        <v>316</v>
      </c>
      <c r="I54" s="30" t="s">
        <v>317</v>
      </c>
      <c r="J54" s="30" t="s">
        <v>296</v>
      </c>
      <c r="K54" s="30" t="s">
        <v>318</v>
      </c>
    </row>
    <row r="55" spans="1:11" ht="43.2" x14ac:dyDescent="0.3">
      <c r="A55" s="30" t="s">
        <v>413</v>
      </c>
      <c r="B55" s="30" t="s">
        <v>431</v>
      </c>
      <c r="C55" s="30" t="s">
        <v>11</v>
      </c>
      <c r="D55" s="30">
        <v>114677316000</v>
      </c>
      <c r="E55" s="30" t="s">
        <v>329</v>
      </c>
      <c r="F55" s="30" t="s">
        <v>330</v>
      </c>
      <c r="G55" s="30" t="s">
        <v>331</v>
      </c>
      <c r="H55" s="30" t="s">
        <v>332</v>
      </c>
      <c r="I55" s="30" t="s">
        <v>333</v>
      </c>
      <c r="J55" s="30" t="s">
        <v>334</v>
      </c>
      <c r="K55" s="30" t="s">
        <v>335</v>
      </c>
    </row>
    <row r="56" spans="1:11" ht="28.8" x14ac:dyDescent="0.3">
      <c r="A56" s="30" t="s">
        <v>413</v>
      </c>
      <c r="B56" s="30" t="s">
        <v>432</v>
      </c>
      <c r="C56" s="30" t="s">
        <v>14</v>
      </c>
      <c r="D56" s="30">
        <v>1567.1821782178217</v>
      </c>
      <c r="E56" s="30" t="s">
        <v>352</v>
      </c>
      <c r="F56" s="30" t="s">
        <v>353</v>
      </c>
      <c r="G56" s="30" t="s">
        <v>354</v>
      </c>
      <c r="H56" s="30" t="s">
        <v>332</v>
      </c>
      <c r="I56" s="30" t="s">
        <v>355</v>
      </c>
      <c r="J56" s="30" t="s">
        <v>334</v>
      </c>
      <c r="K56" s="30" t="s">
        <v>356</v>
      </c>
    </row>
    <row r="57" spans="1:11" ht="43.2" x14ac:dyDescent="0.3">
      <c r="A57" s="30" t="s">
        <v>413</v>
      </c>
      <c r="B57" s="30" t="s">
        <v>433</v>
      </c>
      <c r="C57" s="30" t="s">
        <v>15</v>
      </c>
      <c r="D57" s="30">
        <v>0.99605522682445757</v>
      </c>
      <c r="E57" s="30" t="s">
        <v>358</v>
      </c>
      <c r="F57" s="30" t="s">
        <v>346</v>
      </c>
      <c r="G57" s="30" t="s">
        <v>315</v>
      </c>
      <c r="H57" s="30" t="s">
        <v>347</v>
      </c>
      <c r="I57" s="30" t="s">
        <v>348</v>
      </c>
      <c r="J57" s="30" t="s">
        <v>349</v>
      </c>
      <c r="K57" s="30" t="s">
        <v>350</v>
      </c>
    </row>
    <row r="58" spans="1:11" ht="43.2" x14ac:dyDescent="0.3">
      <c r="A58" s="30" t="s">
        <v>413</v>
      </c>
      <c r="B58" s="30" t="s">
        <v>434</v>
      </c>
      <c r="C58" s="30" t="s">
        <v>238</v>
      </c>
      <c r="D58" s="30">
        <v>114224940000</v>
      </c>
      <c r="E58" s="30" t="s">
        <v>329</v>
      </c>
      <c r="F58" s="30" t="s">
        <v>346</v>
      </c>
      <c r="G58" s="30" t="s">
        <v>315</v>
      </c>
      <c r="H58" s="30" t="s">
        <v>347</v>
      </c>
      <c r="I58" s="30" t="s">
        <v>348</v>
      </c>
      <c r="J58" s="30" t="s">
        <v>349</v>
      </c>
      <c r="K58" s="30" t="s">
        <v>350</v>
      </c>
    </row>
    <row r="59" spans="1:11" ht="43.2" x14ac:dyDescent="0.3">
      <c r="A59" s="30" t="s">
        <v>413</v>
      </c>
      <c r="B59" s="30" t="s">
        <v>435</v>
      </c>
      <c r="C59" s="30" t="s">
        <v>239</v>
      </c>
      <c r="D59" s="30">
        <v>25.461435499116554</v>
      </c>
      <c r="E59" s="30" t="s">
        <v>313</v>
      </c>
      <c r="F59" s="30" t="s">
        <v>346</v>
      </c>
      <c r="G59" s="30" t="s">
        <v>315</v>
      </c>
      <c r="H59" s="30" t="s">
        <v>347</v>
      </c>
      <c r="I59" s="30" t="s">
        <v>348</v>
      </c>
      <c r="J59" s="30" t="s">
        <v>349</v>
      </c>
      <c r="K59" s="30" t="s">
        <v>350</v>
      </c>
    </row>
    <row r="60" spans="1:11" ht="72" x14ac:dyDescent="0.3">
      <c r="A60" s="30" t="s">
        <v>413</v>
      </c>
      <c r="B60" s="30" t="s">
        <v>436</v>
      </c>
      <c r="C60" s="30" t="s">
        <v>240</v>
      </c>
      <c r="D60" s="30">
        <v>214.6</v>
      </c>
      <c r="E60" s="30" t="s">
        <v>362</v>
      </c>
      <c r="F60" s="30" t="s">
        <v>363</v>
      </c>
      <c r="G60" s="30" t="s">
        <v>364</v>
      </c>
      <c r="H60" s="30" t="s">
        <v>365</v>
      </c>
      <c r="I60" s="30" t="s">
        <v>366</v>
      </c>
      <c r="J60" s="30" t="s">
        <v>367</v>
      </c>
      <c r="K60" s="30" t="s">
        <v>368</v>
      </c>
    </row>
    <row r="61" spans="1:11" ht="28.8" x14ac:dyDescent="0.3">
      <c r="A61" s="30" t="s">
        <v>413</v>
      </c>
      <c r="B61" s="30" t="s">
        <v>437</v>
      </c>
      <c r="C61" s="30" t="s">
        <v>19</v>
      </c>
      <c r="D61" s="30">
        <v>1</v>
      </c>
      <c r="E61" s="30" t="s">
        <v>358</v>
      </c>
      <c r="F61" s="30" t="s">
        <v>370</v>
      </c>
      <c r="G61" s="30" t="s">
        <v>315</v>
      </c>
      <c r="H61" s="30" t="s">
        <v>371</v>
      </c>
      <c r="I61" s="30" t="s">
        <v>372</v>
      </c>
      <c r="J61" s="30" t="s">
        <v>373</v>
      </c>
      <c r="K61" s="30" t="s">
        <v>374</v>
      </c>
    </row>
    <row r="62" spans="1:11" ht="28.8" x14ac:dyDescent="0.3">
      <c r="A62" s="30" t="s">
        <v>413</v>
      </c>
      <c r="B62" s="30" t="s">
        <v>438</v>
      </c>
      <c r="C62" s="30" t="s">
        <v>241</v>
      </c>
      <c r="D62" s="30">
        <v>214.6</v>
      </c>
      <c r="E62" s="30" t="s">
        <v>362</v>
      </c>
      <c r="F62" s="30" t="s">
        <v>376</v>
      </c>
      <c r="G62" s="30" t="s">
        <v>315</v>
      </c>
      <c r="H62" s="30" t="s">
        <v>377</v>
      </c>
      <c r="I62" s="30" t="s">
        <v>378</v>
      </c>
      <c r="J62" s="30" t="s">
        <v>373</v>
      </c>
      <c r="K62" s="30" t="s">
        <v>379</v>
      </c>
    </row>
    <row r="63" spans="1:11" ht="28.8" x14ac:dyDescent="0.3">
      <c r="A63" s="30" t="s">
        <v>413</v>
      </c>
      <c r="B63" s="30" t="s">
        <v>439</v>
      </c>
      <c r="C63" s="30" t="s">
        <v>242</v>
      </c>
      <c r="D63" s="30">
        <v>5.368775830196598</v>
      </c>
      <c r="E63" s="30" t="s">
        <v>313</v>
      </c>
      <c r="F63" s="30" t="s">
        <v>314</v>
      </c>
      <c r="G63" s="30" t="s">
        <v>315</v>
      </c>
      <c r="H63" s="30" t="s">
        <v>316</v>
      </c>
      <c r="I63" s="30" t="s">
        <v>317</v>
      </c>
      <c r="J63" s="30" t="s">
        <v>296</v>
      </c>
      <c r="K63" s="30" t="s">
        <v>318</v>
      </c>
    </row>
    <row r="64" spans="1:11" x14ac:dyDescent="0.3">
      <c r="A64" s="32" t="s">
        <v>413</v>
      </c>
      <c r="B64" s="32" t="s">
        <v>440</v>
      </c>
      <c r="C64" s="32" t="s">
        <v>243</v>
      </c>
      <c r="D64" s="32">
        <v>248999340.25</v>
      </c>
      <c r="E64" s="32" t="s">
        <v>329</v>
      </c>
      <c r="F64" s="32" t="s">
        <v>421</v>
      </c>
      <c r="G64" s="32" t="s">
        <v>422</v>
      </c>
      <c r="H64" s="32" t="s">
        <v>423</v>
      </c>
      <c r="I64" s="32" t="s">
        <v>441</v>
      </c>
      <c r="J64" s="32" t="s">
        <v>425</v>
      </c>
      <c r="K64" s="32" t="s">
        <v>442</v>
      </c>
    </row>
    <row r="65" spans="1:11" ht="28.8" x14ac:dyDescent="0.3">
      <c r="A65" s="30" t="s">
        <v>413</v>
      </c>
      <c r="B65" s="30" t="s">
        <v>443</v>
      </c>
      <c r="C65" s="30" t="s">
        <v>244</v>
      </c>
      <c r="D65" s="30">
        <v>77.909339161785027</v>
      </c>
      <c r="E65" s="30" t="s">
        <v>444</v>
      </c>
      <c r="F65" s="30" t="s">
        <v>445</v>
      </c>
      <c r="G65" s="30" t="s">
        <v>315</v>
      </c>
      <c r="H65" s="30" t="s">
        <v>446</v>
      </c>
      <c r="I65" s="30" t="s">
        <v>447</v>
      </c>
      <c r="J65" s="30" t="s">
        <v>425</v>
      </c>
      <c r="K65" s="30" t="s">
        <v>448</v>
      </c>
    </row>
    <row r="66" spans="1:11" ht="28.8" x14ac:dyDescent="0.3">
      <c r="A66" s="30" t="s">
        <v>413</v>
      </c>
      <c r="B66" s="30" t="s">
        <v>449</v>
      </c>
      <c r="C66" s="30" t="s">
        <v>245</v>
      </c>
      <c r="D66" s="30">
        <v>77.909339161785027</v>
      </c>
      <c r="E66" s="30" t="s">
        <v>444</v>
      </c>
      <c r="F66" s="30" t="s">
        <v>376</v>
      </c>
      <c r="G66" s="30" t="s">
        <v>315</v>
      </c>
      <c r="H66" s="30" t="s">
        <v>377</v>
      </c>
      <c r="I66" s="30" t="s">
        <v>378</v>
      </c>
      <c r="J66" s="30" t="s">
        <v>373</v>
      </c>
      <c r="K66" s="30" t="s">
        <v>379</v>
      </c>
    </row>
    <row r="67" spans="1:11" ht="28.8" x14ac:dyDescent="0.3">
      <c r="A67" s="30" t="s">
        <v>413</v>
      </c>
      <c r="B67" s="30" t="s">
        <v>450</v>
      </c>
      <c r="C67" s="30" t="s">
        <v>246</v>
      </c>
      <c r="D67" s="30">
        <v>4.3555458322349807</v>
      </c>
      <c r="E67" s="30" t="s">
        <v>313</v>
      </c>
      <c r="F67" s="30" t="s">
        <v>314</v>
      </c>
      <c r="G67" s="30" t="s">
        <v>315</v>
      </c>
      <c r="H67" s="30" t="s">
        <v>316</v>
      </c>
      <c r="I67" s="30" t="s">
        <v>317</v>
      </c>
      <c r="J67" s="30" t="s">
        <v>296</v>
      </c>
      <c r="K67" s="30" t="s">
        <v>318</v>
      </c>
    </row>
    <row r="68" spans="1:11" ht="28.8" x14ac:dyDescent="0.3">
      <c r="A68" s="30" t="s">
        <v>413</v>
      </c>
      <c r="B68" s="30" t="s">
        <v>451</v>
      </c>
      <c r="C68" s="30" t="s">
        <v>247</v>
      </c>
      <c r="D68" s="30">
        <v>78.619584605427889</v>
      </c>
      <c r="E68" s="30" t="s">
        <v>444</v>
      </c>
      <c r="F68" s="30" t="s">
        <v>320</v>
      </c>
      <c r="G68" s="30" t="s">
        <v>321</v>
      </c>
      <c r="H68" s="30" t="s">
        <v>322</v>
      </c>
      <c r="I68" s="30" t="s">
        <v>323</v>
      </c>
      <c r="J68" s="30" t="s">
        <v>324</v>
      </c>
      <c r="K68" s="30" t="s">
        <v>325</v>
      </c>
    </row>
    <row r="69" spans="1:11" ht="28.8" x14ac:dyDescent="0.3">
      <c r="A69" s="30" t="s">
        <v>413</v>
      </c>
      <c r="B69" s="30" t="s">
        <v>452</v>
      </c>
      <c r="C69" s="30" t="s">
        <v>248</v>
      </c>
      <c r="D69" s="30">
        <v>4.3646208364059564</v>
      </c>
      <c r="E69" s="30" t="s">
        <v>313</v>
      </c>
      <c r="F69" s="30" t="s">
        <v>320</v>
      </c>
      <c r="G69" s="30" t="s">
        <v>321</v>
      </c>
      <c r="H69" s="30" t="s">
        <v>322</v>
      </c>
      <c r="I69" s="30" t="s">
        <v>323</v>
      </c>
      <c r="J69" s="30" t="s">
        <v>324</v>
      </c>
      <c r="K69" s="30" t="s">
        <v>325</v>
      </c>
    </row>
    <row r="70" spans="1:11" ht="28.8" x14ac:dyDescent="0.3">
      <c r="A70" s="30" t="s">
        <v>413</v>
      </c>
      <c r="B70" s="30" t="s">
        <v>453</v>
      </c>
      <c r="C70" s="30" t="s">
        <v>30</v>
      </c>
      <c r="D70" s="30">
        <v>0</v>
      </c>
      <c r="E70" s="30" t="s">
        <v>395</v>
      </c>
      <c r="F70" s="30" t="s">
        <v>292</v>
      </c>
      <c r="G70" s="30" t="s">
        <v>293</v>
      </c>
      <c r="H70" s="30" t="s">
        <v>294</v>
      </c>
      <c r="I70" s="30" t="s">
        <v>295</v>
      </c>
      <c r="J70" s="30" t="s">
        <v>296</v>
      </c>
      <c r="K70" s="30" t="s">
        <v>297</v>
      </c>
    </row>
    <row r="71" spans="1:11" ht="28.8" x14ac:dyDescent="0.3">
      <c r="A71" s="30" t="s">
        <v>413</v>
      </c>
      <c r="B71" s="30" t="s">
        <v>454</v>
      </c>
      <c r="C71" s="30" t="s">
        <v>31</v>
      </c>
      <c r="D71" s="30">
        <v>0</v>
      </c>
      <c r="E71" s="30" t="s">
        <v>395</v>
      </c>
      <c r="F71" s="30" t="s">
        <v>292</v>
      </c>
      <c r="G71" s="30" t="s">
        <v>293</v>
      </c>
      <c r="H71" s="30" t="s">
        <v>294</v>
      </c>
      <c r="I71" s="30" t="s">
        <v>295</v>
      </c>
      <c r="J71" s="30" t="s">
        <v>296</v>
      </c>
      <c r="K71" s="30" t="s">
        <v>297</v>
      </c>
    </row>
    <row r="72" spans="1:11" ht="28.8" x14ac:dyDescent="0.3">
      <c r="A72" s="30" t="s">
        <v>413</v>
      </c>
      <c r="B72" s="30" t="s">
        <v>455</v>
      </c>
      <c r="C72" s="30" t="s">
        <v>32</v>
      </c>
      <c r="D72" s="30">
        <v>0</v>
      </c>
      <c r="E72" s="30" t="s">
        <v>395</v>
      </c>
      <c r="F72" s="30" t="s">
        <v>292</v>
      </c>
      <c r="G72" s="30" t="s">
        <v>293</v>
      </c>
      <c r="H72" s="30" t="s">
        <v>294</v>
      </c>
      <c r="I72" s="30" t="s">
        <v>295</v>
      </c>
      <c r="J72" s="30" t="s">
        <v>296</v>
      </c>
      <c r="K72" s="30" t="s">
        <v>297</v>
      </c>
    </row>
    <row r="73" spans="1:11" ht="28.8" x14ac:dyDescent="0.3">
      <c r="A73" s="30" t="s">
        <v>413</v>
      </c>
      <c r="B73" s="30" t="s">
        <v>456</v>
      </c>
      <c r="C73" s="30" t="s">
        <v>29</v>
      </c>
      <c r="D73" s="30">
        <v>1</v>
      </c>
      <c r="E73" s="30" t="s">
        <v>395</v>
      </c>
      <c r="F73" s="30" t="s">
        <v>292</v>
      </c>
      <c r="G73" s="30" t="s">
        <v>293</v>
      </c>
      <c r="H73" s="30" t="s">
        <v>294</v>
      </c>
      <c r="I73" s="30" t="s">
        <v>295</v>
      </c>
      <c r="J73" s="30" t="s">
        <v>296</v>
      </c>
      <c r="K73" s="30" t="s">
        <v>297</v>
      </c>
    </row>
    <row r="74" spans="1:11" ht="28.8" x14ac:dyDescent="0.3">
      <c r="A74" s="30" t="s">
        <v>413</v>
      </c>
      <c r="B74" s="30" t="s">
        <v>457</v>
      </c>
      <c r="C74" s="30" t="s">
        <v>34</v>
      </c>
      <c r="D74" s="30" t="s">
        <v>41</v>
      </c>
      <c r="E74" s="30" t="s">
        <v>291</v>
      </c>
      <c r="F74" s="30" t="s">
        <v>404</v>
      </c>
      <c r="G74" s="30" t="s">
        <v>405</v>
      </c>
      <c r="H74" s="30" t="s">
        <v>406</v>
      </c>
      <c r="I74" s="30" t="s">
        <v>407</v>
      </c>
      <c r="J74" s="30" t="s">
        <v>296</v>
      </c>
      <c r="K74" s="30" t="s">
        <v>408</v>
      </c>
    </row>
    <row r="75" spans="1:11" ht="201.6" x14ac:dyDescent="0.3">
      <c r="A75" s="30" t="s">
        <v>413</v>
      </c>
      <c r="B75" s="30" t="s">
        <v>458</v>
      </c>
      <c r="C75" s="30" t="s">
        <v>35</v>
      </c>
      <c r="D75" s="30" t="s">
        <v>263</v>
      </c>
      <c r="E75" s="30" t="s">
        <v>291</v>
      </c>
      <c r="F75" s="30" t="s">
        <v>404</v>
      </c>
      <c r="G75" s="30" t="s">
        <v>405</v>
      </c>
      <c r="H75" s="30" t="s">
        <v>406</v>
      </c>
      <c r="I75" s="30" t="s">
        <v>407</v>
      </c>
      <c r="J75" s="30" t="s">
        <v>296</v>
      </c>
      <c r="K75" s="30" t="s">
        <v>408</v>
      </c>
    </row>
    <row r="76" spans="1:11" ht="28.8" x14ac:dyDescent="0.3">
      <c r="A76" s="30" t="s">
        <v>413</v>
      </c>
      <c r="B76" s="30" t="s">
        <v>459</v>
      </c>
      <c r="C76" s="30" t="s">
        <v>36</v>
      </c>
      <c r="D76" s="30">
        <v>21.919599197790003</v>
      </c>
      <c r="E76" s="30" t="s">
        <v>313</v>
      </c>
      <c r="F76" s="30" t="s">
        <v>320</v>
      </c>
      <c r="G76" s="30" t="s">
        <v>321</v>
      </c>
      <c r="H76" s="30" t="s">
        <v>322</v>
      </c>
      <c r="I76" s="30" t="s">
        <v>323</v>
      </c>
      <c r="J76" s="30" t="s">
        <v>324</v>
      </c>
      <c r="K76" s="30" t="s">
        <v>325</v>
      </c>
    </row>
    <row r="77" spans="1:11" ht="28.8" x14ac:dyDescent="0.3">
      <c r="A77" s="30" t="s">
        <v>413</v>
      </c>
      <c r="B77" s="30" t="s">
        <v>460</v>
      </c>
      <c r="C77" s="30" t="s">
        <v>37</v>
      </c>
      <c r="D77" s="30">
        <v>21.860702145993063</v>
      </c>
      <c r="E77" s="30" t="s">
        <v>313</v>
      </c>
      <c r="F77" s="30" t="s">
        <v>320</v>
      </c>
      <c r="G77" s="30" t="s">
        <v>321</v>
      </c>
      <c r="H77" s="30" t="s">
        <v>322</v>
      </c>
      <c r="I77" s="30" t="s">
        <v>323</v>
      </c>
      <c r="J77" s="30" t="s">
        <v>324</v>
      </c>
      <c r="K77" s="30" t="s">
        <v>325</v>
      </c>
    </row>
    <row r="78" spans="1:11" ht="28.8" x14ac:dyDescent="0.3">
      <c r="A78" s="30" t="s">
        <v>413</v>
      </c>
      <c r="B78" s="30" t="s">
        <v>461</v>
      </c>
      <c r="C78" s="30" t="s">
        <v>38</v>
      </c>
      <c r="D78" s="30">
        <v>5.8897051796940048E-2</v>
      </c>
      <c r="E78" s="30" t="s">
        <v>313</v>
      </c>
      <c r="F78" s="30" t="s">
        <v>314</v>
      </c>
      <c r="G78" s="30" t="s">
        <v>315</v>
      </c>
      <c r="H78" s="30" t="s">
        <v>316</v>
      </c>
      <c r="I78" s="30" t="s">
        <v>317</v>
      </c>
      <c r="J78" s="30" t="s">
        <v>296</v>
      </c>
      <c r="K78" s="30" t="s">
        <v>318</v>
      </c>
    </row>
    <row r="79" spans="1:11" ht="28.8" x14ac:dyDescent="0.3">
      <c r="A79" s="30" t="s">
        <v>413</v>
      </c>
      <c r="B79" s="30" t="s">
        <v>462</v>
      </c>
      <c r="C79" s="30" t="s">
        <v>249</v>
      </c>
      <c r="D79" s="30">
        <v>23.38394919141669</v>
      </c>
      <c r="E79" s="30" t="s">
        <v>313</v>
      </c>
      <c r="F79" s="30" t="s">
        <v>314</v>
      </c>
      <c r="G79" s="30" t="s">
        <v>315</v>
      </c>
      <c r="H79" s="30" t="s">
        <v>316</v>
      </c>
      <c r="I79" s="30" t="s">
        <v>317</v>
      </c>
      <c r="J79" s="30" t="s">
        <v>296</v>
      </c>
      <c r="K79" s="30" t="s">
        <v>318</v>
      </c>
    </row>
    <row r="80" spans="1:11" ht="28.8" x14ac:dyDescent="0.3">
      <c r="A80" s="30" t="s">
        <v>413</v>
      </c>
      <c r="B80" s="30" t="s">
        <v>463</v>
      </c>
      <c r="C80" s="30" t="s">
        <v>250</v>
      </c>
      <c r="D80" s="30">
        <v>25.461435499116554</v>
      </c>
      <c r="E80" s="30" t="s">
        <v>313</v>
      </c>
      <c r="F80" s="30" t="s">
        <v>314</v>
      </c>
      <c r="G80" s="30" t="s">
        <v>315</v>
      </c>
      <c r="H80" s="30" t="s">
        <v>316</v>
      </c>
      <c r="I80" s="30" t="s">
        <v>317</v>
      </c>
      <c r="J80" s="30" t="s">
        <v>296</v>
      </c>
      <c r="K80" s="30" t="s">
        <v>318</v>
      </c>
    </row>
    <row r="81" spans="1:11" ht="28.8" x14ac:dyDescent="0.3">
      <c r="A81" s="30" t="s">
        <v>413</v>
      </c>
      <c r="B81" s="30" t="s">
        <v>464</v>
      </c>
      <c r="C81" s="30" t="s">
        <v>251</v>
      </c>
      <c r="D81" s="30">
        <v>4.3555458322349807</v>
      </c>
      <c r="E81" s="30" t="s">
        <v>313</v>
      </c>
      <c r="F81" s="30" t="s">
        <v>314</v>
      </c>
      <c r="G81" s="30" t="s">
        <v>315</v>
      </c>
      <c r="H81" s="30" t="s">
        <v>316</v>
      </c>
      <c r="I81" s="30" t="s">
        <v>317</v>
      </c>
      <c r="J81" s="30" t="s">
        <v>296</v>
      </c>
      <c r="K81" s="30" t="s">
        <v>318</v>
      </c>
    </row>
    <row r="82" spans="1:11" ht="28.8" x14ac:dyDescent="0.3">
      <c r="A82" s="30" t="s">
        <v>413</v>
      </c>
      <c r="B82" s="30" t="s">
        <v>465</v>
      </c>
      <c r="C82" s="30" t="s">
        <v>252</v>
      </c>
      <c r="D82" s="30">
        <v>5.368775830196598</v>
      </c>
      <c r="E82" s="30" t="s">
        <v>313</v>
      </c>
      <c r="F82" s="30" t="s">
        <v>314</v>
      </c>
      <c r="G82" s="30" t="s">
        <v>315</v>
      </c>
      <c r="H82" s="30" t="s">
        <v>316</v>
      </c>
      <c r="I82" s="30" t="s">
        <v>317</v>
      </c>
      <c r="J82" s="30" t="s">
        <v>296</v>
      </c>
      <c r="K82" s="30" t="s">
        <v>318</v>
      </c>
    </row>
    <row r="83" spans="1:11" ht="28.8" x14ac:dyDescent="0.3">
      <c r="A83" s="30" t="s">
        <v>413</v>
      </c>
      <c r="B83" s="30" t="s">
        <v>466</v>
      </c>
      <c r="C83" s="30" t="s">
        <v>253</v>
      </c>
      <c r="D83" s="30">
        <v>97</v>
      </c>
      <c r="E83" s="30" t="s">
        <v>300</v>
      </c>
      <c r="F83" s="30" t="s">
        <v>292</v>
      </c>
      <c r="G83" s="30" t="s">
        <v>293</v>
      </c>
      <c r="H83" s="30" t="s">
        <v>294</v>
      </c>
      <c r="I83" s="30" t="s">
        <v>295</v>
      </c>
      <c r="J83" s="30" t="s">
        <v>296</v>
      </c>
      <c r="K83" s="30" t="s">
        <v>297</v>
      </c>
    </row>
    <row r="84" spans="1:11" ht="28.8" x14ac:dyDescent="0.3">
      <c r="A84" s="30" t="s">
        <v>413</v>
      </c>
      <c r="B84" s="30" t="s">
        <v>467</v>
      </c>
      <c r="C84" s="30" t="s">
        <v>254</v>
      </c>
      <c r="D84" s="30">
        <v>9.8120136661187907E-2</v>
      </c>
      <c r="E84" s="30" t="s">
        <v>313</v>
      </c>
      <c r="F84" s="30" t="s">
        <v>314</v>
      </c>
      <c r="G84" s="30" t="s">
        <v>315</v>
      </c>
      <c r="H84" s="30" t="s">
        <v>316</v>
      </c>
      <c r="I84" s="30" t="s">
        <v>317</v>
      </c>
      <c r="J84" s="30" t="s">
        <v>296</v>
      </c>
      <c r="K84" s="30" t="s">
        <v>318</v>
      </c>
    </row>
    <row r="85" spans="1:11" ht="28.8" x14ac:dyDescent="0.3">
      <c r="A85" s="30" t="s">
        <v>413</v>
      </c>
      <c r="B85" s="30" t="s">
        <v>468</v>
      </c>
      <c r="C85" s="30" t="s">
        <v>255</v>
      </c>
      <c r="D85" s="30">
        <v>5.2706556935354101</v>
      </c>
      <c r="E85" s="30" t="s">
        <v>313</v>
      </c>
      <c r="F85" s="30" t="s">
        <v>320</v>
      </c>
      <c r="G85" s="30" t="s">
        <v>321</v>
      </c>
      <c r="H85" s="30" t="s">
        <v>322</v>
      </c>
      <c r="I85" s="30" t="s">
        <v>323</v>
      </c>
      <c r="J85" s="30" t="s">
        <v>324</v>
      </c>
      <c r="K85" s="30" t="s">
        <v>325</v>
      </c>
    </row>
    <row r="86" spans="1:11" ht="28.8" x14ac:dyDescent="0.3">
      <c r="A86" s="30" t="s">
        <v>413</v>
      </c>
      <c r="B86" s="30" t="s">
        <v>469</v>
      </c>
      <c r="C86" s="30" t="s">
        <v>256</v>
      </c>
      <c r="D86" s="30">
        <v>5.3140395426971274</v>
      </c>
      <c r="E86" s="30" t="s">
        <v>313</v>
      </c>
      <c r="F86" s="30" t="s">
        <v>320</v>
      </c>
      <c r="G86" s="30" t="s">
        <v>321</v>
      </c>
      <c r="H86" s="30" t="s">
        <v>322</v>
      </c>
      <c r="I86" s="30" t="s">
        <v>323</v>
      </c>
      <c r="J86" s="30" t="s">
        <v>324</v>
      </c>
      <c r="K86" s="30" t="s">
        <v>325</v>
      </c>
    </row>
    <row r="87" spans="1:11" ht="28.8" x14ac:dyDescent="0.3">
      <c r="A87" s="30" t="s">
        <v>413</v>
      </c>
      <c r="B87" s="30" t="s">
        <v>470</v>
      </c>
      <c r="C87" s="30" t="s">
        <v>257</v>
      </c>
      <c r="D87" s="30">
        <v>-9.0750041709757312E-3</v>
      </c>
      <c r="E87" s="30" t="s">
        <v>313</v>
      </c>
      <c r="F87" s="30" t="s">
        <v>314</v>
      </c>
      <c r="G87" s="30" t="s">
        <v>315</v>
      </c>
      <c r="H87" s="30" t="s">
        <v>316</v>
      </c>
      <c r="I87" s="30" t="s">
        <v>317</v>
      </c>
      <c r="J87" s="30" t="s">
        <v>296</v>
      </c>
      <c r="K87" s="30" t="s">
        <v>318</v>
      </c>
    </row>
    <row r="88" spans="1:11" ht="28.8" x14ac:dyDescent="0.3">
      <c r="A88" s="30" t="s">
        <v>413</v>
      </c>
      <c r="B88" s="30" t="s">
        <v>471</v>
      </c>
      <c r="C88" s="30" t="s">
        <v>258</v>
      </c>
      <c r="D88" s="30">
        <v>4.3646208364059564</v>
      </c>
      <c r="E88" s="30" t="s">
        <v>313</v>
      </c>
      <c r="F88" s="30" t="s">
        <v>320</v>
      </c>
      <c r="G88" s="30" t="s">
        <v>321</v>
      </c>
      <c r="H88" s="30" t="s">
        <v>322</v>
      </c>
      <c r="I88" s="30" t="s">
        <v>323</v>
      </c>
      <c r="J88" s="30" t="s">
        <v>324</v>
      </c>
      <c r="K88" s="30" t="s">
        <v>325</v>
      </c>
    </row>
    <row r="89" spans="1:11" ht="28.8" x14ac:dyDescent="0.3">
      <c r="A89" s="30" t="s">
        <v>413</v>
      </c>
      <c r="B89" s="30" t="s">
        <v>472</v>
      </c>
      <c r="C89" s="30" t="s">
        <v>259</v>
      </c>
      <c r="D89" s="30">
        <v>4.3865354642894134</v>
      </c>
      <c r="E89" s="30" t="s">
        <v>313</v>
      </c>
      <c r="F89" s="30" t="s">
        <v>320</v>
      </c>
      <c r="G89" s="30" t="s">
        <v>321</v>
      </c>
      <c r="H89" s="30" t="s">
        <v>322</v>
      </c>
      <c r="I89" s="30" t="s">
        <v>323</v>
      </c>
      <c r="J89" s="30" t="s">
        <v>324</v>
      </c>
      <c r="K89" s="30" t="s">
        <v>325</v>
      </c>
    </row>
    <row r="90" spans="1:11" ht="28.8" x14ac:dyDescent="0.3">
      <c r="A90" s="30" t="s">
        <v>413</v>
      </c>
      <c r="B90" s="30" t="s">
        <v>473</v>
      </c>
      <c r="C90" s="30" t="s">
        <v>260</v>
      </c>
      <c r="D90" s="30">
        <v>9.9503308531652124E-3</v>
      </c>
      <c r="E90" s="30" t="s">
        <v>313</v>
      </c>
      <c r="F90" s="30" t="s">
        <v>314</v>
      </c>
      <c r="G90" s="30" t="s">
        <v>315</v>
      </c>
      <c r="H90" s="30" t="s">
        <v>316</v>
      </c>
      <c r="I90" s="30" t="s">
        <v>317</v>
      </c>
      <c r="J90" s="30" t="s">
        <v>296</v>
      </c>
      <c r="K90" s="30" t="s">
        <v>318</v>
      </c>
    </row>
    <row r="91" spans="1:11" ht="28.8" x14ac:dyDescent="0.3">
      <c r="A91" s="30" t="s">
        <v>413</v>
      </c>
      <c r="B91" s="30" t="s">
        <v>474</v>
      </c>
      <c r="C91" s="30" t="s">
        <v>261</v>
      </c>
      <c r="D91" s="30">
        <v>25.451485168263389</v>
      </c>
      <c r="E91" s="30" t="s">
        <v>313</v>
      </c>
      <c r="F91" s="30" t="s">
        <v>320</v>
      </c>
      <c r="G91" s="30" t="s">
        <v>321</v>
      </c>
      <c r="H91" s="30" t="s">
        <v>322</v>
      </c>
      <c r="I91" s="30" t="s">
        <v>323</v>
      </c>
      <c r="J91" s="30" t="s">
        <v>324</v>
      </c>
      <c r="K91" s="30" t="s">
        <v>325</v>
      </c>
    </row>
    <row r="92" spans="1:11" ht="28.8" x14ac:dyDescent="0.3">
      <c r="A92" s="30" t="s">
        <v>413</v>
      </c>
      <c r="B92" s="30" t="s">
        <v>475</v>
      </c>
      <c r="C92" s="30" t="s">
        <v>262</v>
      </c>
      <c r="D92" s="30">
        <v>25.44884992020831</v>
      </c>
      <c r="E92" s="30" t="s">
        <v>313</v>
      </c>
      <c r="F92" s="30" t="s">
        <v>320</v>
      </c>
      <c r="G92" s="30" t="s">
        <v>321</v>
      </c>
      <c r="H92" s="30" t="s">
        <v>322</v>
      </c>
      <c r="I92" s="30" t="s">
        <v>323</v>
      </c>
      <c r="J92" s="30" t="s">
        <v>324</v>
      </c>
      <c r="K92" s="30" t="s">
        <v>325</v>
      </c>
    </row>
    <row r="93" spans="1:11" ht="28.8" x14ac:dyDescent="0.3">
      <c r="A93" s="30" t="s">
        <v>476</v>
      </c>
      <c r="B93" s="30" t="s">
        <v>477</v>
      </c>
      <c r="C93" s="30" t="s">
        <v>0</v>
      </c>
      <c r="D93" s="30" t="s">
        <v>234</v>
      </c>
      <c r="E93" s="30" t="s">
        <v>291</v>
      </c>
      <c r="F93" s="30" t="s">
        <v>292</v>
      </c>
      <c r="G93" s="30" t="s">
        <v>293</v>
      </c>
      <c r="H93" s="30" t="s">
        <v>294</v>
      </c>
      <c r="I93" s="30" t="s">
        <v>295</v>
      </c>
      <c r="J93" s="30" t="s">
        <v>296</v>
      </c>
      <c r="K93" s="30" t="s">
        <v>297</v>
      </c>
    </row>
    <row r="94" spans="1:11" ht="28.8" x14ac:dyDescent="0.3">
      <c r="A94" s="30" t="s">
        <v>476</v>
      </c>
      <c r="B94" s="30" t="s">
        <v>478</v>
      </c>
      <c r="C94" s="30" t="s">
        <v>1</v>
      </c>
      <c r="D94" s="30" t="s">
        <v>235</v>
      </c>
      <c r="E94" s="30" t="s">
        <v>291</v>
      </c>
      <c r="F94" s="30" t="s">
        <v>292</v>
      </c>
      <c r="G94" s="30" t="s">
        <v>293</v>
      </c>
      <c r="H94" s="30" t="s">
        <v>294</v>
      </c>
      <c r="I94" s="30" t="s">
        <v>295</v>
      </c>
      <c r="J94" s="30" t="s">
        <v>296</v>
      </c>
      <c r="K94" s="30" t="s">
        <v>297</v>
      </c>
    </row>
    <row r="95" spans="1:11" ht="28.8" x14ac:dyDescent="0.3">
      <c r="A95" s="30" t="s">
        <v>476</v>
      </c>
      <c r="B95" s="30" t="s">
        <v>479</v>
      </c>
      <c r="C95" s="30" t="s">
        <v>2</v>
      </c>
      <c r="D95" s="30">
        <v>2026</v>
      </c>
      <c r="E95" s="30" t="s">
        <v>300</v>
      </c>
      <c r="F95" s="30" t="s">
        <v>292</v>
      </c>
      <c r="G95" s="30" t="s">
        <v>293</v>
      </c>
      <c r="H95" s="30" t="s">
        <v>294</v>
      </c>
      <c r="I95" s="30" t="s">
        <v>295</v>
      </c>
      <c r="J95" s="30" t="s">
        <v>296</v>
      </c>
      <c r="K95" s="30" t="s">
        <v>297</v>
      </c>
    </row>
    <row r="96" spans="1:11" ht="28.8" x14ac:dyDescent="0.3">
      <c r="A96" s="30" t="s">
        <v>476</v>
      </c>
      <c r="B96" s="30" t="s">
        <v>480</v>
      </c>
      <c r="C96" s="30" t="s">
        <v>3</v>
      </c>
      <c r="D96" s="30">
        <v>1</v>
      </c>
      <c r="E96" s="30" t="s">
        <v>300</v>
      </c>
      <c r="F96" s="30" t="s">
        <v>292</v>
      </c>
      <c r="G96" s="30" t="s">
        <v>293</v>
      </c>
      <c r="H96" s="30" t="s">
        <v>294</v>
      </c>
      <c r="I96" s="30" t="s">
        <v>295</v>
      </c>
      <c r="J96" s="30" t="s">
        <v>296</v>
      </c>
      <c r="K96" s="30" t="s">
        <v>297</v>
      </c>
    </row>
    <row r="97" spans="1:11" ht="28.8" x14ac:dyDescent="0.3">
      <c r="A97" s="30" t="s">
        <v>476</v>
      </c>
      <c r="B97" s="30" t="s">
        <v>481</v>
      </c>
      <c r="C97" s="30" t="s">
        <v>4</v>
      </c>
      <c r="D97" s="30">
        <v>97</v>
      </c>
      <c r="E97" s="30" t="s">
        <v>300</v>
      </c>
      <c r="F97" s="30" t="s">
        <v>292</v>
      </c>
      <c r="G97" s="30" t="s">
        <v>293</v>
      </c>
      <c r="H97" s="30" t="s">
        <v>294</v>
      </c>
      <c r="I97" s="30" t="s">
        <v>295</v>
      </c>
      <c r="J97" s="30" t="s">
        <v>296</v>
      </c>
      <c r="K97" s="30" t="s">
        <v>297</v>
      </c>
    </row>
    <row r="98" spans="1:11" ht="28.8" x14ac:dyDescent="0.3">
      <c r="A98" s="30" t="s">
        <v>476</v>
      </c>
      <c r="B98" s="30" t="s">
        <v>482</v>
      </c>
      <c r="C98" s="30" t="s">
        <v>5</v>
      </c>
      <c r="D98" s="30">
        <v>97</v>
      </c>
      <c r="E98" s="30" t="s">
        <v>300</v>
      </c>
      <c r="F98" s="30" t="s">
        <v>292</v>
      </c>
      <c r="G98" s="30" t="s">
        <v>293</v>
      </c>
      <c r="H98" s="30" t="s">
        <v>294</v>
      </c>
      <c r="I98" s="30" t="s">
        <v>295</v>
      </c>
      <c r="J98" s="30" t="s">
        <v>296</v>
      </c>
      <c r="K98" s="30" t="s">
        <v>297</v>
      </c>
    </row>
    <row r="99" spans="1:11" x14ac:dyDescent="0.3">
      <c r="A99" s="32" t="s">
        <v>476</v>
      </c>
      <c r="B99" s="32" t="s">
        <v>483</v>
      </c>
      <c r="C99" s="32" t="s">
        <v>6</v>
      </c>
      <c r="D99" s="32">
        <v>1039372457</v>
      </c>
      <c r="E99" s="32" t="s">
        <v>382</v>
      </c>
      <c r="F99" s="32" t="s">
        <v>421</v>
      </c>
      <c r="G99" s="32" t="s">
        <v>422</v>
      </c>
      <c r="H99" s="32" t="s">
        <v>423</v>
      </c>
      <c r="I99" s="32" t="s">
        <v>484</v>
      </c>
      <c r="J99" s="32" t="s">
        <v>425</v>
      </c>
      <c r="K99" s="32" t="s">
        <v>442</v>
      </c>
    </row>
    <row r="100" spans="1:11" ht="28.8" x14ac:dyDescent="0.3">
      <c r="A100" s="30" t="s">
        <v>476</v>
      </c>
      <c r="B100" s="30" t="s">
        <v>485</v>
      </c>
      <c r="C100" s="30" t="s">
        <v>7</v>
      </c>
      <c r="D100" s="30">
        <v>20.761882961245814</v>
      </c>
      <c r="E100" s="30" t="s">
        <v>313</v>
      </c>
      <c r="F100" s="30" t="s">
        <v>314</v>
      </c>
      <c r="G100" s="30" t="s">
        <v>315</v>
      </c>
      <c r="H100" s="30" t="s">
        <v>316</v>
      </c>
      <c r="I100" s="30" t="s">
        <v>317</v>
      </c>
      <c r="J100" s="30" t="s">
        <v>296</v>
      </c>
      <c r="K100" s="30" t="s">
        <v>318</v>
      </c>
    </row>
    <row r="101" spans="1:11" ht="28.8" x14ac:dyDescent="0.3">
      <c r="A101" s="30" t="s">
        <v>476</v>
      </c>
      <c r="B101" s="30" t="s">
        <v>486</v>
      </c>
      <c r="C101" s="30" t="s">
        <v>8</v>
      </c>
      <c r="D101" s="30">
        <v>1064388483</v>
      </c>
      <c r="E101" s="30" t="s">
        <v>382</v>
      </c>
      <c r="F101" s="30" t="s">
        <v>320</v>
      </c>
      <c r="G101" s="30" t="s">
        <v>321</v>
      </c>
      <c r="H101" s="30" t="s">
        <v>322</v>
      </c>
      <c r="I101" s="30" t="s">
        <v>323</v>
      </c>
      <c r="J101" s="30" t="s">
        <v>324</v>
      </c>
      <c r="K101" s="30" t="s">
        <v>325</v>
      </c>
    </row>
    <row r="102" spans="1:11" ht="28.8" x14ac:dyDescent="0.3">
      <c r="A102" s="30" t="s">
        <v>476</v>
      </c>
      <c r="B102" s="30" t="s">
        <v>487</v>
      </c>
      <c r="C102" s="30" t="s">
        <v>9</v>
      </c>
      <c r="D102" s="30">
        <v>1022167146</v>
      </c>
      <c r="E102" s="30" t="s">
        <v>382</v>
      </c>
      <c r="F102" s="30" t="s">
        <v>320</v>
      </c>
      <c r="G102" s="30" t="s">
        <v>321</v>
      </c>
      <c r="H102" s="30" t="s">
        <v>322</v>
      </c>
      <c r="I102" s="30" t="s">
        <v>323</v>
      </c>
      <c r="J102" s="30" t="s">
        <v>324</v>
      </c>
      <c r="K102" s="30" t="s">
        <v>325</v>
      </c>
    </row>
    <row r="103" spans="1:11" ht="28.8" x14ac:dyDescent="0.3">
      <c r="A103" s="30" t="s">
        <v>476</v>
      </c>
      <c r="B103" s="30" t="s">
        <v>488</v>
      </c>
      <c r="C103" s="30" t="s">
        <v>10</v>
      </c>
      <c r="D103" s="30">
        <v>4.5747109785033828</v>
      </c>
      <c r="E103" s="30" t="s">
        <v>313</v>
      </c>
      <c r="F103" s="30" t="s">
        <v>314</v>
      </c>
      <c r="G103" s="30" t="s">
        <v>315</v>
      </c>
      <c r="H103" s="30" t="s">
        <v>316</v>
      </c>
      <c r="I103" s="30" t="s">
        <v>317</v>
      </c>
      <c r="J103" s="30" t="s">
        <v>296</v>
      </c>
      <c r="K103" s="30" t="s">
        <v>318</v>
      </c>
    </row>
    <row r="104" spans="1:11" ht="43.2" x14ac:dyDescent="0.3">
      <c r="A104" s="30" t="s">
        <v>476</v>
      </c>
      <c r="B104" s="30" t="s">
        <v>489</v>
      </c>
      <c r="C104" s="30" t="s">
        <v>11</v>
      </c>
      <c r="D104" s="30">
        <v>114677316000</v>
      </c>
      <c r="E104" s="30" t="s">
        <v>329</v>
      </c>
      <c r="F104" s="30" t="s">
        <v>330</v>
      </c>
      <c r="G104" s="30" t="s">
        <v>331</v>
      </c>
      <c r="H104" s="30" t="s">
        <v>332</v>
      </c>
      <c r="I104" s="30" t="s">
        <v>333</v>
      </c>
      <c r="J104" s="30" t="s">
        <v>334</v>
      </c>
      <c r="K104" s="30" t="s">
        <v>335</v>
      </c>
    </row>
    <row r="105" spans="1:11" ht="28.8" x14ac:dyDescent="0.3">
      <c r="A105" s="30" t="s">
        <v>476</v>
      </c>
      <c r="B105" s="30" t="s">
        <v>490</v>
      </c>
      <c r="C105" s="30" t="s">
        <v>14</v>
      </c>
      <c r="D105" s="30">
        <v>1567.1821782178217</v>
      </c>
      <c r="E105" s="30" t="s">
        <v>352</v>
      </c>
      <c r="F105" s="30" t="s">
        <v>353</v>
      </c>
      <c r="G105" s="30" t="s">
        <v>354</v>
      </c>
      <c r="H105" s="30" t="s">
        <v>332</v>
      </c>
      <c r="I105" s="30" t="s">
        <v>355</v>
      </c>
      <c r="J105" s="30" t="s">
        <v>334</v>
      </c>
      <c r="K105" s="30" t="s">
        <v>356</v>
      </c>
    </row>
    <row r="106" spans="1:11" ht="43.2" x14ac:dyDescent="0.3">
      <c r="A106" s="30" t="s">
        <v>476</v>
      </c>
      <c r="B106" s="30" t="s">
        <v>491</v>
      </c>
      <c r="C106" s="30" t="s">
        <v>15</v>
      </c>
      <c r="D106" s="30">
        <v>0.99605522682445757</v>
      </c>
      <c r="E106" s="30" t="s">
        <v>358</v>
      </c>
      <c r="F106" s="30" t="s">
        <v>346</v>
      </c>
      <c r="G106" s="30" t="s">
        <v>315</v>
      </c>
      <c r="H106" s="30" t="s">
        <v>347</v>
      </c>
      <c r="I106" s="30" t="s">
        <v>348</v>
      </c>
      <c r="J106" s="30" t="s">
        <v>349</v>
      </c>
      <c r="K106" s="30" t="s">
        <v>350</v>
      </c>
    </row>
    <row r="107" spans="1:11" ht="43.2" x14ac:dyDescent="0.3">
      <c r="A107" s="30" t="s">
        <v>476</v>
      </c>
      <c r="B107" s="30" t="s">
        <v>492</v>
      </c>
      <c r="C107" s="30" t="s">
        <v>238</v>
      </c>
      <c r="D107" s="30">
        <v>114224940000</v>
      </c>
      <c r="E107" s="30" t="s">
        <v>329</v>
      </c>
      <c r="F107" s="30" t="s">
        <v>346</v>
      </c>
      <c r="G107" s="30" t="s">
        <v>315</v>
      </c>
      <c r="H107" s="30" t="s">
        <v>347</v>
      </c>
      <c r="I107" s="30" t="s">
        <v>348</v>
      </c>
      <c r="J107" s="30" t="s">
        <v>349</v>
      </c>
      <c r="K107" s="30" t="s">
        <v>350</v>
      </c>
    </row>
    <row r="108" spans="1:11" ht="43.2" x14ac:dyDescent="0.3">
      <c r="A108" s="30" t="s">
        <v>476</v>
      </c>
      <c r="B108" s="30" t="s">
        <v>493</v>
      </c>
      <c r="C108" s="30" t="s">
        <v>239</v>
      </c>
      <c r="D108" s="30">
        <v>25.461435499116554</v>
      </c>
      <c r="E108" s="30" t="s">
        <v>313</v>
      </c>
      <c r="F108" s="30" t="s">
        <v>346</v>
      </c>
      <c r="G108" s="30" t="s">
        <v>315</v>
      </c>
      <c r="H108" s="30" t="s">
        <v>347</v>
      </c>
      <c r="I108" s="30" t="s">
        <v>348</v>
      </c>
      <c r="J108" s="30" t="s">
        <v>349</v>
      </c>
      <c r="K108" s="30" t="s">
        <v>350</v>
      </c>
    </row>
    <row r="109" spans="1:11" x14ac:dyDescent="0.3">
      <c r="A109" s="32" t="s">
        <v>476</v>
      </c>
      <c r="B109" s="32" t="s">
        <v>494</v>
      </c>
      <c r="C109" s="32" t="s">
        <v>264</v>
      </c>
      <c r="D109" s="32">
        <v>334926318.92000002</v>
      </c>
      <c r="E109" s="32" t="s">
        <v>329</v>
      </c>
      <c r="F109" s="32" t="s">
        <v>421</v>
      </c>
      <c r="G109" s="32" t="s">
        <v>422</v>
      </c>
      <c r="H109" s="32" t="s">
        <v>423</v>
      </c>
      <c r="I109" s="32" t="s">
        <v>495</v>
      </c>
      <c r="J109" s="32" t="s">
        <v>425</v>
      </c>
      <c r="K109" s="32" t="s">
        <v>442</v>
      </c>
    </row>
    <row r="110" spans="1:11" ht="28.8" x14ac:dyDescent="0.3">
      <c r="A110" s="30" t="s">
        <v>476</v>
      </c>
      <c r="B110" s="30" t="s">
        <v>496</v>
      </c>
      <c r="C110" s="30" t="s">
        <v>265</v>
      </c>
      <c r="D110" s="30">
        <v>322.23897859167539</v>
      </c>
      <c r="E110" s="30" t="s">
        <v>444</v>
      </c>
      <c r="F110" s="30" t="s">
        <v>445</v>
      </c>
      <c r="G110" s="30" t="s">
        <v>315</v>
      </c>
      <c r="H110" s="30" t="s">
        <v>446</v>
      </c>
      <c r="I110" s="30" t="s">
        <v>447</v>
      </c>
      <c r="J110" s="30" t="s">
        <v>425</v>
      </c>
      <c r="K110" s="30" t="s">
        <v>448</v>
      </c>
    </row>
    <row r="111" spans="1:11" ht="28.8" x14ac:dyDescent="0.3">
      <c r="A111" s="30" t="s">
        <v>476</v>
      </c>
      <c r="B111" s="30" t="s">
        <v>497</v>
      </c>
      <c r="C111" s="30" t="s">
        <v>266</v>
      </c>
      <c r="D111" s="30">
        <v>322.23897859167539</v>
      </c>
      <c r="E111" s="30" t="s">
        <v>444</v>
      </c>
      <c r="F111" s="30" t="s">
        <v>376</v>
      </c>
      <c r="G111" s="30" t="s">
        <v>315</v>
      </c>
      <c r="H111" s="30" t="s">
        <v>377</v>
      </c>
      <c r="I111" s="30" t="s">
        <v>378</v>
      </c>
      <c r="J111" s="30" t="s">
        <v>373</v>
      </c>
      <c r="K111" s="30" t="s">
        <v>379</v>
      </c>
    </row>
    <row r="112" spans="1:11" ht="28.8" x14ac:dyDescent="0.3">
      <c r="A112" s="30" t="s">
        <v>476</v>
      </c>
      <c r="B112" s="30" t="s">
        <v>498</v>
      </c>
      <c r="C112" s="30" t="s">
        <v>267</v>
      </c>
      <c r="D112" s="30">
        <v>5.7752934398121507</v>
      </c>
      <c r="E112" s="30" t="s">
        <v>313</v>
      </c>
      <c r="F112" s="30" t="s">
        <v>314</v>
      </c>
      <c r="G112" s="30" t="s">
        <v>315</v>
      </c>
      <c r="H112" s="30" t="s">
        <v>316</v>
      </c>
      <c r="I112" s="30" t="s">
        <v>317</v>
      </c>
      <c r="J112" s="30" t="s">
        <v>296</v>
      </c>
      <c r="K112" s="30" t="s">
        <v>318</v>
      </c>
    </row>
    <row r="113" spans="1:11" ht="43.2" x14ac:dyDescent="0.3">
      <c r="A113" s="30" t="s">
        <v>476</v>
      </c>
      <c r="B113" s="30" t="s">
        <v>499</v>
      </c>
      <c r="C113" s="30" t="s">
        <v>268</v>
      </c>
      <c r="D113" s="30">
        <v>318.7803374122621</v>
      </c>
      <c r="E113" s="30" t="s">
        <v>444</v>
      </c>
      <c r="F113" s="30" t="s">
        <v>500</v>
      </c>
      <c r="G113" s="30" t="s">
        <v>501</v>
      </c>
      <c r="H113" s="30" t="s">
        <v>502</v>
      </c>
      <c r="I113" s="30" t="s">
        <v>503</v>
      </c>
      <c r="J113" s="30" t="s">
        <v>504</v>
      </c>
      <c r="K113" s="30" t="s">
        <v>505</v>
      </c>
    </row>
    <row r="114" spans="1:11" ht="28.8" x14ac:dyDescent="0.3">
      <c r="A114" s="30" t="s">
        <v>476</v>
      </c>
      <c r="B114" s="30" t="s">
        <v>506</v>
      </c>
      <c r="C114" s="30" t="s">
        <v>269</v>
      </c>
      <c r="D114" s="30">
        <v>5.764502268139001</v>
      </c>
      <c r="E114" s="30" t="s">
        <v>313</v>
      </c>
      <c r="F114" s="30" t="s">
        <v>314</v>
      </c>
      <c r="G114" s="30" t="s">
        <v>315</v>
      </c>
      <c r="H114" s="30" t="s">
        <v>316</v>
      </c>
      <c r="I114" s="30" t="s">
        <v>317</v>
      </c>
      <c r="J114" s="30" t="s">
        <v>296</v>
      </c>
      <c r="K114" s="30" t="s">
        <v>318</v>
      </c>
    </row>
    <row r="115" spans="1:11" ht="28.8" x14ac:dyDescent="0.3">
      <c r="A115" s="30" t="s">
        <v>476</v>
      </c>
      <c r="B115" s="30" t="s">
        <v>507</v>
      </c>
      <c r="C115" s="30" t="s">
        <v>30</v>
      </c>
      <c r="D115" s="30">
        <v>0</v>
      </c>
      <c r="E115" s="30" t="s">
        <v>395</v>
      </c>
      <c r="F115" s="30" t="s">
        <v>292</v>
      </c>
      <c r="G115" s="30" t="s">
        <v>293</v>
      </c>
      <c r="H115" s="30" t="s">
        <v>294</v>
      </c>
      <c r="I115" s="30" t="s">
        <v>295</v>
      </c>
      <c r="J115" s="30" t="s">
        <v>296</v>
      </c>
      <c r="K115" s="30" t="s">
        <v>297</v>
      </c>
    </row>
    <row r="116" spans="1:11" ht="28.8" x14ac:dyDescent="0.3">
      <c r="A116" s="30" t="s">
        <v>476</v>
      </c>
      <c r="B116" s="30" t="s">
        <v>508</v>
      </c>
      <c r="C116" s="30" t="s">
        <v>31</v>
      </c>
      <c r="D116" s="30">
        <v>0</v>
      </c>
      <c r="E116" s="30" t="s">
        <v>395</v>
      </c>
      <c r="F116" s="30" t="s">
        <v>292</v>
      </c>
      <c r="G116" s="30" t="s">
        <v>293</v>
      </c>
      <c r="H116" s="30" t="s">
        <v>294</v>
      </c>
      <c r="I116" s="30" t="s">
        <v>295</v>
      </c>
      <c r="J116" s="30" t="s">
        <v>296</v>
      </c>
      <c r="K116" s="30" t="s">
        <v>297</v>
      </c>
    </row>
    <row r="117" spans="1:11" ht="28.8" x14ac:dyDescent="0.3">
      <c r="A117" s="30" t="s">
        <v>476</v>
      </c>
      <c r="B117" s="30" t="s">
        <v>509</v>
      </c>
      <c r="C117" s="30" t="s">
        <v>32</v>
      </c>
      <c r="D117" s="30">
        <v>0</v>
      </c>
      <c r="E117" s="30" t="s">
        <v>395</v>
      </c>
      <c r="F117" s="30" t="s">
        <v>292</v>
      </c>
      <c r="G117" s="30" t="s">
        <v>293</v>
      </c>
      <c r="H117" s="30" t="s">
        <v>294</v>
      </c>
      <c r="I117" s="30" t="s">
        <v>295</v>
      </c>
      <c r="J117" s="30" t="s">
        <v>296</v>
      </c>
      <c r="K117" s="30" t="s">
        <v>297</v>
      </c>
    </row>
    <row r="118" spans="1:11" ht="28.8" x14ac:dyDescent="0.3">
      <c r="A118" s="30" t="s">
        <v>476</v>
      </c>
      <c r="B118" s="30" t="s">
        <v>510</v>
      </c>
      <c r="C118" s="30" t="s">
        <v>34</v>
      </c>
      <c r="D118" s="30" t="s">
        <v>41</v>
      </c>
      <c r="E118" s="30" t="s">
        <v>291</v>
      </c>
      <c r="F118" s="30" t="s">
        <v>404</v>
      </c>
      <c r="G118" s="30" t="s">
        <v>405</v>
      </c>
      <c r="H118" s="30" t="s">
        <v>406</v>
      </c>
      <c r="I118" s="30" t="s">
        <v>407</v>
      </c>
      <c r="J118" s="30" t="s">
        <v>296</v>
      </c>
      <c r="K118" s="30" t="s">
        <v>408</v>
      </c>
    </row>
    <row r="119" spans="1:11" ht="187.2" x14ac:dyDescent="0.3">
      <c r="A119" s="30" t="s">
        <v>476</v>
      </c>
      <c r="B119" s="30" t="s">
        <v>511</v>
      </c>
      <c r="C119" s="30" t="s">
        <v>35</v>
      </c>
      <c r="D119" s="30" t="s">
        <v>270</v>
      </c>
      <c r="E119" s="30" t="s">
        <v>291</v>
      </c>
      <c r="F119" s="30" t="s">
        <v>404</v>
      </c>
      <c r="G119" s="30" t="s">
        <v>405</v>
      </c>
      <c r="H119" s="30" t="s">
        <v>406</v>
      </c>
      <c r="I119" s="30" t="s">
        <v>407</v>
      </c>
      <c r="J119" s="30" t="s">
        <v>296</v>
      </c>
      <c r="K119" s="30" t="s">
        <v>408</v>
      </c>
    </row>
    <row r="120" spans="1:11" ht="28.8" x14ac:dyDescent="0.3">
      <c r="A120" s="32" t="s">
        <v>476</v>
      </c>
      <c r="B120" s="32" t="s">
        <v>512</v>
      </c>
      <c r="C120" s="32" t="s">
        <v>241</v>
      </c>
      <c r="D120" s="32">
        <v>214.6</v>
      </c>
      <c r="E120" s="32" t="s">
        <v>362</v>
      </c>
      <c r="F120" s="32" t="s">
        <v>513</v>
      </c>
      <c r="G120" s="32" t="s">
        <v>514</v>
      </c>
      <c r="H120" s="32" t="s">
        <v>438</v>
      </c>
      <c r="I120" s="32" t="s">
        <v>515</v>
      </c>
      <c r="J120" s="32" t="s">
        <v>296</v>
      </c>
      <c r="K120" s="32" t="s">
        <v>516</v>
      </c>
    </row>
    <row r="121" spans="1:11" ht="28.8" x14ac:dyDescent="0.3">
      <c r="A121" s="32" t="s">
        <v>476</v>
      </c>
      <c r="B121" s="32" t="s">
        <v>517</v>
      </c>
      <c r="C121" s="32" t="s">
        <v>242</v>
      </c>
      <c r="D121" s="32">
        <v>5.368775830196598</v>
      </c>
      <c r="E121" s="32" t="s">
        <v>313</v>
      </c>
      <c r="F121" s="32" t="s">
        <v>513</v>
      </c>
      <c r="G121" s="32" t="s">
        <v>514</v>
      </c>
      <c r="H121" s="32" t="s">
        <v>439</v>
      </c>
      <c r="I121" s="32" t="s">
        <v>518</v>
      </c>
      <c r="J121" s="32" t="s">
        <v>296</v>
      </c>
      <c r="K121" s="32" t="s">
        <v>516</v>
      </c>
    </row>
    <row r="122" spans="1:11" ht="28.8" x14ac:dyDescent="0.3">
      <c r="A122" s="32" t="s">
        <v>476</v>
      </c>
      <c r="B122" s="32" t="s">
        <v>519</v>
      </c>
      <c r="C122" s="32" t="s">
        <v>245</v>
      </c>
      <c r="D122" s="32">
        <v>77.909339161785027</v>
      </c>
      <c r="E122" s="32" t="s">
        <v>444</v>
      </c>
      <c r="F122" s="32" t="s">
        <v>513</v>
      </c>
      <c r="G122" s="32" t="s">
        <v>514</v>
      </c>
      <c r="H122" s="32" t="s">
        <v>449</v>
      </c>
      <c r="I122" s="32" t="s">
        <v>520</v>
      </c>
      <c r="J122" s="32" t="s">
        <v>296</v>
      </c>
      <c r="K122" s="32" t="s">
        <v>516</v>
      </c>
    </row>
    <row r="123" spans="1:11" ht="28.8" x14ac:dyDescent="0.3">
      <c r="A123" s="32" t="s">
        <v>476</v>
      </c>
      <c r="B123" s="32" t="s">
        <v>521</v>
      </c>
      <c r="C123" s="32" t="s">
        <v>247</v>
      </c>
      <c r="D123" s="32">
        <v>78.619584605427889</v>
      </c>
      <c r="E123" s="32" t="s">
        <v>444</v>
      </c>
      <c r="F123" s="32" t="s">
        <v>513</v>
      </c>
      <c r="G123" s="32" t="s">
        <v>514</v>
      </c>
      <c r="H123" s="32" t="s">
        <v>522</v>
      </c>
      <c r="I123" s="32" t="s">
        <v>523</v>
      </c>
      <c r="J123" s="32" t="s">
        <v>296</v>
      </c>
      <c r="K123" s="32" t="s">
        <v>516</v>
      </c>
    </row>
    <row r="124" spans="1:11" ht="28.8" x14ac:dyDescent="0.3">
      <c r="A124" s="32" t="s">
        <v>476</v>
      </c>
      <c r="B124" s="32" t="s">
        <v>524</v>
      </c>
      <c r="C124" s="32" t="s">
        <v>246</v>
      </c>
      <c r="D124" s="32">
        <v>4.3555458322349807</v>
      </c>
      <c r="E124" s="32" t="s">
        <v>313</v>
      </c>
      <c r="F124" s="32" t="s">
        <v>513</v>
      </c>
      <c r="G124" s="32" t="s">
        <v>514</v>
      </c>
      <c r="H124" s="32" t="s">
        <v>450</v>
      </c>
      <c r="I124" s="32" t="s">
        <v>525</v>
      </c>
      <c r="J124" s="32" t="s">
        <v>296</v>
      </c>
      <c r="K124" s="32" t="s">
        <v>516</v>
      </c>
    </row>
    <row r="125" spans="1:11" ht="28.8" x14ac:dyDescent="0.3">
      <c r="A125" s="32" t="s">
        <v>476</v>
      </c>
      <c r="B125" s="32" t="s">
        <v>526</v>
      </c>
      <c r="C125" s="32" t="s">
        <v>248</v>
      </c>
      <c r="D125" s="32">
        <v>4.3646208364059564</v>
      </c>
      <c r="E125" s="32" t="s">
        <v>313</v>
      </c>
      <c r="F125" s="32" t="s">
        <v>513</v>
      </c>
      <c r="G125" s="32" t="s">
        <v>514</v>
      </c>
      <c r="H125" s="32" t="s">
        <v>527</v>
      </c>
      <c r="I125" s="32" t="s">
        <v>528</v>
      </c>
      <c r="J125" s="32" t="s">
        <v>296</v>
      </c>
      <c r="K125" s="32" t="s">
        <v>516</v>
      </c>
    </row>
    <row r="126" spans="1:11" ht="28.8" x14ac:dyDescent="0.3">
      <c r="A126" s="32" t="s">
        <v>476</v>
      </c>
      <c r="B126" s="32" t="s">
        <v>529</v>
      </c>
      <c r="C126" s="32" t="s">
        <v>25</v>
      </c>
      <c r="D126" s="32">
        <v>5.2999999999999999E-2</v>
      </c>
      <c r="E126" s="32" t="s">
        <v>391</v>
      </c>
      <c r="F126" s="32" t="s">
        <v>513</v>
      </c>
      <c r="G126" s="32" t="s">
        <v>514</v>
      </c>
      <c r="H126" s="32" t="s">
        <v>390</v>
      </c>
      <c r="I126" s="32" t="s">
        <v>530</v>
      </c>
      <c r="J126" s="32" t="s">
        <v>296</v>
      </c>
      <c r="K126" s="32" t="s">
        <v>516</v>
      </c>
    </row>
    <row r="127" spans="1:11" ht="28.8" x14ac:dyDescent="0.3">
      <c r="A127" s="32" t="s">
        <v>476</v>
      </c>
      <c r="B127" s="32" t="s">
        <v>531</v>
      </c>
      <c r="C127" s="32" t="s">
        <v>26</v>
      </c>
      <c r="D127" s="32">
        <v>-2.9374633654300153</v>
      </c>
      <c r="E127" s="32" t="s">
        <v>313</v>
      </c>
      <c r="F127" s="32" t="s">
        <v>513</v>
      </c>
      <c r="G127" s="32" t="s">
        <v>514</v>
      </c>
      <c r="H127" s="32" t="s">
        <v>393</v>
      </c>
      <c r="I127" s="32" t="s">
        <v>532</v>
      </c>
      <c r="J127" s="32" t="s">
        <v>296</v>
      </c>
      <c r="K127" s="32" t="s">
        <v>516</v>
      </c>
    </row>
    <row r="128" spans="1:11" ht="28.8" x14ac:dyDescent="0.3">
      <c r="A128" s="30" t="s">
        <v>476</v>
      </c>
      <c r="B128" s="30" t="s">
        <v>533</v>
      </c>
      <c r="C128" s="30" t="s">
        <v>36</v>
      </c>
      <c r="D128" s="30">
        <v>20.785666276828888</v>
      </c>
      <c r="E128" s="30" t="s">
        <v>313</v>
      </c>
      <c r="F128" s="30" t="s">
        <v>320</v>
      </c>
      <c r="G128" s="30" t="s">
        <v>321</v>
      </c>
      <c r="H128" s="30" t="s">
        <v>322</v>
      </c>
      <c r="I128" s="30" t="s">
        <v>323</v>
      </c>
      <c r="J128" s="30" t="s">
        <v>324</v>
      </c>
      <c r="K128" s="30" t="s">
        <v>325</v>
      </c>
    </row>
    <row r="129" spans="1:11" ht="28.8" x14ac:dyDescent="0.3">
      <c r="A129" s="30" t="s">
        <v>476</v>
      </c>
      <c r="B129" s="30" t="s">
        <v>534</v>
      </c>
      <c r="C129" s="30" t="s">
        <v>37</v>
      </c>
      <c r="D129" s="30">
        <v>20.745190863300621</v>
      </c>
      <c r="E129" s="30" t="s">
        <v>313</v>
      </c>
      <c r="F129" s="30" t="s">
        <v>320</v>
      </c>
      <c r="G129" s="30" t="s">
        <v>321</v>
      </c>
      <c r="H129" s="30" t="s">
        <v>322</v>
      </c>
      <c r="I129" s="30" t="s">
        <v>323</v>
      </c>
      <c r="J129" s="30" t="s">
        <v>324</v>
      </c>
      <c r="K129" s="30" t="s">
        <v>325</v>
      </c>
    </row>
    <row r="130" spans="1:11" ht="28.8" x14ac:dyDescent="0.3">
      <c r="A130" s="30" t="s">
        <v>476</v>
      </c>
      <c r="B130" s="30" t="s">
        <v>535</v>
      </c>
      <c r="C130" s="30" t="s">
        <v>38</v>
      </c>
      <c r="D130" s="30">
        <v>4.0475413528266557E-2</v>
      </c>
      <c r="E130" s="30" t="s">
        <v>313</v>
      </c>
      <c r="F130" s="30" t="s">
        <v>314</v>
      </c>
      <c r="G130" s="30" t="s">
        <v>315</v>
      </c>
      <c r="H130" s="30" t="s">
        <v>316</v>
      </c>
      <c r="I130" s="30" t="s">
        <v>317</v>
      </c>
      <c r="J130" s="30" t="s">
        <v>296</v>
      </c>
      <c r="K130" s="30" t="s">
        <v>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workbookViewId="0">
      <selection activeCell="E39" sqref="E13:E39"/>
    </sheetView>
  </sheetViews>
  <sheetFormatPr defaultRowHeight="14.4" x14ac:dyDescent="0.3"/>
  <cols>
    <col min="1" max="1" width="34" customWidth="1"/>
    <col min="2" max="2" width="28" customWidth="1"/>
    <col min="3" max="3" width="22" customWidth="1"/>
    <col min="4" max="4" width="20" customWidth="1"/>
    <col min="5" max="5" width="68" customWidth="1"/>
    <col min="6" max="6" width="22" customWidth="1"/>
    <col min="7" max="7" width="34" customWidth="1"/>
  </cols>
  <sheetData>
    <row r="1" spans="1:7" ht="19.8" x14ac:dyDescent="0.3">
      <c r="A1" s="26" t="s">
        <v>536</v>
      </c>
      <c r="B1" s="26"/>
      <c r="C1" s="26"/>
      <c r="D1" s="26"/>
      <c r="E1" s="26"/>
      <c r="F1" s="26"/>
      <c r="G1" s="26"/>
    </row>
    <row r="2" spans="1:7" ht="27.15" customHeight="1" x14ac:dyDescent="0.3">
      <c r="A2" s="27" t="s">
        <v>537</v>
      </c>
      <c r="B2" s="27"/>
      <c r="C2" s="27"/>
      <c r="D2" s="27"/>
      <c r="E2" s="27"/>
      <c r="F2" s="27"/>
      <c r="G2" s="27"/>
    </row>
    <row r="4" spans="1:7" x14ac:dyDescent="0.3">
      <c r="A4" s="29" t="s">
        <v>538</v>
      </c>
      <c r="B4" s="29" t="s">
        <v>539</v>
      </c>
      <c r="C4" s="29" t="s">
        <v>540</v>
      </c>
      <c r="D4" s="29" t="s">
        <v>282</v>
      </c>
      <c r="E4" s="29" t="s">
        <v>541</v>
      </c>
      <c r="F4" s="29" t="s">
        <v>542</v>
      </c>
      <c r="G4" s="29" t="s">
        <v>284</v>
      </c>
    </row>
    <row r="5" spans="1:7" x14ac:dyDescent="0.3">
      <c r="A5" s="33" t="s">
        <v>543</v>
      </c>
      <c r="B5" s="34"/>
      <c r="C5" s="34"/>
      <c r="D5" s="33"/>
      <c r="E5" s="33"/>
      <c r="F5" s="34"/>
      <c r="G5" s="33"/>
    </row>
    <row r="6" spans="1:7" x14ac:dyDescent="0.3">
      <c r="A6" s="30" t="s">
        <v>544</v>
      </c>
      <c r="B6" s="35">
        <v>113094000000</v>
      </c>
      <c r="C6" s="35">
        <v>114677316000</v>
      </c>
      <c r="D6" s="30" t="s">
        <v>329</v>
      </c>
      <c r="E6" s="30" t="s">
        <v>545</v>
      </c>
      <c r="F6" s="35">
        <v>1.4000000000000012E-2</v>
      </c>
      <c r="G6" s="30" t="s">
        <v>546</v>
      </c>
    </row>
    <row r="7" spans="1:7" ht="28.8" x14ac:dyDescent="0.3">
      <c r="A7" s="30" t="s">
        <v>547</v>
      </c>
      <c r="B7" s="35">
        <v>113094000000</v>
      </c>
      <c r="C7" s="35">
        <v>114224940000</v>
      </c>
      <c r="D7" s="30" t="s">
        <v>548</v>
      </c>
      <c r="E7" s="30" t="s">
        <v>549</v>
      </c>
      <c r="F7" s="35">
        <v>1.0000000000000009E-2</v>
      </c>
      <c r="G7" s="30" t="s">
        <v>550</v>
      </c>
    </row>
    <row r="8" spans="1:7" ht="28.8" x14ac:dyDescent="0.3">
      <c r="A8" s="30" t="s">
        <v>551</v>
      </c>
      <c r="B8" s="35">
        <v>1561</v>
      </c>
      <c r="C8" s="35">
        <v>1567.1821782178217</v>
      </c>
      <c r="D8" s="30" t="s">
        <v>352</v>
      </c>
      <c r="E8" s="30" t="s">
        <v>552</v>
      </c>
      <c r="F8" s="35">
        <v>3.9603960396039639E-3</v>
      </c>
      <c r="G8" s="30" t="s">
        <v>553</v>
      </c>
    </row>
    <row r="9" spans="1:7" x14ac:dyDescent="0.3">
      <c r="A9" s="32" t="s">
        <v>554</v>
      </c>
      <c r="B9" s="36">
        <v>5342000</v>
      </c>
      <c r="C9" s="36">
        <v>5361300</v>
      </c>
      <c r="D9" s="32" t="s">
        <v>337</v>
      </c>
      <c r="E9" s="32" t="s">
        <v>555</v>
      </c>
      <c r="F9" s="36">
        <v>19300</v>
      </c>
      <c r="G9" s="32" t="s">
        <v>339</v>
      </c>
    </row>
    <row r="10" spans="1:7" x14ac:dyDescent="0.3">
      <c r="A10" s="32" t="s">
        <v>556</v>
      </c>
      <c r="B10" s="36">
        <v>5.4</v>
      </c>
      <c r="C10" s="36">
        <v>5.3</v>
      </c>
      <c r="D10" s="32" t="s">
        <v>557</v>
      </c>
      <c r="E10" s="32" t="s">
        <v>558</v>
      </c>
      <c r="F10" s="36">
        <v>-0.10000000000000053</v>
      </c>
      <c r="G10" s="32" t="s">
        <v>339</v>
      </c>
    </row>
    <row r="11" spans="1:7" x14ac:dyDescent="0.3">
      <c r="A11" s="32" t="s">
        <v>559</v>
      </c>
      <c r="B11" s="36">
        <v>1327</v>
      </c>
      <c r="C11" s="36">
        <v>1339</v>
      </c>
      <c r="D11" s="32" t="s">
        <v>352</v>
      </c>
      <c r="E11" s="32" t="s">
        <v>560</v>
      </c>
      <c r="F11" s="36">
        <v>1</v>
      </c>
      <c r="G11" s="32" t="s">
        <v>339</v>
      </c>
    </row>
    <row r="12" spans="1:7" ht="28.8" x14ac:dyDescent="0.3">
      <c r="A12" s="30" t="s">
        <v>561</v>
      </c>
      <c r="B12" s="35"/>
      <c r="C12" s="35">
        <v>269.8</v>
      </c>
      <c r="D12" s="30" t="s">
        <v>362</v>
      </c>
      <c r="E12" s="30" t="s">
        <v>562</v>
      </c>
      <c r="F12" s="35"/>
      <c r="G12" s="30" t="s">
        <v>563</v>
      </c>
    </row>
    <row r="13" spans="1:7" ht="28.8" x14ac:dyDescent="0.3">
      <c r="A13" s="30" t="s">
        <v>564</v>
      </c>
      <c r="B13" s="35"/>
      <c r="C13" s="35">
        <v>214.6</v>
      </c>
      <c r="D13" s="30" t="s">
        <v>362</v>
      </c>
      <c r="E13" s="30" t="s">
        <v>562</v>
      </c>
      <c r="F13" s="35"/>
      <c r="G13" s="30" t="s">
        <v>563</v>
      </c>
    </row>
    <row r="14" spans="1:7" x14ac:dyDescent="0.3">
      <c r="A14" s="33" t="s">
        <v>565</v>
      </c>
      <c r="B14" s="34"/>
      <c r="C14" s="34"/>
      <c r="D14" s="33"/>
      <c r="E14" s="33"/>
      <c r="F14" s="34"/>
      <c r="G14" s="33"/>
    </row>
    <row r="15" spans="1:7" x14ac:dyDescent="0.3">
      <c r="A15" s="32" t="s">
        <v>566</v>
      </c>
      <c r="B15" s="36" t="s">
        <v>567</v>
      </c>
      <c r="C15" s="36">
        <v>3196014020</v>
      </c>
      <c r="D15" s="32" t="s">
        <v>382</v>
      </c>
      <c r="E15" s="32" t="s">
        <v>568</v>
      </c>
      <c r="F15" s="36"/>
      <c r="G15" s="32" t="s">
        <v>569</v>
      </c>
    </row>
    <row r="16" spans="1:7" x14ac:dyDescent="0.3">
      <c r="A16" s="32" t="s">
        <v>570</v>
      </c>
      <c r="B16" s="36" t="s">
        <v>571</v>
      </c>
      <c r="C16" s="36">
        <v>248999340.25</v>
      </c>
      <c r="D16" s="32" t="s">
        <v>329</v>
      </c>
      <c r="E16" s="32" t="s">
        <v>572</v>
      </c>
      <c r="F16" s="36"/>
      <c r="G16" s="32" t="s">
        <v>569</v>
      </c>
    </row>
    <row r="17" spans="1:7" x14ac:dyDescent="0.3">
      <c r="A17" s="32" t="s">
        <v>573</v>
      </c>
      <c r="B17" s="36" t="s">
        <v>574</v>
      </c>
      <c r="C17" s="36">
        <v>77.909339161785027</v>
      </c>
      <c r="D17" s="32" t="s">
        <v>444</v>
      </c>
      <c r="E17" s="32" t="s">
        <v>575</v>
      </c>
      <c r="F17" s="36">
        <v>0</v>
      </c>
      <c r="G17" s="32" t="s">
        <v>576</v>
      </c>
    </row>
    <row r="18" spans="1:7" x14ac:dyDescent="0.3">
      <c r="A18" s="32" t="s">
        <v>577</v>
      </c>
      <c r="B18" s="36" t="s">
        <v>578</v>
      </c>
      <c r="C18" s="36">
        <v>1039372457</v>
      </c>
      <c r="D18" s="32" t="s">
        <v>382</v>
      </c>
      <c r="E18" s="32" t="s">
        <v>579</v>
      </c>
      <c r="F18" s="36"/>
      <c r="G18" s="32" t="s">
        <v>569</v>
      </c>
    </row>
    <row r="19" spans="1:7" x14ac:dyDescent="0.3">
      <c r="A19" s="32" t="s">
        <v>580</v>
      </c>
      <c r="B19" s="36" t="s">
        <v>581</v>
      </c>
      <c r="C19" s="36">
        <v>334926318.92000002</v>
      </c>
      <c r="D19" s="32" t="s">
        <v>329</v>
      </c>
      <c r="E19" s="32" t="s">
        <v>582</v>
      </c>
      <c r="F19" s="36"/>
      <c r="G19" s="32" t="s">
        <v>569</v>
      </c>
    </row>
    <row r="20" spans="1:7" x14ac:dyDescent="0.3">
      <c r="A20" s="32" t="s">
        <v>583</v>
      </c>
      <c r="B20" s="36" t="s">
        <v>584</v>
      </c>
      <c r="C20" s="36">
        <v>322.23897859167539</v>
      </c>
      <c r="D20" s="32" t="s">
        <v>444</v>
      </c>
      <c r="E20" s="32" t="s">
        <v>575</v>
      </c>
      <c r="F20" s="36">
        <v>0</v>
      </c>
      <c r="G20" s="32" t="s">
        <v>576</v>
      </c>
    </row>
    <row r="21" spans="1:7" ht="28.8" x14ac:dyDescent="0.3">
      <c r="A21" s="32" t="s">
        <v>585</v>
      </c>
      <c r="B21" s="36" t="s">
        <v>586</v>
      </c>
      <c r="C21" s="36">
        <v>318.7803374122621</v>
      </c>
      <c r="D21" s="32" t="s">
        <v>587</v>
      </c>
      <c r="E21" s="32" t="s">
        <v>588</v>
      </c>
      <c r="F21" s="36"/>
      <c r="G21" s="32" t="s">
        <v>589</v>
      </c>
    </row>
    <row r="22" spans="1:7" x14ac:dyDescent="0.3">
      <c r="A22" s="33" t="s">
        <v>590</v>
      </c>
      <c r="B22" s="34"/>
      <c r="C22" s="34"/>
      <c r="D22" s="33"/>
      <c r="E22" s="33"/>
      <c r="F22" s="34"/>
      <c r="G22" s="33"/>
    </row>
    <row r="23" spans="1:7" x14ac:dyDescent="0.3">
      <c r="A23" s="30" t="s">
        <v>591</v>
      </c>
      <c r="B23" s="35" t="s">
        <v>592</v>
      </c>
      <c r="C23" s="35">
        <v>31834730656.902897</v>
      </c>
      <c r="D23" s="30" t="s">
        <v>382</v>
      </c>
      <c r="E23" s="30" t="s">
        <v>593</v>
      </c>
      <c r="F23" s="35"/>
      <c r="G23" s="30" t="s">
        <v>594</v>
      </c>
    </row>
    <row r="24" spans="1:7" x14ac:dyDescent="0.3">
      <c r="A24" s="30" t="s">
        <v>595</v>
      </c>
      <c r="B24" s="35" t="s">
        <v>596</v>
      </c>
      <c r="C24" s="35">
        <v>8234842155.1711197</v>
      </c>
      <c r="D24" s="30" t="s">
        <v>382</v>
      </c>
      <c r="E24" s="30" t="s">
        <v>597</v>
      </c>
      <c r="F24" s="35"/>
      <c r="G24" s="30" t="s">
        <v>321</v>
      </c>
    </row>
    <row r="25" spans="1:7" x14ac:dyDescent="0.3">
      <c r="A25" s="30" t="s">
        <v>598</v>
      </c>
      <c r="B25" s="35" t="s">
        <v>599</v>
      </c>
      <c r="C25" s="35">
        <v>8363133560.7376165</v>
      </c>
      <c r="D25" s="30" t="s">
        <v>382</v>
      </c>
      <c r="E25" s="30" t="s">
        <v>597</v>
      </c>
      <c r="F25" s="35"/>
      <c r="G25" s="30" t="s">
        <v>321</v>
      </c>
    </row>
    <row r="26" spans="1:7" x14ac:dyDescent="0.3">
      <c r="A26" s="30" t="s">
        <v>600</v>
      </c>
      <c r="B26" s="35" t="s">
        <v>601</v>
      </c>
      <c r="C26" s="35">
        <v>15236754940.99416</v>
      </c>
      <c r="D26" s="30" t="s">
        <v>382</v>
      </c>
      <c r="E26" s="30" t="s">
        <v>602</v>
      </c>
      <c r="F26" s="35"/>
      <c r="G26" s="30" t="s">
        <v>392</v>
      </c>
    </row>
    <row r="27" spans="1:7" x14ac:dyDescent="0.3">
      <c r="A27" s="32" t="s">
        <v>603</v>
      </c>
      <c r="B27" s="36" t="s">
        <v>604</v>
      </c>
      <c r="C27" s="36">
        <v>475062158.43000001</v>
      </c>
      <c r="D27" s="32" t="s">
        <v>605</v>
      </c>
      <c r="E27" s="32" t="s">
        <v>606</v>
      </c>
      <c r="F27" s="36"/>
      <c r="G27" s="32" t="s">
        <v>569</v>
      </c>
    </row>
    <row r="28" spans="1:7" x14ac:dyDescent="0.3">
      <c r="A28" s="32" t="s">
        <v>607</v>
      </c>
      <c r="B28" s="36" t="s">
        <v>608</v>
      </c>
      <c r="C28" s="36">
        <v>520735253.26999998</v>
      </c>
      <c r="D28" s="32" t="s">
        <v>605</v>
      </c>
      <c r="E28" s="32" t="s">
        <v>606</v>
      </c>
      <c r="F28" s="36"/>
      <c r="G28" s="32" t="s">
        <v>569</v>
      </c>
    </row>
    <row r="29" spans="1:7" x14ac:dyDescent="0.3">
      <c r="A29" s="30" t="s">
        <v>609</v>
      </c>
      <c r="B29" s="35" t="s">
        <v>610</v>
      </c>
      <c r="C29" s="35">
        <v>0.47706707493744732</v>
      </c>
      <c r="D29" s="30" t="s">
        <v>611</v>
      </c>
      <c r="E29" s="30" t="s">
        <v>612</v>
      </c>
      <c r="F29" s="35"/>
      <c r="G29" s="30" t="s">
        <v>392</v>
      </c>
    </row>
    <row r="30" spans="1:7" x14ac:dyDescent="0.3">
      <c r="A30" s="31" t="s">
        <v>613</v>
      </c>
      <c r="B30" s="37" t="s">
        <v>614</v>
      </c>
      <c r="C30" s="37">
        <v>7268954111.2387819</v>
      </c>
      <c r="D30" s="31" t="s">
        <v>382</v>
      </c>
      <c r="E30" s="31" t="s">
        <v>615</v>
      </c>
      <c r="F30" s="37"/>
      <c r="G30" s="31" t="s">
        <v>616</v>
      </c>
    </row>
    <row r="31" spans="1:7" x14ac:dyDescent="0.3">
      <c r="A31" s="31" t="s">
        <v>617</v>
      </c>
      <c r="B31" s="37" t="s">
        <v>618</v>
      </c>
      <c r="C31" s="37">
        <v>7967800829.7553778</v>
      </c>
      <c r="D31" s="31" t="s">
        <v>382</v>
      </c>
      <c r="E31" s="31" t="s">
        <v>619</v>
      </c>
      <c r="F31" s="37"/>
      <c r="G31" s="31" t="s">
        <v>616</v>
      </c>
    </row>
    <row r="32" spans="1:7" x14ac:dyDescent="0.3">
      <c r="A32" s="32" t="s">
        <v>620</v>
      </c>
      <c r="B32" s="36" t="s">
        <v>621</v>
      </c>
      <c r="C32" s="36">
        <v>5361300</v>
      </c>
      <c r="D32" s="32" t="s">
        <v>337</v>
      </c>
      <c r="E32" s="32" t="s">
        <v>339</v>
      </c>
      <c r="F32" s="36"/>
      <c r="G32" s="32" t="s">
        <v>569</v>
      </c>
    </row>
    <row r="33" spans="1:7" x14ac:dyDescent="0.3">
      <c r="A33" s="31" t="s">
        <v>622</v>
      </c>
      <c r="B33" s="37" t="s">
        <v>623</v>
      </c>
      <c r="C33" s="37">
        <v>1355.8193183068997</v>
      </c>
      <c r="D33" s="31" t="s">
        <v>305</v>
      </c>
      <c r="E33" s="31" t="s">
        <v>624</v>
      </c>
      <c r="F33" s="37"/>
      <c r="G33" s="31" t="s">
        <v>625</v>
      </c>
    </row>
    <row r="34" spans="1:7" x14ac:dyDescent="0.3">
      <c r="A34" s="32" t="s">
        <v>626</v>
      </c>
      <c r="B34" s="36" t="s">
        <v>627</v>
      </c>
      <c r="C34" s="36">
        <v>0</v>
      </c>
      <c r="D34" s="32" t="s">
        <v>382</v>
      </c>
      <c r="E34" s="32" t="s">
        <v>628</v>
      </c>
      <c r="F34" s="36">
        <v>0</v>
      </c>
      <c r="G34" s="32" t="s">
        <v>576</v>
      </c>
    </row>
    <row r="35" spans="1:7" x14ac:dyDescent="0.3">
      <c r="A35" s="33" t="s">
        <v>629</v>
      </c>
      <c r="B35" s="34"/>
      <c r="C35" s="34"/>
      <c r="D35" s="33"/>
      <c r="E35" s="33"/>
      <c r="F35" s="34"/>
      <c r="G35" s="33"/>
    </row>
    <row r="36" spans="1:7" x14ac:dyDescent="0.3">
      <c r="A36" s="31" t="s">
        <v>630</v>
      </c>
      <c r="B36" s="37">
        <v>0.47706707493744732</v>
      </c>
      <c r="C36" s="37">
        <v>1355.8193183068997</v>
      </c>
      <c r="D36" s="31" t="s">
        <v>305</v>
      </c>
      <c r="E36" s="31" t="s">
        <v>631</v>
      </c>
      <c r="F36" s="37">
        <v>-65.175117836774461</v>
      </c>
      <c r="G36" s="31" t="s">
        <v>632</v>
      </c>
    </row>
    <row r="37" spans="1:7" x14ac:dyDescent="0.3">
      <c r="A37" s="30" t="s">
        <v>633</v>
      </c>
      <c r="B37" s="35">
        <v>0.5</v>
      </c>
      <c r="C37" s="35">
        <v>1420.9944361436742</v>
      </c>
      <c r="D37" s="30" t="s">
        <v>305</v>
      </c>
      <c r="E37" s="30" t="s">
        <v>634</v>
      </c>
      <c r="F37" s="35">
        <v>0</v>
      </c>
      <c r="G37" s="30" t="s">
        <v>635</v>
      </c>
    </row>
    <row r="38" spans="1:7" x14ac:dyDescent="0.3">
      <c r="A38" s="30" t="s">
        <v>636</v>
      </c>
      <c r="B38" s="35">
        <v>0.5037871057029395</v>
      </c>
      <c r="C38" s="35">
        <v>1431.757348409604</v>
      </c>
      <c r="D38" s="30" t="s">
        <v>305</v>
      </c>
      <c r="E38" s="30" t="s">
        <v>637</v>
      </c>
      <c r="F38" s="35">
        <v>10.762912265929799</v>
      </c>
      <c r="G38" s="30" t="s">
        <v>635</v>
      </c>
    </row>
    <row r="39" spans="1:7" ht="43.2" x14ac:dyDescent="0.3">
      <c r="A39" s="31" t="s">
        <v>638</v>
      </c>
      <c r="B39" s="37"/>
      <c r="C39" s="37"/>
      <c r="D39" s="31"/>
      <c r="E39" s="31" t="s">
        <v>639</v>
      </c>
      <c r="F39" s="37"/>
      <c r="G39" s="31" t="s">
        <v>640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"/>
  <sheetViews>
    <sheetView workbookViewId="0"/>
  </sheetViews>
  <sheetFormatPr defaultRowHeight="14.4" x14ac:dyDescent="0.3"/>
  <cols>
    <col min="1" max="1" width="22" customWidth="1"/>
    <col min="2" max="2" width="32" customWidth="1"/>
    <col min="3" max="3" width="88" customWidth="1"/>
    <col min="4" max="4" width="58" customWidth="1"/>
  </cols>
  <sheetData>
    <row r="1" spans="1:4" ht="19.8" x14ac:dyDescent="0.3">
      <c r="A1" s="26" t="s">
        <v>641</v>
      </c>
      <c r="B1" s="26"/>
      <c r="C1" s="26"/>
      <c r="D1" s="26"/>
    </row>
    <row r="2" spans="1:4" ht="30.45" customHeight="1" x14ac:dyDescent="0.3">
      <c r="A2" s="27" t="s">
        <v>642</v>
      </c>
      <c r="B2" s="27"/>
      <c r="C2" s="27"/>
      <c r="D2" s="27"/>
    </row>
    <row r="4" spans="1:4" x14ac:dyDescent="0.3">
      <c r="A4" s="29" t="s">
        <v>643</v>
      </c>
      <c r="B4" s="29" t="s">
        <v>644</v>
      </c>
      <c r="C4" s="29" t="s">
        <v>645</v>
      </c>
      <c r="D4" s="29" t="s">
        <v>646</v>
      </c>
    </row>
    <row r="5" spans="1:4" ht="28.8" x14ac:dyDescent="0.3">
      <c r="A5" s="39" t="s">
        <v>647</v>
      </c>
      <c r="B5" s="38" t="s">
        <v>648</v>
      </c>
      <c r="C5" s="38" t="s">
        <v>649</v>
      </c>
      <c r="D5" s="38" t="s">
        <v>650</v>
      </c>
    </row>
    <row r="6" spans="1:4" ht="28.8" x14ac:dyDescent="0.3">
      <c r="A6" s="30" t="s">
        <v>647</v>
      </c>
      <c r="B6" s="30" t="s">
        <v>651</v>
      </c>
      <c r="C6" s="30" t="s">
        <v>652</v>
      </c>
      <c r="D6" s="30" t="s">
        <v>653</v>
      </c>
    </row>
    <row r="7" spans="1:4" ht="28.8" x14ac:dyDescent="0.3">
      <c r="A7" s="39" t="s">
        <v>654</v>
      </c>
      <c r="B7" s="38" t="s">
        <v>655</v>
      </c>
      <c r="C7" s="38" t="s">
        <v>656</v>
      </c>
      <c r="D7" s="38" t="s">
        <v>657</v>
      </c>
    </row>
    <row r="8" spans="1:4" ht="43.2" x14ac:dyDescent="0.3">
      <c r="A8" s="39" t="s">
        <v>658</v>
      </c>
      <c r="B8" s="38" t="s">
        <v>659</v>
      </c>
      <c r="C8" s="38" t="s">
        <v>660</v>
      </c>
      <c r="D8" s="38" t="s">
        <v>661</v>
      </c>
    </row>
    <row r="9" spans="1:4" ht="43.2" x14ac:dyDescent="0.3">
      <c r="A9" s="30" t="s">
        <v>658</v>
      </c>
      <c r="B9" s="30" t="s">
        <v>662</v>
      </c>
      <c r="C9" s="30" t="s">
        <v>663</v>
      </c>
      <c r="D9" s="30" t="s">
        <v>664</v>
      </c>
    </row>
    <row r="10" spans="1:4" ht="43.2" x14ac:dyDescent="0.3">
      <c r="A10" s="30" t="s">
        <v>658</v>
      </c>
      <c r="B10" s="30" t="s">
        <v>665</v>
      </c>
      <c r="C10" s="30" t="s">
        <v>666</v>
      </c>
      <c r="D10" s="30" t="s">
        <v>667</v>
      </c>
    </row>
    <row r="11" spans="1:4" ht="28.8" x14ac:dyDescent="0.3">
      <c r="A11" s="39" t="s">
        <v>668</v>
      </c>
      <c r="B11" s="38" t="s">
        <v>659</v>
      </c>
      <c r="C11" s="38" t="s">
        <v>669</v>
      </c>
      <c r="D11" s="38" t="s">
        <v>670</v>
      </c>
    </row>
    <row r="12" spans="1:4" ht="28.8" x14ac:dyDescent="0.3">
      <c r="A12" s="30" t="s">
        <v>668</v>
      </c>
      <c r="B12" s="30" t="s">
        <v>671</v>
      </c>
      <c r="C12" s="30" t="s">
        <v>672</v>
      </c>
      <c r="D12" s="30" t="s">
        <v>673</v>
      </c>
    </row>
    <row r="13" spans="1:4" ht="28.8" x14ac:dyDescent="0.3">
      <c r="A13" s="39" t="s">
        <v>674</v>
      </c>
      <c r="B13" s="38" t="s">
        <v>659</v>
      </c>
      <c r="C13" s="38" t="s">
        <v>675</v>
      </c>
      <c r="D13" s="38" t="s">
        <v>676</v>
      </c>
    </row>
    <row r="14" spans="1:4" ht="28.8" x14ac:dyDescent="0.3">
      <c r="A14" s="30" t="s">
        <v>674</v>
      </c>
      <c r="B14" s="30" t="s">
        <v>671</v>
      </c>
      <c r="C14" s="30" t="s">
        <v>677</v>
      </c>
      <c r="D14" s="30" t="s">
        <v>678</v>
      </c>
    </row>
    <row r="15" spans="1:4" ht="43.2" x14ac:dyDescent="0.3">
      <c r="A15" s="39" t="s">
        <v>679</v>
      </c>
      <c r="B15" s="38" t="s">
        <v>680</v>
      </c>
      <c r="C15" s="38" t="s">
        <v>681</v>
      </c>
      <c r="D15" s="38" t="s">
        <v>682</v>
      </c>
    </row>
    <row r="16" spans="1:4" ht="28.8" x14ac:dyDescent="0.3">
      <c r="A16" s="30" t="s">
        <v>679</v>
      </c>
      <c r="B16" s="30" t="s">
        <v>683</v>
      </c>
      <c r="C16" s="30" t="s">
        <v>684</v>
      </c>
      <c r="D16" s="30" t="s">
        <v>685</v>
      </c>
    </row>
    <row r="17" spans="1:4" ht="28.8" x14ac:dyDescent="0.3">
      <c r="A17" s="30" t="s">
        <v>679</v>
      </c>
      <c r="B17" s="30" t="s">
        <v>686</v>
      </c>
      <c r="C17" s="30" t="s">
        <v>687</v>
      </c>
      <c r="D17" s="30" t="s">
        <v>688</v>
      </c>
    </row>
    <row r="18" spans="1:4" ht="28.8" x14ac:dyDescent="0.3">
      <c r="A18" s="39" t="s">
        <v>689</v>
      </c>
      <c r="B18" s="38" t="s">
        <v>289</v>
      </c>
      <c r="C18" s="38" t="s">
        <v>690</v>
      </c>
      <c r="D18" s="38" t="s">
        <v>691</v>
      </c>
    </row>
    <row r="19" spans="1:4" ht="28.8" x14ac:dyDescent="0.3">
      <c r="A19" s="30" t="s">
        <v>689</v>
      </c>
      <c r="B19" s="30" t="s">
        <v>692</v>
      </c>
      <c r="C19" s="30" t="s">
        <v>693</v>
      </c>
      <c r="D19" s="30" t="s">
        <v>694</v>
      </c>
    </row>
    <row r="20" spans="1:4" ht="28.8" x14ac:dyDescent="0.3">
      <c r="A20" s="30" t="s">
        <v>689</v>
      </c>
      <c r="B20" s="30" t="s">
        <v>695</v>
      </c>
      <c r="C20" s="30" t="s">
        <v>696</v>
      </c>
      <c r="D20" s="30" t="s">
        <v>697</v>
      </c>
    </row>
    <row r="21" spans="1:4" ht="43.2" x14ac:dyDescent="0.3">
      <c r="A21" s="39" t="s">
        <v>698</v>
      </c>
      <c r="B21" s="38" t="s">
        <v>699</v>
      </c>
      <c r="C21" s="38" t="s">
        <v>700</v>
      </c>
      <c r="D21" s="38" t="s">
        <v>701</v>
      </c>
    </row>
    <row r="22" spans="1:4" ht="28.8" x14ac:dyDescent="0.3">
      <c r="A22" s="30" t="s">
        <v>698</v>
      </c>
      <c r="B22" s="30" t="s">
        <v>702</v>
      </c>
      <c r="C22" s="30" t="s">
        <v>703</v>
      </c>
      <c r="D22" s="30" t="s">
        <v>704</v>
      </c>
    </row>
    <row r="23" spans="1:4" ht="28.8" x14ac:dyDescent="0.3">
      <c r="A23" s="39" t="s">
        <v>705</v>
      </c>
      <c r="B23" s="38" t="s">
        <v>706</v>
      </c>
      <c r="C23" s="38" t="s">
        <v>707</v>
      </c>
      <c r="D23" s="38" t="s">
        <v>708</v>
      </c>
    </row>
    <row r="24" spans="1:4" ht="28.8" x14ac:dyDescent="0.3">
      <c r="A24" s="30" t="s">
        <v>705</v>
      </c>
      <c r="B24" s="30" t="s">
        <v>709</v>
      </c>
      <c r="C24" s="30" t="s">
        <v>710</v>
      </c>
      <c r="D24" s="30" t="s">
        <v>711</v>
      </c>
    </row>
    <row r="25" spans="1:4" ht="28.8" x14ac:dyDescent="0.3">
      <c r="A25" s="30" t="s">
        <v>705</v>
      </c>
      <c r="B25" s="30" t="s">
        <v>712</v>
      </c>
      <c r="C25" s="30" t="s">
        <v>713</v>
      </c>
      <c r="D25" s="30" t="s">
        <v>714</v>
      </c>
    </row>
    <row r="26" spans="1:4" ht="28.8" x14ac:dyDescent="0.3">
      <c r="A26" s="30" t="s">
        <v>705</v>
      </c>
      <c r="B26" s="30" t="s">
        <v>715</v>
      </c>
      <c r="C26" s="30" t="s">
        <v>716</v>
      </c>
      <c r="D26" s="30" t="s">
        <v>717</v>
      </c>
    </row>
    <row r="27" spans="1:4" ht="28.8" x14ac:dyDescent="0.3">
      <c r="A27" s="39" t="s">
        <v>718</v>
      </c>
      <c r="B27" s="38" t="s">
        <v>719</v>
      </c>
      <c r="C27" s="38" t="s">
        <v>720</v>
      </c>
      <c r="D27" s="38" t="s">
        <v>721</v>
      </c>
    </row>
    <row r="28" spans="1:4" ht="43.2" x14ac:dyDescent="0.3">
      <c r="A28" s="30" t="s">
        <v>718</v>
      </c>
      <c r="B28" s="30" t="s">
        <v>722</v>
      </c>
      <c r="C28" s="30" t="s">
        <v>723</v>
      </c>
      <c r="D28" s="30" t="s">
        <v>724</v>
      </c>
    </row>
    <row r="29" spans="1:4" ht="28.8" x14ac:dyDescent="0.3">
      <c r="A29" s="30" t="s">
        <v>718</v>
      </c>
      <c r="B29" s="30" t="s">
        <v>725</v>
      </c>
      <c r="C29" s="30" t="s">
        <v>726</v>
      </c>
      <c r="D29" s="30" t="s">
        <v>727</v>
      </c>
    </row>
    <row r="30" spans="1:4" ht="43.2" x14ac:dyDescent="0.3">
      <c r="A30" s="39" t="s">
        <v>728</v>
      </c>
      <c r="B30" s="38" t="s">
        <v>729</v>
      </c>
      <c r="C30" s="38" t="s">
        <v>730</v>
      </c>
      <c r="D30" s="38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PED Inputs</vt:lpstr>
      <vt:lpstr>Light RUC Inputs</vt:lpstr>
      <vt:lpstr>Heavy RUC Inputs</vt:lpstr>
      <vt:lpstr>Q1 2026 Filled Rows</vt:lpstr>
      <vt:lpstr>Q1 2026 Source Map</vt:lpstr>
      <vt:lpstr>Q1 2026 Reconciliation</vt:lpstr>
      <vt:lpstr>Agent Build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Desilvestro</dc:creator>
  <cp:lastModifiedBy>Adrian Desilvestro</cp:lastModifiedBy>
  <dcterms:created xsi:type="dcterms:W3CDTF">2026-07-30T00:55:05Z</dcterms:created>
  <dcterms:modified xsi:type="dcterms:W3CDTF">2026-07-30T00:55:05Z</dcterms:modified>
</cp:coreProperties>
</file>